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ustomProperty2.bin" ContentType="application/vnd.openxmlformats-officedocument.spreadsheetml.customProperty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PO-202508\"/>
    </mc:Choice>
  </mc:AlternateContent>
  <xr:revisionPtr revIDLastSave="0" documentId="8_{9BF03B61-A8EB-4CB8-94CD-723FA4D3D502}" xr6:coauthVersionLast="47" xr6:coauthVersionMax="47" xr10:uidLastSave="{00000000-0000-0000-0000-000000000000}"/>
  <bookViews>
    <workbookView xWindow="-66" yWindow="-66" windowWidth="18132" windowHeight="11412" activeTab="1" xr2:uid="{DC102F06-558B-4EAE-8CD4-58ABDFC851AF}"/>
  </bookViews>
  <sheets>
    <sheet name="Model" sheetId="1" r:id="rId1"/>
    <sheet name="Assumption" sheetId="2" r:id="rId2"/>
  </sheets>
  <definedNames>
    <definedName name="A_ALL_000050.SZ">#REF!</definedName>
    <definedName name="A_ALL_000413.SZ">#REF!</definedName>
    <definedName name="A_ALL_000725.SZ">#REF!</definedName>
    <definedName name="A_ALL_002371.SZ">#REF!</definedName>
    <definedName name="A_ALL_002415.SZ">#REF!</definedName>
    <definedName name="A_ALL_002415.SZ_">#REF!</definedName>
    <definedName name="A_ALL_002456.SZ">#REF!</definedName>
    <definedName name="A_ALL_002876.SZ">#REF!</definedName>
    <definedName name="A_ALL_2018.HK">#REF!</definedName>
    <definedName name="A_ALL_2303.TW">#REF!</definedName>
    <definedName name="A_ALL_4966.TWO">#REF!</definedName>
    <definedName name="A_ALL_600584.SS">#REF!</definedName>
    <definedName name="A_ALL_600699.SS">#REF!</definedName>
    <definedName name="A_ALL_603986.SS">#REF!</definedName>
    <definedName name="A_ALL_6415.TW">#REF!</definedName>
    <definedName name="A_ALL_KEYWORDS_TYPE_Breakdown_EQTY_200008919">#REF!</definedName>
    <definedName name="A_ALL_KEYWORDS_TYPE_ScalarContributed_EQTY_200006786">#REF!,#REF!,#REF!,#REF!</definedName>
    <definedName name="A_ALL_KEYWORDS_TYPE_ScalarContributed_EQTY_200008919">#REF!,#REF!</definedName>
    <definedName name="A_ALL_KEYWORDS_TYPE_ScalarContributed_EQTY_200011172">#REF!,#REF!</definedName>
    <definedName name="A_ALL_KEYWORDS_TYPE_ScalarContributed_EQTY_200012735">#REF!,#REF!</definedName>
    <definedName name="A_ALL_KEYWORDS_TYPE_ScalarContributed_EQTY_200012909">#REF!,#REF!</definedName>
    <definedName name="A_ALL_KEYWORDS_TYPE_ScalarContributed_EQTY_200012913">#REF!,#REF!</definedName>
    <definedName name="A_ALL_KEYWORDS_TYPE_ScalarContributed_EQTY_200016087">#REF!,#REF!</definedName>
    <definedName name="A_ALL_KEYWORDS_TYPE_ScalarContributed_EQTY_200019558">#REF!,#REF!</definedName>
    <definedName name="A_ALL_KEYWORDS_TYPE_ScalarContributed_EQTY_200019559">#REF!,#REF!</definedName>
    <definedName name="A_ALL_KEYWORDS_TYPE_ScalarContributed_EQTY_200019876">#REF!,#REF!,#REF!</definedName>
    <definedName name="A_ALL_KEYWORDS_TYPE_ScalarContributed_ISSR_208002015">#REF!,#REF!</definedName>
    <definedName name="A_ALL_KEYWORDS_TYPE_ScalarContributed_ISSR_208007067">#REF!,#REF!</definedName>
    <definedName name="A_ALL_KEYWORDS_TYPE_ScalarContributed_ISSR_208010212">#REF!,#REF!</definedName>
    <definedName name="A_ALL_KEYWORDS_TYPE_ScalarContributed_ISSR_208015000">#REF!,#REF!</definedName>
    <definedName name="A_ALL_KEYWORDS_TYPE_ScalarContributed_ISSR_208019081">#REF!,#REF!</definedName>
    <definedName name="A_ALL_KEYWORDS_TYPE_ScalarContributed_ISSR_208019322">#REF!,#REF!</definedName>
    <definedName name="A_ALL_KEYWORDS_TYPE_ScalarContributed_ISSR_208021173">#REF!,#REF!</definedName>
    <definedName name="A_ALL_KEYWORDS_TYPE_ScalarContributed_ISSR_208021175">#REF!,#REF!</definedName>
    <definedName name="A_ALL_KEYWORDS_TYPE_Vector_EQTY_200006785">#REF!,#REF!,#REF!,#REF!,#REF!</definedName>
    <definedName name="A_ALL_KEYWORDS_TYPE_Vector_EQTY_200006786">#REF!,#REF!,#REF!,#REF!,#REF!,#REF!</definedName>
    <definedName name="A_ALL_KEYWORDS_TYPE_Vector_EQTY_200008918">#REF!,#REF!,#REF!,#REF!,#REF!</definedName>
    <definedName name="A_ALL_KEYWORDS_TYPE_Vector_EQTY_200011172">#REF!,#REF!,#REF!,#REF!,#REF!</definedName>
    <definedName name="A_ALL_KEYWORDS_TYPE_Vector_EQTY_200012735">#REF!,#REF!,#REF!,#REF!,#REF!</definedName>
    <definedName name="A_ALL_KEYWORDS_TYPE_Vector_EQTY_200012909">#REF!,#REF!,#REF!,#REF!,#REF!</definedName>
    <definedName name="A_ALL_KEYWORDS_TYPE_Vector_EQTY_200012913">#REF!,#REF!,#REF!,#REF!,#REF!</definedName>
    <definedName name="A_ALL_KEYWORDS_TYPE_Vector_EQTY_200013283">#REF!,#REF!,#REF!,#REF!,#REF!</definedName>
    <definedName name="A_ALL_KEYWORDS_TYPE_Vector_EQTY_200016087">#REF!,#REF!,#REF!,#REF!,#REF!</definedName>
    <definedName name="A_ALL_KEYWORDS_TYPE_Vector_EQTY_200017468">#REF!,#REF!,#REF!,#REF!,#REF!</definedName>
    <definedName name="A_ALL_KEYWORDS_TYPE_Vector_EQTY_200018245">#REF!,#REF!,#REF!,#REF!,#REF!</definedName>
    <definedName name="A_ALL_KEYWORDS_TYPE_Vector_EQTY_200020142">#REF!,#REF!,#REF!,#REF!,#REF!</definedName>
    <definedName name="A_ALL_KEYWORDS_TYPE_Vector_EQTY_200020296">#REF!,#REF!,#REF!,#REF!,#REF!</definedName>
    <definedName name="A_ALL_KEYWORDS_TYPE_Vector_EQTY_200021697">#REF!,#REF!,#REF!,#REF!,#REF!</definedName>
    <definedName name="A_ALL_KEYWORDS_TYPE_Vector_EQTY_200021698">#REF!,#REF!,#REF!,#REF!,#REF!</definedName>
    <definedName name="A_ALL_KEYWORDS_TYPE_Vector_ISSR_208002015">#REF!,#REF!,#REF!,#REF!,#REF!,#REF!,#REF!,#REF!,#REF!,#REF!,#REF!,#REF!,#REF!</definedName>
    <definedName name="A_ALL_KEYWORDS_TYPE_Vector_ISSR_208006410">#REF!,#REF!,#REF!,#REF!,#REF!,#REF!,#REF!,#REF!,#REF!,#REF!,#REF!</definedName>
    <definedName name="A_ALL_KEYWORDS_TYPE_Vector_ISSR_208007067">#REF!,#REF!,#REF!,#REF!,#REF!,#REF!,#REF!,#REF!,#REF!,#REF!,#REF!,#REF!,#REF!</definedName>
    <definedName name="A_ALL_KEYWORDS_TYPE_Vector_ISSR_208008548">#REF!,#REF!,#REF!,#REF!,#REF!,#REF!,#REF!,#REF!,#REF!,#REF!,#REF!,#REF!,#REF!,#REF!,#REF!,#REF!</definedName>
    <definedName name="A_ALL_KEYWORDS_TYPE_Vector_ISSR_208009698">#REF!,#REF!,#REF!,#REF!,#REF!,#REF!,#REF!,#REF!,#REF!,#REF!,#REF!,#REF!,#REF!,#REF!</definedName>
    <definedName name="A_ALL_KEYWORDS_TYPE_Vector_ISSR_208009912">#REF!,#REF!,#REF!,#REF!,#REF!,#REF!,#REF!,#REF!,#REF!,#REF!,#REF!,#REF!,#REF!,#REF!,#REF!</definedName>
    <definedName name="A_ALL_KEYWORDS_TYPE_Vector_ISSR_208009916">#REF!,#REF!,#REF!,#REF!,#REF!,#REF!,#REF!,#REF!,#REF!,#REF!,#REF!,#REF!,#REF!,#REF!</definedName>
    <definedName name="A_ALL_KEYWORDS_TYPE_Vector_ISSR_208010212">#REF!,#REF!,#REF!,#REF!,#REF!,#REF!,#REF!,#REF!,#REF!,#REF!,#REF!,#REF!,#REF!,#REF!</definedName>
    <definedName name="A_ALL_KEYWORDS_TYPE_Vector_ISSR_208011603">#REF!,#REF!,#REF!,#REF!,#REF!,#REF!,#REF!,#REF!,#REF!,#REF!,#REF!</definedName>
    <definedName name="A_ALL_KEYWORDS_TYPE_Vector_ISSR_208013035">#REF!,#REF!,#REF!,#REF!,#REF!,#REF!,#REF!,#REF!,#REF!,#REF!,#REF!,#REF!,#REF!,#REF!,#REF!</definedName>
    <definedName name="A_ALL_KEYWORDS_TYPE_Vector_ISSR_208013036">#REF!,#REF!,#REF!,#REF!,#REF!,#REF!,#REF!,#REF!,#REF!,#REF!,#REF!</definedName>
    <definedName name="A_ALL_KEYWORDS_TYPE_Vector_ISSR_208015000">#REF!,#REF!,#REF!,#REF!,#REF!,#REF!,#REF!,#REF!,#REF!,#REF!,#REF!,#REF!,#REF!,#REF!</definedName>
    <definedName name="A_ALL_KEYWORDS_TYPE_Vector_ISSR_208015997">#REF!,#REF!,#REF!,#REF!,#REF!,#REF!,#REF!,#REF!,#REF!,#REF!,#REF!,#REF!,#REF!,#REF!</definedName>
    <definedName name="A_ALL_KEYWORDS_TYPE_Vector_ISSR_208017563">#REF!,#REF!,#REF!,#REF!,#REF!,#REF!,#REF!,#REF!,#REF!,#REF!,#REF!,#REF!</definedName>
    <definedName name="A_ALL_KEYWORDS_TYPE_Vector_ISSR_208018057">#REF!,#REF!,#REF!,#REF!,#REF!,#REF!,#REF!,#REF!,#REF!,#REF!,#REF!</definedName>
    <definedName name="A_ALL_KEYWORDS_TYPE_Vector_ISSR_208018582">#REF!,#REF!,#REF!,#REF!,#REF!,#REF!,#REF!,#REF!,#REF!,#REF!,#REF!,#REF!,#REF!</definedName>
    <definedName name="A_ALL_KEYWORDS_TYPE_Vector_ISSR_208019081">#REF!,#REF!,#REF!,#REF!,#REF!,#REF!,#REF!,#REF!,#REF!,#REF!,#REF!,#REF!,#REF!</definedName>
    <definedName name="A_ALL_KEYWORDS_TYPE_Vector_ISSR_208019322">#REF!,#REF!,#REF!,#REF!,#REF!,#REF!,#REF!,#REF!,#REF!,#REF!,#REF!,#REF!</definedName>
    <definedName name="A_ALL_KEYWORDS_TYPE_Vector_ISSR_208019900">#REF!,#REF!,#REF!,#REF!,#REF!,#REF!,#REF!,#REF!,#REF!,#REF!,#REF!,#REF!</definedName>
    <definedName name="A_ALL_KEYWORDS_TYPE_Vector_ISSR_208019901">#REF!,#REF!,#REF!,#REF!,#REF!,#REF!,#REF!,#REF!,#REF!,#REF!,#REF!,#REF!</definedName>
    <definedName name="A_ALL_KEYWORDS_TYPE_Vector_ISSR_208019930">#REF!,#REF!,#REF!,#REF!,#REF!,#REF!,#REF!,#REF!,#REF!,#REF!,#REF!,#REF!</definedName>
    <definedName name="A_ALL_KEYWORDS_TYPE_Vector_ISSR_208019958">#REF!,#REF!,#REF!,#REF!,#REF!,#REF!,#REF!,#REF!,#REF!,#REF!,#REF!,#REF!</definedName>
    <definedName name="A_ALL_KEYWORDS_TYPE_Vector_ISSR_208021158">#REF!,#REF!,#REF!,#REF!,#REF!,#REF!,#REF!,#REF!,#REF!,#REF!,#REF!,#REF!</definedName>
    <definedName name="A_ALL_KEYWORDS_TYPE_Vector_ISSR_208021173">#REF!,#REF!,#REF!,#REF!,#REF!,#REF!,#REF!,#REF!,#REF!,#REF!,#REF!,#REF!,#REF!</definedName>
    <definedName name="A_ALL_KEYWORDS_TYPE_Vector_ISSR_208021175">#REF!,#REF!,#REF!,#REF!,#REF!,#REF!,#REF!,#REF!,#REF!,#REF!,#REF!,#REF!,#REF!</definedName>
    <definedName name="A_ALL_KEYWORDS_TYPE_Vector_ISSR_208021186">#REF!,#REF!,#REF!,#REF!,#REF!,#REF!,#REF!,#REF!,#REF!,#REF!,#REF!,#REF!</definedName>
    <definedName name="A_ALL_SECTION_KEYWORDS_EQTY_200006786_13A">#REF!</definedName>
    <definedName name="A_ALL_SECTION_KEYWORDS_EQTY_200006786_13K">#REF!</definedName>
    <definedName name="A_ALL_SECTION_KEYWORDS_EQTY_200008919_13A">#REF!</definedName>
    <definedName name="A_ALL_SECTION_KEYWORDS_EQTY_200019559_13A">#REF!</definedName>
    <definedName name="A_ALL_SECTION_KEYWORDS_ISSR_208002015_13V">#REF!,#REF!</definedName>
    <definedName name="A_ALL_SECTION_KEYWORDS_ISSR_208006410_136E">#REF!,#REF!</definedName>
    <definedName name="A_ALL_SECTION_KEYWORDS_ISSR_208007067_13V">#REF!,#REF!</definedName>
    <definedName name="A_ALL_SECTION_KEYWORDS_ISSR_208009698_1316U">#REF!,#REF!</definedName>
    <definedName name="A_ALL_SECTION_KEYWORDS_ISSR_208009916_1316U">#REF!,#REF!</definedName>
    <definedName name="A_ALL_SECTION_KEYWORDS_ISSR_208010212_13V">#REF!,#REF!</definedName>
    <definedName name="A_ALL_SECTION_KEYWORDS_ISSR_208011603_136E">#REF!,#REF!</definedName>
    <definedName name="A_ALL_SECTION_KEYWORDS_ISSR_208013036_13168">#REF!</definedName>
    <definedName name="A_ALL_SECTION_KEYWORDS_ISSR_208013036_1319">#REF!</definedName>
    <definedName name="A_ALL_SECTION_KEYWORDS_ISSR_208013036_136E">#REF!,#REF!</definedName>
    <definedName name="A_ALL_SECTION_KEYWORDS_ISSR_208015000_13V">#REF!,#REF!</definedName>
    <definedName name="A_ALL_SECTION_KEYWORDS_ISSR_208015997_1316U">#REF!,#REF!</definedName>
    <definedName name="A_ALL_SECTION_KEYWORDS_ISSR_208018057_136E">#REF!,#REF!</definedName>
    <definedName name="A_ALL_SECTION_KEYWORDS_ISSR_208019081_13V">#REF!,#REF!</definedName>
    <definedName name="A_ALL_SECTION_KEYWORDS_ISSR_208019322_13V">#REF!,#REF!</definedName>
    <definedName name="A_ALL_SECTION_KEYWORDS_ISSR_208021173_13V">#REF!,#REF!</definedName>
    <definedName name="A_ALL_SECTION_KEYWORDS_ISSR_208021175_13V">#REF!,#REF!</definedName>
    <definedName name="A_ALL_SECTIONS_EQTY_200011172">#REF!,#REF!,#REF!,#REF!,#REF!,#REF!,#REF!,#REF!</definedName>
    <definedName name="A_ALL_SECTIONS_EQTY_200012735">#REF!,#REF!,#REF!,#REF!,#REF!,#REF!,#REF!,#REF!</definedName>
    <definedName name="A_ALL_SECTIONS_EQTY_200012909">#REF!,#REF!,#REF!,#REF!,#REF!,#REF!,#REF!,#REF!</definedName>
    <definedName name="A_ALL_SECTIONS_EQTY_200012913">#REF!,#REF!,#REF!,#REF!,#REF!,#REF!,#REF!,#REF!</definedName>
    <definedName name="A_ALL_SECTIONS_EQTY_200016087">#REF!,#REF!,#REF!,#REF!,#REF!,#REF!,#REF!,#REF!</definedName>
    <definedName name="A_ALL_SECTIONS_EQTY_200018245">#REF!,#REF!,#REF!,#REF!,#REF!,#REF!,#REF!,#REF!</definedName>
    <definedName name="A_ALL_SECTIONS_ISSR_208008548">#REF!,#REF!,#REF!,#REF!,#REF!,#REF!,#REF!,#REF!,#REF!,#REF!</definedName>
    <definedName name="A_ALL_SECTIONS_ISSR_208009698">#REF!,#REF!,#REF!,#REF!,#REF!,#REF!,#REF!,#REF!,#REF!</definedName>
    <definedName name="A_ALL_SECTIONS_ISSR_208009912">#REF!,#REF!,#REF!,#REF!,#REF!,#REF!,#REF!,#REF!,#REF!,#REF!</definedName>
    <definedName name="A_ALL_SECTIONS_ISSR_208009916">#REF!,#REF!,#REF!,#REF!,#REF!,#REF!,#REF!,#REF!,#REF!</definedName>
    <definedName name="A_ALL_SECTIONS_ISSR_208013035">#REF!,#REF!,#REF!,#REF!,#REF!,#REF!,#REF!,#REF!,#REF!,#REF!</definedName>
    <definedName name="ASP">#REF!</definedName>
    <definedName name="DATES">#REF!</definedName>
    <definedName name="DES">#REF!</definedName>
    <definedName name="E_ALL_000050.SZ">#REF!</definedName>
    <definedName name="E_ALL_000063.SZ">#REF!</definedName>
    <definedName name="E_ALL_000413.SZ">#REF!</definedName>
    <definedName name="E_ALL_000422.SZ">#REF!</definedName>
    <definedName name="E_ALL_000725.SZ">#REF!</definedName>
    <definedName name="E_ALL_002153.SZ">#REF!</definedName>
    <definedName name="E_ALL_002230.SZ">#REF!</definedName>
    <definedName name="E_ALL_002236.SZ">#REF!</definedName>
    <definedName name="E_ALL_002261.SZ">#REF!</definedName>
    <definedName name="E_ALL_002371.SZ">#REF!</definedName>
    <definedName name="E_ALL_002396.SZ">#REF!</definedName>
    <definedName name="E_ALL_002405.SZ">#REF!</definedName>
    <definedName name="E_ALL_002415.SZ">#REF!</definedName>
    <definedName name="E_ALL_002449.SZ">#REF!</definedName>
    <definedName name="E_ALL_002456.SZ">#REF!</definedName>
    <definedName name="E_ALL_002876.SZ">#REF!</definedName>
    <definedName name="E_ALL_0522.HK">#REF!</definedName>
    <definedName name="E_ALL_0981.HK">#REF!</definedName>
    <definedName name="E_ALL_1347.HK">#REF!</definedName>
    <definedName name="E_ALL_2018.HK">#REF!</definedName>
    <definedName name="E_ALL_2303.TW">#REF!</definedName>
    <definedName name="E_ALL_300002.SZ">#REF!</definedName>
    <definedName name="E_ALL_300308.SZ">#REF!</definedName>
    <definedName name="E_ALL_300394.SZ">#REF!</definedName>
    <definedName name="E_ALL_300567.SZ">#REF!</definedName>
    <definedName name="E_ALL_4966.TWO">#REF!</definedName>
    <definedName name="E_ALL_600271.SS">#REF!</definedName>
    <definedName name="E_ALL_600498.SS">#REF!</definedName>
    <definedName name="E_ALL_600570.SS">#REF!</definedName>
    <definedName name="E_ALL_600584.SS">#REF!</definedName>
    <definedName name="E_ALL_600699.SS">#REF!</definedName>
    <definedName name="E_ALL_603501.SS">#REF!</definedName>
    <definedName name="E_ALL_603986.SS">#REF!</definedName>
    <definedName name="E_ALL_6415.TW">#REF!</definedName>
    <definedName name="E_ALL_688012.SS">#REF!</definedName>
    <definedName name="E_ALL_688019.SS">#REF!</definedName>
    <definedName name="E_ALL_688049.SS">#REF!</definedName>
    <definedName name="E_ALL_688126.SS">#REF!</definedName>
    <definedName name="E_ALL_688200.SS">#REF!</definedName>
    <definedName name="E_ALL_688608.SS">#REF!</definedName>
    <definedName name="E_ALL_688630.SS">#REF!</definedName>
    <definedName name="E_ALL_KEYWORDS_TYPE_ScalarContributed_EQTY_200011172">#REF!,#REF!</definedName>
    <definedName name="E_ALL_KEYWORDS_TYPE_ScalarContributed_EQTY_200012735">#REF!,#REF!</definedName>
    <definedName name="E_ALL_KEYWORDS_TYPE_ScalarContributed_EQTY_200012909">#REF!,#REF!</definedName>
    <definedName name="E_ALL_KEYWORDS_TYPE_ScalarContributed_EQTY_200012913">#REF!,#REF!</definedName>
    <definedName name="E_ALL_KEYWORDS_TYPE_ScalarContributed_EQTY_200016087">#REF!,#REF!</definedName>
    <definedName name="E_ALL_KEYWORDS_TYPE_ScalarContributed_EQTY_200019558">#REF!,#REF!</definedName>
    <definedName name="E_ALL_KEYWORDS_TYPE_ScalarContributed_EQTY_200019559">#REF!,#REF!</definedName>
    <definedName name="E_ALL_KEYWORDS_TYPE_ScalarContributed_ISSR_208015000">#REF!,#REF!</definedName>
    <definedName name="E_ALL_KEYWORDS_TYPE_ScalarContributed_ISSR_208017752">#REF!,#REF!</definedName>
    <definedName name="E_ALL_KEYWORDS_TYPE_ScalarContributed_ISSR_208017814">#REF!,#REF!</definedName>
    <definedName name="E_ALL_KEYWORDS_TYPE_ScalarContributed_ISSR_208019081">#REF!,#REF!</definedName>
    <definedName name="E_ALL_KEYWORDS_TYPE_Vector_EQTY_200011172">#REF!,#REF!,#REF!,#REF!,#REF!</definedName>
    <definedName name="E_ALL_KEYWORDS_TYPE_Vector_EQTY_200012735">#REF!,#REF!,#REF!,#REF!,#REF!</definedName>
    <definedName name="E_ALL_KEYWORDS_TYPE_Vector_EQTY_200012909">#REF!,#REF!,#REF!,#REF!,#REF!</definedName>
    <definedName name="E_ALL_KEYWORDS_TYPE_Vector_EQTY_200012913">#REF!,#REF!,#REF!,#REF!,#REF!</definedName>
    <definedName name="E_ALL_KEYWORDS_TYPE_Vector_EQTY_200016087">#REF!,#REF!,#REF!,#REF!,#REF!</definedName>
    <definedName name="E_ALL_KEYWORDS_TYPE_Vector_EQTY_200017468">#REF!,#REF!,#REF!,#REF!,#REF!</definedName>
    <definedName name="E_ALL_KEYWORDS_TYPE_Vector_EQTY_200018245">#REF!,#REF!,#REF!,#REF!,#REF!</definedName>
    <definedName name="E_ALL_KEYWORDS_TYPE_Vector_EQTY_200019376">#REF!,#REF!,#REF!,#REF!,#REF!</definedName>
    <definedName name="E_ALL_KEYWORDS_TYPE_Vector_EQTY_200019399">#REF!,#REF!,#REF!,#REF!,#REF!</definedName>
    <definedName name="E_ALL_KEYWORDS_TYPE_Vector_EQTY_200020142">#REF!,#REF!,#REF!,#REF!,#REF!</definedName>
    <definedName name="E_ALL_KEYWORDS_TYPE_Vector_ISSR_208008548">#REF!,#REF!,#REF!,#REF!,#REF!,#REF!,#REF!,#REF!,#REF!,#REF!,#REF!,#REF!,#REF!,#REF!,#REF!,#REF!</definedName>
    <definedName name="E_ALL_KEYWORDS_TYPE_Vector_ISSR_208009698">#REF!,#REF!,#REF!,#REF!,#REF!,#REF!,#REF!,#REF!,#REF!</definedName>
    <definedName name="E_ALL_KEYWORDS_TYPE_Vector_ISSR_208009912">#REF!,#REF!,#REF!,#REF!,#REF!,#REF!,#REF!,#REF!,#REF!,#REF!,#REF!,#REF!,#REF!,#REF!,#REF!</definedName>
    <definedName name="E_ALL_KEYWORDS_TYPE_Vector_ISSR_208009916">#REF!,#REF!,#REF!,#REF!,#REF!,#REF!,#REF!,#REF!,#REF!</definedName>
    <definedName name="E_ALL_KEYWORDS_TYPE_Vector_ISSR_208013035">#REF!,#REF!,#REF!,#REF!,#REF!,#REF!,#REF!,#REF!,#REF!,#REF!,#REF!,#REF!,#REF!,#REF!,#REF!</definedName>
    <definedName name="E_ALL_KEYWORDS_TYPE_Vector_ISSR_208015000">#REF!,#REF!,#REF!,#REF!,#REF!,#REF!,#REF!,#REF!,#REF!,#REF!,#REF!,#REF!,#REF!,#REF!,#REF!,#REF!,#REF!,#REF!,#REF!,#REF!,#REF!</definedName>
    <definedName name="E_ALL_KEYWORDS_TYPE_Vector_ISSR_208017752">#REF!,#REF!,#REF!,#REF!,#REF!,#REF!,#REF!,#REF!,#REF!,#REF!,#REF!,#REF!,#REF!</definedName>
    <definedName name="E_ALL_KEYWORDS_TYPE_Vector_ISSR_208017814">#REF!,#REF!,#REF!,#REF!,#REF!,#REF!,#REF!,#REF!,#REF!,#REF!,#REF!,#REF!,#REF!</definedName>
    <definedName name="E_ALL_KEYWORDS_TYPE_Vector_ISSR_208019081">#REF!,#REF!,#REF!,#REF!,#REF!,#REF!,#REF!,#REF!,#REF!,#REF!,#REF!,#REF!,#REF!</definedName>
    <definedName name="E_ALL_SECTION_KEYWORDS_EQTY_200019399_13K">#REF!</definedName>
    <definedName name="E_ALL_SECTION_KEYWORDS_EQTY_200019559_13A">#REF!</definedName>
    <definedName name="E_ALL_SECTION_KEYWORDS_ISSR_208015000_13V">#REF!,#REF!</definedName>
    <definedName name="E_ALL_SECTION_KEYWORDS_ISSR_208017752_13V">#REF!,#REF!</definedName>
    <definedName name="E_ALL_SECTION_KEYWORDS_ISSR_208017814_1314">#REF!</definedName>
    <definedName name="E_ALL_SECTION_KEYWORDS_ISSR_208017814_1319">#REF!</definedName>
    <definedName name="E_ALL_SECTION_KEYWORDS_ISSR_208017814_131E">#REF!</definedName>
    <definedName name="E_ALL_SECTION_KEYWORDS_ISSR_208017814_13V">#REF!,#REF!</definedName>
    <definedName name="E_ALL_SECTION_KEYWORDS_ISSR_208019081_13V">#REF!,#REF!</definedName>
    <definedName name="E_ALL_SECTIONS_EQTY_200011172">#REF!,#REF!,#REF!,#REF!,#REF!,#REF!,#REF!,#REF!</definedName>
    <definedName name="E_ALL_SECTIONS_EQTY_200012735">#REF!,#REF!,#REF!,#REF!,#REF!,#REF!,#REF!,#REF!</definedName>
    <definedName name="E_ALL_SECTIONS_EQTY_200012909">#REF!,#REF!,#REF!,#REF!,#REF!,#REF!,#REF!,#REF!</definedName>
    <definedName name="E_ALL_SECTIONS_EQTY_200012913">#REF!,#REF!,#REF!,#REF!,#REF!,#REF!,#REF!,#REF!</definedName>
    <definedName name="E_ALL_SECTIONS_EQTY_200016087">#REF!,#REF!,#REF!,#REF!,#REF!,#REF!,#REF!,#REF!</definedName>
    <definedName name="E_ALL_SECTIONS_EQTY_200018245">#REF!,#REF!,#REF!,#REF!,#REF!,#REF!,#REF!,#REF!</definedName>
    <definedName name="E_ALL_SECTIONS_ISSR_208008548">#REF!,#REF!,#REF!,#REF!,#REF!,#REF!,#REF!,#REF!,#REF!,#REF!</definedName>
    <definedName name="E_ALL_SECTIONS_ISSR_208009698">#REF!,#REF!,#REF!,#REF!,#REF!,#REF!,#REF!,#REF!,#REF!</definedName>
    <definedName name="E_ALL_SECTIONS_ISSR_208009912">#REF!,#REF!,#REF!,#REF!,#REF!,#REF!,#REF!,#REF!,#REF!,#REF!</definedName>
    <definedName name="E_ALL_SECTIONS_ISSR_208009916">#REF!,#REF!,#REF!,#REF!,#REF!,#REF!,#REF!,#REF!,#REF!</definedName>
    <definedName name="E_ALL_SECTIONS_ISSR_208013035">#REF!,#REF!,#REF!,#REF!,#REF!,#REF!,#REF!,#REF!,#REF!,#REF!</definedName>
    <definedName name="E_CURRENCY_EQTY_200011172_PRI">#REF!</definedName>
    <definedName name="E_CURRENCY_EQTY_200011172_PUB">#REF!</definedName>
    <definedName name="E_CURRENCY_EQTY_200011172_REP">#REF!</definedName>
    <definedName name="E_CURRENCY_EQTY_200012735_PRI">#REF!</definedName>
    <definedName name="E_CURRENCY_EQTY_200012735_PUB">#REF!</definedName>
    <definedName name="E_CURRENCY_EQTY_200012735_REP">#REF!</definedName>
    <definedName name="E_CURRENCY_EQTY_200012909_PRI">#REF!</definedName>
    <definedName name="E_CURRENCY_EQTY_200012909_PUB">#REF!</definedName>
    <definedName name="E_CURRENCY_EQTY_200012909_REP">#REF!</definedName>
    <definedName name="E_CURRENCY_EQTY_200012913_PRI">#REF!</definedName>
    <definedName name="E_CURRENCY_EQTY_200012913_PUB">#REF!</definedName>
    <definedName name="E_CURRENCY_EQTY_200012913_REP">#REF!</definedName>
    <definedName name="E_CURRENCY_EQTY_200016087_PRI">#REF!</definedName>
    <definedName name="E_CURRENCY_EQTY_200016087_PUB">#REF!</definedName>
    <definedName name="E_CURRENCY_EQTY_200016087_REP">#REF!</definedName>
    <definedName name="E_CURRENCY_EQTY_200018245_PRI">#REF!</definedName>
    <definedName name="E_CURRENCY_EQTY_200018245_PUB">#REF!</definedName>
    <definedName name="E_CURRENCY_EQTY_200018245_REP">#REF!</definedName>
    <definedName name="E_CURRENCY_ISSR_208008548_REP">#REF!</definedName>
    <definedName name="E_CURRENCY_ISSR_208009698_REP">#REF!</definedName>
    <definedName name="E_CURRENCY_ISSR_208009912_REP">#REF!</definedName>
    <definedName name="E_CURRENCY_ISSR_208009916_REP">#REF!</definedName>
    <definedName name="E_CURRENCY_ISSR_208013035_REP">#REF!</definedName>
    <definedName name="E_CURRENCY_ISSR_208015997_REP">#REF!</definedName>
    <definedName name="IDS">#REF!</definedName>
    <definedName name="L_ALL_000050.SZ">#REF!</definedName>
    <definedName name="L_ALL_000063.SZ">#REF!</definedName>
    <definedName name="L_ALL_000413.SZ">#REF!</definedName>
    <definedName name="L_ALL_000422.SZ">#REF!</definedName>
    <definedName name="L_ALL_000725.SZ">#REF!</definedName>
    <definedName name="L_ALL_002153.SZ">#REF!</definedName>
    <definedName name="L_ALL_002230.SZ">#REF!</definedName>
    <definedName name="L_ALL_002236.SZ">#REF!</definedName>
    <definedName name="L_ALL_002261.SZ">#REF!</definedName>
    <definedName name="L_ALL_002371.SZ">#REF!</definedName>
    <definedName name="L_ALL_002396.SZ">#REF!</definedName>
    <definedName name="L_ALL_002405.SZ">#REF!</definedName>
    <definedName name="L_ALL_002415.SZ">#REF!</definedName>
    <definedName name="L_ALL_002415.SZ_">#REF!</definedName>
    <definedName name="L_ALL_002449.SZ">#REF!</definedName>
    <definedName name="L_ALL_002456.SZ">#REF!</definedName>
    <definedName name="L_ALL_002876.SZ">#REF!</definedName>
    <definedName name="L_ALL_0522.HK">#REF!</definedName>
    <definedName name="L_ALL_0981.HK">#REF!</definedName>
    <definedName name="L_ALL_1347.HK">#REF!</definedName>
    <definedName name="L_ALL_2018.HK">#REF!</definedName>
    <definedName name="L_ALL_2303.TW">#REF!</definedName>
    <definedName name="L_ALL_300002.SZ">#REF!</definedName>
    <definedName name="L_ALL_300308.SZ">#REF!</definedName>
    <definedName name="L_ALL_300394.SZ">#REF!</definedName>
    <definedName name="L_ALL_300567.SZ">#REF!</definedName>
    <definedName name="L_ALL_4966.TWO">#REF!</definedName>
    <definedName name="L_ALL_600271.SS">#REF!</definedName>
    <definedName name="L_ALL_600498.SS">#REF!</definedName>
    <definedName name="L_ALL_600570.SS">#REF!</definedName>
    <definedName name="L_ALL_600584.SS">#REF!</definedName>
    <definedName name="L_ALL_600699.SS">#REF!</definedName>
    <definedName name="L_ALL_603501.SS">#REF!</definedName>
    <definedName name="L_ALL_603986.SS">#REF!</definedName>
    <definedName name="L_ALL_6415.TW">#REF!</definedName>
    <definedName name="L_ALL_688012.SS">#REF!</definedName>
    <definedName name="L_ALL_688019.SS">#REF!</definedName>
    <definedName name="L_ALL_688049.SS">#REF!</definedName>
    <definedName name="L_ALL_688126.SS">#REF!</definedName>
    <definedName name="L_ALL_688200.SS">#REF!</definedName>
    <definedName name="L_ALL_688608.SS">#REF!</definedName>
    <definedName name="L_ALL_688630.SS">#REF!</definedName>
    <definedName name="L_ALL_KEYWORDS_TYPE_Breakdown_EQTY_200008919">#REF!</definedName>
    <definedName name="L_ALL_KEYWORDS_TYPE_ScalarContributed_EQTY_200006786">#REF!,#REF!,#REF!,#REF!</definedName>
    <definedName name="L_ALL_KEYWORDS_TYPE_ScalarContributed_EQTY_200008919">#REF!,#REF!</definedName>
    <definedName name="L_ALL_KEYWORDS_TYPE_ScalarContributed_EQTY_200011172">#REF!,#REF!</definedName>
    <definedName name="L_ALL_KEYWORDS_TYPE_ScalarContributed_EQTY_200012735">#REF!,#REF!</definedName>
    <definedName name="L_ALL_KEYWORDS_TYPE_ScalarContributed_EQTY_200012909">#REF!,#REF!</definedName>
    <definedName name="L_ALL_KEYWORDS_TYPE_ScalarContributed_EQTY_200012913">#REF!,#REF!</definedName>
    <definedName name="L_ALL_KEYWORDS_TYPE_ScalarContributed_EQTY_200016087">#REF!,#REF!</definedName>
    <definedName name="L_ALL_KEYWORDS_TYPE_ScalarContributed_EQTY_200019558">#REF!,#REF!</definedName>
    <definedName name="L_ALL_KEYWORDS_TYPE_ScalarContributed_EQTY_200019559">#REF!,#REF!</definedName>
    <definedName name="L_ALL_KEYWORDS_TYPE_ScalarContributed_EQTY_200019876">#REF!,#REF!,#REF!</definedName>
    <definedName name="L_ALL_KEYWORDS_TYPE_ScalarContributed_ISSR_208002015">#REF!,#REF!</definedName>
    <definedName name="L_ALL_KEYWORDS_TYPE_ScalarContributed_ISSR_208007067">#REF!,#REF!</definedName>
    <definedName name="L_ALL_KEYWORDS_TYPE_ScalarContributed_ISSR_208010212">#REF!,#REF!</definedName>
    <definedName name="L_ALL_KEYWORDS_TYPE_ScalarContributed_ISSR_208015000">#REF!,#REF!</definedName>
    <definedName name="L_ALL_KEYWORDS_TYPE_ScalarContributed_ISSR_208019081">#REF!,#REF!</definedName>
    <definedName name="L_ALL_KEYWORDS_TYPE_ScalarContributed_ISSR_208019322">#REF!,#REF!</definedName>
    <definedName name="L_ALL_KEYWORDS_TYPE_ScalarContributed_ISSR_208021173">#REF!,#REF!</definedName>
    <definedName name="L_ALL_KEYWORDS_TYPE_ScalarContributed_ISSR_208021175">#REF!,#REF!</definedName>
    <definedName name="L_ALL_KEYWORDS_TYPE_Vector_EQTY_200006785">#REF!,#REF!,#REF!,#REF!,#REF!</definedName>
    <definedName name="L_ALL_KEYWORDS_TYPE_Vector_EQTY_200006786">#REF!,#REF!,#REF!,#REF!,#REF!,#REF!</definedName>
    <definedName name="L_ALL_KEYWORDS_TYPE_Vector_EQTY_200008918">#REF!,#REF!,#REF!,#REF!,#REF!</definedName>
    <definedName name="L_ALL_KEYWORDS_TYPE_Vector_EQTY_200011172">#REF!,#REF!,#REF!,#REF!,#REF!</definedName>
    <definedName name="L_ALL_KEYWORDS_TYPE_Vector_EQTY_200012735">#REF!,#REF!,#REF!,#REF!,#REF!</definedName>
    <definedName name="L_ALL_KEYWORDS_TYPE_Vector_EQTY_200012909">#REF!,#REF!,#REF!,#REF!,#REF!</definedName>
    <definedName name="L_ALL_KEYWORDS_TYPE_Vector_EQTY_200012913">#REF!,#REF!,#REF!,#REF!,#REF!</definedName>
    <definedName name="L_ALL_KEYWORDS_TYPE_Vector_EQTY_200013283">#REF!,#REF!,#REF!,#REF!,#REF!</definedName>
    <definedName name="L_ALL_KEYWORDS_TYPE_Vector_EQTY_200016087">#REF!,#REF!,#REF!,#REF!,#REF!</definedName>
    <definedName name="L_ALL_KEYWORDS_TYPE_Vector_EQTY_200017468">#REF!,#REF!,#REF!,#REF!,#REF!</definedName>
    <definedName name="L_ALL_KEYWORDS_TYPE_Vector_EQTY_200018245">#REF!,#REF!,#REF!,#REF!,#REF!</definedName>
    <definedName name="L_ALL_KEYWORDS_TYPE_Vector_EQTY_200020142">#REF!,#REF!,#REF!,#REF!,#REF!</definedName>
    <definedName name="L_ALL_KEYWORDS_TYPE_Vector_EQTY_200020296">#REF!,#REF!,#REF!,#REF!,#REF!</definedName>
    <definedName name="L_ALL_KEYWORDS_TYPE_Vector_EQTY_200021697">#REF!,#REF!,#REF!,#REF!,#REF!</definedName>
    <definedName name="L_ALL_KEYWORDS_TYPE_Vector_EQTY_200021698">#REF!,#REF!,#REF!,#REF!,#REF!</definedName>
    <definedName name="L_ALL_KEYWORDS_TYPE_Vector_ISSR_208002015">#REF!,#REF!,#REF!,#REF!,#REF!,#REF!,#REF!,#REF!,#REF!,#REF!,#REF!,#REF!,#REF!</definedName>
    <definedName name="L_ALL_KEYWORDS_TYPE_Vector_ISSR_208006410">#REF!,#REF!,#REF!,#REF!,#REF!,#REF!,#REF!,#REF!,#REF!,#REF!,#REF!</definedName>
    <definedName name="L_ALL_KEYWORDS_TYPE_Vector_ISSR_208007067">#REF!,#REF!,#REF!,#REF!,#REF!,#REF!,#REF!,#REF!,#REF!,#REF!,#REF!,#REF!,#REF!</definedName>
    <definedName name="L_ALL_KEYWORDS_TYPE_Vector_ISSR_208008548">#REF!,#REF!,#REF!,#REF!,#REF!,#REF!,#REF!,#REF!,#REF!,#REF!,#REF!,#REF!,#REF!,#REF!,#REF!,#REF!</definedName>
    <definedName name="L_ALL_KEYWORDS_TYPE_Vector_ISSR_208009698">#REF!,#REF!,#REF!,#REF!,#REF!,#REF!,#REF!,#REF!,#REF!,#REF!,#REF!,#REF!,#REF!,#REF!</definedName>
    <definedName name="L_ALL_KEYWORDS_TYPE_Vector_ISSR_208009912">#REF!,#REF!,#REF!,#REF!,#REF!,#REF!,#REF!,#REF!,#REF!,#REF!,#REF!,#REF!,#REF!,#REF!,#REF!</definedName>
    <definedName name="L_ALL_KEYWORDS_TYPE_Vector_ISSR_208009916">#REF!,#REF!,#REF!,#REF!,#REF!,#REF!,#REF!,#REF!,#REF!,#REF!,#REF!,#REF!,#REF!,#REF!</definedName>
    <definedName name="L_ALL_KEYWORDS_TYPE_Vector_ISSR_208010212">#REF!,#REF!,#REF!,#REF!,#REF!,#REF!,#REF!,#REF!,#REF!,#REF!,#REF!,#REF!,#REF!,#REF!</definedName>
    <definedName name="L_ALL_KEYWORDS_TYPE_Vector_ISSR_208011603">#REF!,#REF!,#REF!,#REF!,#REF!,#REF!,#REF!,#REF!,#REF!,#REF!,#REF!</definedName>
    <definedName name="L_ALL_KEYWORDS_TYPE_Vector_ISSR_208013035">#REF!,#REF!,#REF!,#REF!,#REF!,#REF!,#REF!,#REF!,#REF!,#REF!,#REF!,#REF!,#REF!,#REF!,#REF!</definedName>
    <definedName name="L_ALL_KEYWORDS_TYPE_Vector_ISSR_208013036">#REF!,#REF!,#REF!,#REF!,#REF!,#REF!,#REF!,#REF!,#REF!,#REF!,#REF!</definedName>
    <definedName name="L_ALL_KEYWORDS_TYPE_Vector_ISSR_208015000">#REF!,#REF!,#REF!,#REF!,#REF!,#REF!,#REF!,#REF!,#REF!,#REF!,#REF!,#REF!,#REF!,#REF!</definedName>
    <definedName name="L_ALL_KEYWORDS_TYPE_Vector_ISSR_208015997">#REF!,#REF!,#REF!,#REF!,#REF!,#REF!,#REF!,#REF!,#REF!,#REF!,#REF!,#REF!,#REF!,#REF!</definedName>
    <definedName name="L_ALL_KEYWORDS_TYPE_Vector_ISSR_208017563">#REF!,#REF!,#REF!,#REF!,#REF!,#REF!,#REF!,#REF!,#REF!,#REF!,#REF!,#REF!</definedName>
    <definedName name="L_ALL_KEYWORDS_TYPE_Vector_ISSR_208018057">#REF!,#REF!,#REF!,#REF!,#REF!,#REF!,#REF!,#REF!,#REF!,#REF!,#REF!</definedName>
    <definedName name="L_ALL_KEYWORDS_TYPE_Vector_ISSR_208018582">#REF!,#REF!,#REF!,#REF!,#REF!,#REF!,#REF!,#REF!,#REF!,#REF!,#REF!,#REF!,#REF!</definedName>
    <definedName name="L_ALL_KEYWORDS_TYPE_Vector_ISSR_208019081">#REF!,#REF!,#REF!,#REF!,#REF!,#REF!,#REF!,#REF!,#REF!,#REF!,#REF!,#REF!,#REF!</definedName>
    <definedName name="L_ALL_KEYWORDS_TYPE_Vector_ISSR_208019322">#REF!,#REF!,#REF!,#REF!,#REF!,#REF!,#REF!,#REF!,#REF!,#REF!,#REF!,#REF!</definedName>
    <definedName name="L_ALL_KEYWORDS_TYPE_Vector_ISSR_208019900">#REF!,#REF!,#REF!,#REF!,#REF!,#REF!,#REF!,#REF!,#REF!,#REF!,#REF!,#REF!</definedName>
    <definedName name="L_ALL_KEYWORDS_TYPE_Vector_ISSR_208019901">#REF!,#REF!,#REF!,#REF!,#REF!,#REF!,#REF!,#REF!,#REF!,#REF!,#REF!,#REF!</definedName>
    <definedName name="L_ALL_KEYWORDS_TYPE_Vector_ISSR_208019930">#REF!,#REF!,#REF!,#REF!,#REF!,#REF!,#REF!,#REF!,#REF!,#REF!,#REF!,#REF!</definedName>
    <definedName name="L_ALL_KEYWORDS_TYPE_Vector_ISSR_208019958">#REF!,#REF!,#REF!,#REF!,#REF!,#REF!,#REF!,#REF!,#REF!,#REF!,#REF!,#REF!</definedName>
    <definedName name="L_ALL_KEYWORDS_TYPE_Vector_ISSR_208021158">#REF!,#REF!,#REF!,#REF!,#REF!,#REF!,#REF!,#REF!,#REF!,#REF!,#REF!,#REF!</definedName>
    <definedName name="L_ALL_KEYWORDS_TYPE_Vector_ISSR_208021173">#REF!,#REF!,#REF!,#REF!,#REF!,#REF!,#REF!,#REF!,#REF!,#REF!,#REF!,#REF!,#REF!</definedName>
    <definedName name="L_ALL_KEYWORDS_TYPE_Vector_ISSR_208021175">#REF!,#REF!,#REF!,#REF!,#REF!,#REF!,#REF!,#REF!,#REF!,#REF!,#REF!,#REF!,#REF!</definedName>
    <definedName name="L_ALL_KEYWORDS_TYPE_Vector_ISSR_208021186">#REF!,#REF!,#REF!,#REF!,#REF!,#REF!,#REF!,#REF!,#REF!,#REF!,#REF!,#REF!</definedName>
    <definedName name="L_ALL_SECTION_KEYWORDS_EQTY_200006786_13A">#REF!</definedName>
    <definedName name="L_ALL_SECTION_KEYWORDS_EQTY_200006786_13K">#REF!</definedName>
    <definedName name="L_ALL_SECTION_KEYWORDS_EQTY_200008919_13A">#REF!</definedName>
    <definedName name="L_ALL_SECTION_KEYWORDS_EQTY_200019559_13A">#REF!</definedName>
    <definedName name="L_ALL_SECTION_KEYWORDS_ISSR_208002015_13V">#REF!,#REF!</definedName>
    <definedName name="L_ALL_SECTION_KEYWORDS_ISSR_208006410_136E">#REF!,#REF!</definedName>
    <definedName name="L_ALL_SECTION_KEYWORDS_ISSR_208007067_13V">#REF!,#REF!</definedName>
    <definedName name="L_ALL_SECTION_KEYWORDS_ISSR_208009698_1316U">#REF!,#REF!</definedName>
    <definedName name="L_ALL_SECTION_KEYWORDS_ISSR_208009916_1316U">#REF!,#REF!</definedName>
    <definedName name="L_ALL_SECTION_KEYWORDS_ISSR_208010212_13V">#REF!,#REF!</definedName>
    <definedName name="L_ALL_SECTION_KEYWORDS_ISSR_208011603_136E">#REF!,#REF!</definedName>
    <definedName name="L_ALL_SECTION_KEYWORDS_ISSR_208013036_13168">#REF!</definedName>
    <definedName name="L_ALL_SECTION_KEYWORDS_ISSR_208013036_1319">#REF!</definedName>
    <definedName name="L_ALL_SECTION_KEYWORDS_ISSR_208013036_136E">#REF!,#REF!</definedName>
    <definedName name="L_ALL_SECTION_KEYWORDS_ISSR_208015000_13V">#REF!,#REF!</definedName>
    <definedName name="L_ALL_SECTION_KEYWORDS_ISSR_208015997_1316U">#REF!,#REF!</definedName>
    <definedName name="L_ALL_SECTION_KEYWORDS_ISSR_208018057_136E">#REF!,#REF!</definedName>
    <definedName name="L_ALL_SECTION_KEYWORDS_ISSR_208019081_13V">#REF!,#REF!</definedName>
    <definedName name="L_ALL_SECTION_KEYWORDS_ISSR_208019322_13V">#REF!,#REF!</definedName>
    <definedName name="L_ALL_SECTION_KEYWORDS_ISSR_208021173_13V">#REF!,#REF!</definedName>
    <definedName name="L_ALL_SECTION_KEYWORDS_ISSR_208021175_13V">#REF!,#REF!</definedName>
    <definedName name="L_ALL_SECTIONS_EQTY_200011172">#REF!,#REF!,#REF!,#REF!,#REF!,#REF!,#REF!,#REF!</definedName>
    <definedName name="L_ALL_SECTIONS_EQTY_200012735">#REF!,#REF!,#REF!,#REF!,#REF!,#REF!,#REF!,#REF!</definedName>
    <definedName name="L_ALL_SECTIONS_EQTY_200012909">#REF!,#REF!,#REF!,#REF!,#REF!,#REF!,#REF!,#REF!</definedName>
    <definedName name="L_ALL_SECTIONS_EQTY_200012913">#REF!,#REF!,#REF!,#REF!,#REF!,#REF!,#REF!,#REF!</definedName>
    <definedName name="L_ALL_SECTIONS_EQTY_200016087">#REF!,#REF!,#REF!,#REF!,#REF!,#REF!,#REF!,#REF!</definedName>
    <definedName name="L_ALL_SECTIONS_EQTY_200018245">#REF!,#REF!,#REF!,#REF!,#REF!,#REF!,#REF!,#REF!</definedName>
    <definedName name="L_ALL_SECTIONS_ISSR_208008548">#REF!,#REF!,#REF!,#REF!,#REF!,#REF!,#REF!,#REF!,#REF!,#REF!</definedName>
    <definedName name="L_ALL_SECTIONS_ISSR_208009698">#REF!,#REF!,#REF!,#REF!,#REF!,#REF!,#REF!,#REF!,#REF!</definedName>
    <definedName name="L_ALL_SECTIONS_ISSR_208009912">#REF!,#REF!,#REF!,#REF!,#REF!,#REF!,#REF!,#REF!,#REF!,#REF!</definedName>
    <definedName name="L_ALL_SECTIONS_ISSR_208009916">#REF!,#REF!,#REF!,#REF!,#REF!,#REF!,#REF!,#REF!,#REF!</definedName>
    <definedName name="L_ALL_SECTIONS_ISSR_208013035">#REF!,#REF!,#REF!,#REF!,#REF!,#REF!,#REF!,#REF!,#REF!,#REF!</definedName>
    <definedName name="L_CURRENCY_EQTY_200011172_PRI">#REF!</definedName>
    <definedName name="L_CURRENCY_EQTY_200011172_PUB">#REF!</definedName>
    <definedName name="L_CURRENCY_EQTY_200011172_REP">#REF!</definedName>
    <definedName name="L_CURRENCY_EQTY_200012735_PRI">#REF!</definedName>
    <definedName name="L_CURRENCY_EQTY_200012735_PUB">#REF!</definedName>
    <definedName name="L_CURRENCY_EQTY_200012735_REP">#REF!</definedName>
    <definedName name="L_CURRENCY_EQTY_200012909_PRI">#REF!</definedName>
    <definedName name="L_CURRENCY_EQTY_200012909_PUB">#REF!</definedName>
    <definedName name="L_CURRENCY_EQTY_200012909_REP">#REF!</definedName>
    <definedName name="L_CURRENCY_EQTY_200012913_PRI">#REF!</definedName>
    <definedName name="L_CURRENCY_EQTY_200012913_PUB">#REF!</definedName>
    <definedName name="L_CURRENCY_EQTY_200012913_REP">#REF!</definedName>
    <definedName name="L_CURRENCY_EQTY_200016087_PRI">#REF!</definedName>
    <definedName name="L_CURRENCY_EQTY_200016087_PUB">#REF!</definedName>
    <definedName name="L_CURRENCY_EQTY_200016087_REP">#REF!</definedName>
    <definedName name="L_CURRENCY_EQTY_200018245_PRI">#REF!</definedName>
    <definedName name="L_CURRENCY_EQTY_200018245_PUB">#REF!</definedName>
    <definedName name="L_CURRENCY_EQTY_200018245_REP">#REF!</definedName>
    <definedName name="L_CURRENCY_ISSR_208008548_REP">#REF!</definedName>
    <definedName name="L_CURRENCY_ISSR_208009698_REP">#REF!</definedName>
    <definedName name="L_CURRENCY_ISSR_208009912_REP">#REF!</definedName>
    <definedName name="L_CURRENCY_ISSR_208009916_REP">#REF!</definedName>
    <definedName name="L_CURRENCY_ISSR_208013035_REP">#REF!</definedName>
    <definedName name="L_CURRENCY_ISSR_208015997_REP">#REF!</definedName>
    <definedName name="OBS">#REF!</definedName>
    <definedName name="rrrr">#REF!</definedName>
    <definedName name="solver_adj" localSheetId="1" hidden="1">Assumption!#REF!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Assumption!$AM$42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  <definedName name="SpreadsheetBuilder_1" hidden="1">#REF!</definedName>
    <definedName name="SpreadsheetBuilder_2" hidden="1">#REF!</definedName>
    <definedName name="SpreadsheetBuilder_3" hidden="1">#REF!</definedName>
    <definedName name="Tigr_Exhibit00400428_a0e0_415d_9c1b_269d646b3614" hidden="1">#REF!</definedName>
    <definedName name="Tigr_Exhibit00d43779_9baf_44e9_a854_8ff4c509d761" hidden="1">#REF!</definedName>
    <definedName name="Tigr_Exhibit08ce656f_3d2e_4942_b713_8527d8503af7" hidden="1">#REF!</definedName>
    <definedName name="Tigr_Exhibit1ce9642f_d9c5_417d_b3d2_6a5fc861d074" hidden="1">#REF!</definedName>
    <definedName name="Tigr_Exhibit2b816ec0_33c5_45bf_b5fa_3e18a9a2b010" hidden="1">#REF!</definedName>
    <definedName name="Tigr_Exhibit31b91d07_1f8f_4088_a583_9357e81a697d" hidden="1">#REF!</definedName>
    <definedName name="Tigr_Exhibit34c5fed8_1f0f_46ab_a61a_c15d4d83118d" hidden="1">#REF!</definedName>
    <definedName name="Tigr_Exhibit3847e256_2a32_4b37_a4fe_cfbdce94e977" hidden="1">#REF!</definedName>
    <definedName name="Tigr_Exhibit4205ad55_9781_4289_bf12_fd12592939eb" hidden="1">#REF!</definedName>
    <definedName name="Tigr_Exhibit46da0b89_e3f8_4af2_a6b7_374f4d72efdd" hidden="1">#REF!</definedName>
    <definedName name="Tigr_Exhibit48c03c34_bf41_44b4_9198_c2efd7f2cfd5" hidden="1">#REF!</definedName>
    <definedName name="Tigr_Exhibit50970383_b545_4790_a22f_d314d287a39d" hidden="1">#REF!</definedName>
    <definedName name="Tigr_Exhibit56b33795_7bf8_4e87_b4e0_e52176a1d3c7" hidden="1">#REF!</definedName>
    <definedName name="Tigr_Exhibit68c3ac07_1db5_4ce4_a48a_436ca76c6afe" hidden="1">#REF!</definedName>
    <definedName name="Tigr_Exhibit6bf0b7f9_553b_4d4a_98bf_5a833381aea5" hidden="1">#REF!</definedName>
    <definedName name="Tigr_Exhibit9b60f733_be0b_4edb_84d6_e981fb87781a" hidden="1">#REF!</definedName>
    <definedName name="Tigr_Exhibita93262e5_e8a9_4e8b_8519_2dac90c97095" hidden="1">#REF!</definedName>
    <definedName name="Tigr_Exhibitaa369b83_5c2d_4559_bc2a_18bb2f1417af" hidden="1">#REF!</definedName>
    <definedName name="Tigr_Exhibitb1864d0f_5ddf_40cf_857f_2f221aa1077a" hidden="1">#REF!</definedName>
    <definedName name="Tigr_Exhibitc8c188a3_efb3_458f_a8ae_688200f91a6a" hidden="1">#REF!</definedName>
    <definedName name="Tigr_Exhibitcfe88003_4191_497e_a629_84140342cace" hidden="1">#REF!</definedName>
    <definedName name="Tigr_Exhibitd049700a_8937_496d_aea1_4a0b8c2b4ab2" hidden="1">#REF!</definedName>
    <definedName name="Tigr_Exhibitdcc1eb0d_8551_47a4_a0c4_6fe3df77517e" hidden="1">#REF!</definedName>
    <definedName name="Tigr_Exhibitde6e44d7_7700_4102_8fca_1389eb4b0ec3" hidden="1">#REF!</definedName>
    <definedName name="Tigr_Exhibite291a57f_a430_4769_9d3d_2ed947406e56" hidden="1">#REF!</definedName>
    <definedName name="Tigr_Exhibite7b89801_728e_47d7_b690_b69a16dec4d1" hidden="1">#REF!</definedName>
    <definedName name="Tigr_Exhibitf558570c_782a_42bf_a8c9_fb2706b084f6" hidden="1">#REF!</definedName>
    <definedName name="Tigr_Exhibitf5a729f1_8c8d_4391_9d18_a4b71011d31c" hidden="1">#REF!</definedName>
    <definedName name="TRNR_2bcf7f9d4c4a417fa94341861ff9ce87_273_1" hidden="1">#REF!</definedName>
    <definedName name="TRNR_cdefadb7daff4efeac537da9a25168b9_4_1" hidden="1">#REF!</definedName>
    <definedName name="TRNR_cf7c4239c1d440bc9b809755ad21be76_273_1" hidden="1">#REF!</definedName>
    <definedName name="TRNR_e6cd3a98745a467b9fce866ad792b175_13_1" hidden="1">#REF!</definedName>
    <definedName name="TRNR_fc9f9782a53d478ab862048e47a6b365_273_1" hidden="1">#REF!</definedName>
    <definedName name="UNITS">#REF!</definedName>
    <definedName name="V_ALL_000050.SZ">#REF!</definedName>
    <definedName name="V_ALL_000063.SZ">#REF!</definedName>
    <definedName name="V_ALL_000413.SZ">#REF!</definedName>
    <definedName name="V_ALL_000422.SZ">#REF!</definedName>
    <definedName name="V_ALL_000725.SZ">#REF!</definedName>
    <definedName name="V_ALL_002153.SZ">#REF!</definedName>
    <definedName name="V_ALL_002230.SZ">#REF!</definedName>
    <definedName name="V_ALL_002236.SZ">#REF!</definedName>
    <definedName name="V_ALL_002261.SZ">#REF!</definedName>
    <definedName name="V_ALL_002371.SZ">#REF!</definedName>
    <definedName name="V_ALL_002396.SZ">#REF!</definedName>
    <definedName name="V_ALL_002405.SZ">#REF!</definedName>
    <definedName name="V_ALL_002415.SZ">#REF!</definedName>
    <definedName name="V_ALL_002415.SZ_">#REF!</definedName>
    <definedName name="V_ALL_002449.SZ">#REF!</definedName>
    <definedName name="V_ALL_002456.SZ">#REF!</definedName>
    <definedName name="V_ALL_002876.SZ">#REF!</definedName>
    <definedName name="V_ALL_0522.HK">#REF!</definedName>
    <definedName name="V_ALL_0981.HK">#REF!</definedName>
    <definedName name="V_ALL_1347.HK">#REF!</definedName>
    <definedName name="V_ALL_2018.HK">#REF!</definedName>
    <definedName name="V_ALL_2303.TW">#REF!</definedName>
    <definedName name="V_ALL_300002.SZ">#REF!</definedName>
    <definedName name="V_ALL_300308.SZ">#REF!</definedName>
    <definedName name="V_ALL_300394.SZ">#REF!</definedName>
    <definedName name="V_ALL_300567.SZ">#REF!</definedName>
    <definedName name="V_ALL_4966.TWO">#REF!</definedName>
    <definedName name="V_ALL_600271.SS">#REF!</definedName>
    <definedName name="V_ALL_600498.SS">#REF!</definedName>
    <definedName name="V_ALL_600570.SS">#REF!</definedName>
    <definedName name="V_ALL_600584.SS">#REF!</definedName>
    <definedName name="V_ALL_600699.SS">#REF!</definedName>
    <definedName name="V_ALL_603501.SS">#REF!</definedName>
    <definedName name="V_ALL_603986.SS">#REF!</definedName>
    <definedName name="V_ALL_6415.TW">#REF!</definedName>
    <definedName name="V_ALL_688012.SS">#REF!</definedName>
    <definedName name="V_ALL_688019.SS">#REF!</definedName>
    <definedName name="V_ALL_688049.SS">#REF!</definedName>
    <definedName name="V_ALL_688126.SS">#REF!</definedName>
    <definedName name="V_ALL_688200.SS">#REF!</definedName>
    <definedName name="V_ALL_688608.SS">#REF!</definedName>
    <definedName name="V_ALL_688630.SS">#REF!</definedName>
    <definedName name="V_ALL_KEYWORDS_TYPE_Breakdown_EQTY_200008919">#REF!</definedName>
    <definedName name="V_ALL_KEYWORDS_TYPE_ScalarContributed_EQTY_200006786">#REF!,#REF!,#REF!,#REF!</definedName>
    <definedName name="V_ALL_KEYWORDS_TYPE_ScalarContributed_EQTY_200008919">#REF!,#REF!</definedName>
    <definedName name="V_ALL_KEYWORDS_TYPE_ScalarContributed_EQTY_200011172">#REF!,#REF!</definedName>
    <definedName name="V_ALL_KEYWORDS_TYPE_ScalarContributed_EQTY_200012735">#REF!,#REF!</definedName>
    <definedName name="V_ALL_KEYWORDS_TYPE_ScalarContributed_EQTY_200012909">#REF!,#REF!</definedName>
    <definedName name="V_ALL_KEYWORDS_TYPE_ScalarContributed_EQTY_200012913">#REF!,#REF!</definedName>
    <definedName name="V_ALL_KEYWORDS_TYPE_ScalarContributed_EQTY_200016087">#REF!,#REF!</definedName>
    <definedName name="V_ALL_KEYWORDS_TYPE_ScalarContributed_EQTY_200019558">#REF!,#REF!</definedName>
    <definedName name="V_ALL_KEYWORDS_TYPE_ScalarContributed_EQTY_200019559">#REF!,#REF!</definedName>
    <definedName name="V_ALL_KEYWORDS_TYPE_ScalarContributed_EQTY_200019876">#REF!,#REF!,#REF!</definedName>
    <definedName name="V_ALL_KEYWORDS_TYPE_ScalarContributed_ISSR_208002015">#REF!,#REF!</definedName>
    <definedName name="V_ALL_KEYWORDS_TYPE_ScalarContributed_ISSR_208007067">#REF!,#REF!</definedName>
    <definedName name="V_ALL_KEYWORDS_TYPE_ScalarContributed_ISSR_208010212">#REF!,#REF!</definedName>
    <definedName name="V_ALL_KEYWORDS_TYPE_ScalarContributed_ISSR_208015000">#REF!,#REF!</definedName>
    <definedName name="V_ALL_KEYWORDS_TYPE_ScalarContributed_ISSR_208019081">#REF!,#REF!</definedName>
    <definedName name="V_ALL_KEYWORDS_TYPE_ScalarContributed_ISSR_208019322">#REF!,#REF!</definedName>
    <definedName name="V_ALL_KEYWORDS_TYPE_ScalarContributed_ISSR_208021173">#REF!,#REF!</definedName>
    <definedName name="V_ALL_KEYWORDS_TYPE_ScalarContributed_ISSR_208021175">#REF!,#REF!</definedName>
    <definedName name="V_ALL_KEYWORDS_TYPE_Vector_EQTY_200006785">#REF!,#REF!,#REF!,#REF!,#REF!</definedName>
    <definedName name="V_ALL_KEYWORDS_TYPE_Vector_EQTY_200006786">#REF!,#REF!,#REF!,#REF!,#REF!,#REF!</definedName>
    <definedName name="V_ALL_KEYWORDS_TYPE_Vector_EQTY_200008918">#REF!,#REF!,#REF!,#REF!,#REF!</definedName>
    <definedName name="V_ALL_KEYWORDS_TYPE_Vector_EQTY_200011172">#REF!,#REF!,#REF!,#REF!,#REF!</definedName>
    <definedName name="V_ALL_KEYWORDS_TYPE_Vector_EQTY_200012735">#REF!,#REF!,#REF!,#REF!,#REF!</definedName>
    <definedName name="V_ALL_KEYWORDS_TYPE_Vector_EQTY_200012909">#REF!,#REF!,#REF!,#REF!,#REF!</definedName>
    <definedName name="V_ALL_KEYWORDS_TYPE_Vector_EQTY_200012913">#REF!,#REF!,#REF!,#REF!,#REF!</definedName>
    <definedName name="V_ALL_KEYWORDS_TYPE_Vector_EQTY_200013283">#REF!,#REF!,#REF!,#REF!,#REF!</definedName>
    <definedName name="V_ALL_KEYWORDS_TYPE_Vector_EQTY_200016087">#REF!,#REF!,#REF!,#REF!,#REF!</definedName>
    <definedName name="V_ALL_KEYWORDS_TYPE_Vector_EQTY_200017468">#REF!,#REF!,#REF!,#REF!,#REF!</definedName>
    <definedName name="V_ALL_KEYWORDS_TYPE_Vector_EQTY_200018245">#REF!,#REF!,#REF!,#REF!,#REF!</definedName>
    <definedName name="V_ALL_KEYWORDS_TYPE_Vector_EQTY_200020142">#REF!,#REF!,#REF!,#REF!,#REF!</definedName>
    <definedName name="V_ALL_KEYWORDS_TYPE_Vector_EQTY_200020296">#REF!,#REF!,#REF!,#REF!,#REF!</definedName>
    <definedName name="V_ALL_KEYWORDS_TYPE_Vector_EQTY_200021697">#REF!,#REF!,#REF!,#REF!,#REF!</definedName>
    <definedName name="V_ALL_KEYWORDS_TYPE_Vector_EQTY_200021698">#REF!,#REF!,#REF!,#REF!,#REF!</definedName>
    <definedName name="V_ALL_KEYWORDS_TYPE_Vector_ISSR_208002015">#REF!,#REF!,#REF!,#REF!,#REF!,#REF!,#REF!,#REF!,#REF!,#REF!,#REF!,#REF!,#REF!</definedName>
    <definedName name="V_ALL_KEYWORDS_TYPE_Vector_ISSR_208006410">#REF!,#REF!,#REF!,#REF!,#REF!,#REF!,#REF!,#REF!,#REF!,#REF!,#REF!</definedName>
    <definedName name="V_ALL_KEYWORDS_TYPE_Vector_ISSR_208007067">#REF!,#REF!,#REF!,#REF!,#REF!,#REF!,#REF!,#REF!,#REF!,#REF!,#REF!,#REF!,#REF!</definedName>
    <definedName name="V_ALL_KEYWORDS_TYPE_Vector_ISSR_208008548">#REF!,#REF!,#REF!,#REF!,#REF!,#REF!,#REF!,#REF!,#REF!,#REF!,#REF!,#REF!,#REF!,#REF!,#REF!,#REF!</definedName>
    <definedName name="V_ALL_KEYWORDS_TYPE_Vector_ISSR_208009698">#REF!,#REF!,#REF!,#REF!,#REF!,#REF!,#REF!,#REF!,#REF!,#REF!,#REF!,#REF!,#REF!,#REF!</definedName>
    <definedName name="V_ALL_KEYWORDS_TYPE_Vector_ISSR_208009912">#REF!,#REF!,#REF!,#REF!,#REF!,#REF!,#REF!,#REF!,#REF!,#REF!,#REF!,#REF!,#REF!,#REF!,#REF!</definedName>
    <definedName name="V_ALL_KEYWORDS_TYPE_Vector_ISSR_208009916">#REF!,#REF!,#REF!,#REF!,#REF!,#REF!,#REF!,#REF!,#REF!,#REF!,#REF!,#REF!,#REF!,#REF!</definedName>
    <definedName name="V_ALL_KEYWORDS_TYPE_Vector_ISSR_208010212">#REF!,#REF!,#REF!,#REF!,#REF!,#REF!,#REF!,#REF!,#REF!,#REF!,#REF!,#REF!,#REF!,#REF!</definedName>
    <definedName name="V_ALL_KEYWORDS_TYPE_Vector_ISSR_208011603">#REF!,#REF!,#REF!,#REF!,#REF!,#REF!,#REF!,#REF!,#REF!,#REF!,#REF!</definedName>
    <definedName name="V_ALL_KEYWORDS_TYPE_Vector_ISSR_208013035">#REF!,#REF!,#REF!,#REF!,#REF!,#REF!,#REF!,#REF!,#REF!,#REF!,#REF!,#REF!,#REF!,#REF!,#REF!</definedName>
    <definedName name="V_ALL_KEYWORDS_TYPE_Vector_ISSR_208013036">#REF!,#REF!,#REF!,#REF!,#REF!,#REF!,#REF!,#REF!,#REF!,#REF!,#REF!</definedName>
    <definedName name="V_ALL_KEYWORDS_TYPE_Vector_ISSR_208015000">#REF!,#REF!,#REF!,#REF!,#REF!,#REF!,#REF!,#REF!,#REF!,#REF!,#REF!,#REF!,#REF!,#REF!</definedName>
    <definedName name="V_ALL_KEYWORDS_TYPE_Vector_ISSR_208015997">#REF!,#REF!,#REF!,#REF!,#REF!,#REF!,#REF!,#REF!,#REF!,#REF!,#REF!,#REF!,#REF!,#REF!</definedName>
    <definedName name="V_ALL_KEYWORDS_TYPE_Vector_ISSR_208017563">#REF!,#REF!,#REF!,#REF!,#REF!,#REF!,#REF!,#REF!,#REF!,#REF!,#REF!,#REF!</definedName>
    <definedName name="V_ALL_KEYWORDS_TYPE_Vector_ISSR_208018057">#REF!,#REF!,#REF!,#REF!,#REF!,#REF!,#REF!,#REF!,#REF!,#REF!,#REF!</definedName>
    <definedName name="V_ALL_KEYWORDS_TYPE_Vector_ISSR_208018582">#REF!,#REF!,#REF!,#REF!,#REF!,#REF!,#REF!,#REF!,#REF!,#REF!,#REF!,#REF!,#REF!</definedName>
    <definedName name="V_ALL_KEYWORDS_TYPE_Vector_ISSR_208019081">#REF!,#REF!,#REF!,#REF!,#REF!,#REF!,#REF!,#REF!,#REF!,#REF!,#REF!,#REF!,#REF!</definedName>
    <definedName name="V_ALL_KEYWORDS_TYPE_Vector_ISSR_208019322">#REF!,#REF!,#REF!,#REF!,#REF!,#REF!,#REF!,#REF!,#REF!,#REF!,#REF!,#REF!</definedName>
    <definedName name="V_ALL_KEYWORDS_TYPE_Vector_ISSR_208019900">#REF!,#REF!,#REF!,#REF!,#REF!,#REF!,#REF!,#REF!,#REF!,#REF!,#REF!,#REF!</definedName>
    <definedName name="V_ALL_KEYWORDS_TYPE_Vector_ISSR_208019901">#REF!,#REF!,#REF!,#REF!,#REF!,#REF!,#REF!,#REF!,#REF!,#REF!,#REF!,#REF!</definedName>
    <definedName name="V_ALL_KEYWORDS_TYPE_Vector_ISSR_208019930">#REF!,#REF!,#REF!,#REF!,#REF!,#REF!,#REF!,#REF!,#REF!,#REF!,#REF!,#REF!</definedName>
    <definedName name="V_ALL_KEYWORDS_TYPE_Vector_ISSR_208019958">#REF!,#REF!,#REF!,#REF!,#REF!,#REF!,#REF!,#REF!,#REF!,#REF!,#REF!,#REF!</definedName>
    <definedName name="V_ALL_KEYWORDS_TYPE_Vector_ISSR_208021158">#REF!,#REF!,#REF!,#REF!,#REF!,#REF!,#REF!,#REF!,#REF!,#REF!,#REF!,#REF!</definedName>
    <definedName name="V_ALL_KEYWORDS_TYPE_Vector_ISSR_208021173">#REF!,#REF!,#REF!,#REF!,#REF!,#REF!,#REF!,#REF!,#REF!,#REF!,#REF!,#REF!,#REF!</definedName>
    <definedName name="V_ALL_KEYWORDS_TYPE_Vector_ISSR_208021175">#REF!,#REF!,#REF!,#REF!,#REF!,#REF!,#REF!,#REF!,#REF!,#REF!,#REF!,#REF!,#REF!</definedName>
    <definedName name="V_ALL_KEYWORDS_TYPE_Vector_ISSR_208021186">#REF!,#REF!,#REF!,#REF!,#REF!,#REF!,#REF!,#REF!,#REF!,#REF!,#REF!,#REF!</definedName>
    <definedName name="V_ALL_SECTION_KEYWORDS_EQTY_200006786_13A">#REF!</definedName>
    <definedName name="V_ALL_SECTION_KEYWORDS_EQTY_200006786_13K">#REF!</definedName>
    <definedName name="V_ALL_SECTION_KEYWORDS_EQTY_200008919_13A">#REF!</definedName>
    <definedName name="V_ALL_SECTION_KEYWORDS_EQTY_200019559_13A">#REF!</definedName>
    <definedName name="V_ALL_SECTION_KEYWORDS_ISSR_208002015_13V">#REF!,#REF!</definedName>
    <definedName name="V_ALL_SECTION_KEYWORDS_ISSR_208006410_136E">#REF!,#REF!</definedName>
    <definedName name="V_ALL_SECTION_KEYWORDS_ISSR_208007067_13V">#REF!,#REF!</definedName>
    <definedName name="V_ALL_SECTION_KEYWORDS_ISSR_208009698_1316U">#REF!,#REF!</definedName>
    <definedName name="V_ALL_SECTION_KEYWORDS_ISSR_208009916_1316U">#REF!,#REF!</definedName>
    <definedName name="V_ALL_SECTION_KEYWORDS_ISSR_208010212_13V">#REF!,#REF!</definedName>
    <definedName name="V_ALL_SECTION_KEYWORDS_ISSR_208011603_136E">#REF!,#REF!</definedName>
    <definedName name="V_ALL_SECTION_KEYWORDS_ISSR_208013036_13168">#REF!</definedName>
    <definedName name="V_ALL_SECTION_KEYWORDS_ISSR_208013036_1319">#REF!</definedName>
    <definedName name="V_ALL_SECTION_KEYWORDS_ISSR_208013036_136E">#REF!,#REF!</definedName>
    <definedName name="V_ALL_SECTION_KEYWORDS_ISSR_208015000_13V">#REF!,#REF!</definedName>
    <definedName name="V_ALL_SECTION_KEYWORDS_ISSR_208015997_1316U">#REF!,#REF!</definedName>
    <definedName name="V_ALL_SECTION_KEYWORDS_ISSR_208018057_136E">#REF!,#REF!</definedName>
    <definedName name="V_ALL_SECTION_KEYWORDS_ISSR_208019081_13V">#REF!,#REF!</definedName>
    <definedName name="V_ALL_SECTION_KEYWORDS_ISSR_208019322_13V">#REF!,#REF!</definedName>
    <definedName name="V_ALL_SECTION_KEYWORDS_ISSR_208021173_13V">#REF!,#REF!</definedName>
    <definedName name="V_ALL_SECTION_KEYWORDS_ISSR_208021175_13V">#REF!,#REF!</definedName>
    <definedName name="V_ALL_SECTIONS_EQTY_200011172">#REF!,#REF!,#REF!,#REF!,#REF!,#REF!,#REF!,#REF!</definedName>
    <definedName name="V_ALL_SECTIONS_EQTY_200012735">#REF!,#REF!,#REF!,#REF!,#REF!,#REF!,#REF!,#REF!</definedName>
    <definedName name="V_ALL_SECTIONS_EQTY_200012909">#REF!,#REF!,#REF!,#REF!,#REF!,#REF!,#REF!,#REF!</definedName>
    <definedName name="V_ALL_SECTIONS_EQTY_200012913">#REF!,#REF!,#REF!,#REF!,#REF!,#REF!,#REF!,#REF!</definedName>
    <definedName name="V_ALL_SECTIONS_EQTY_200016087">#REF!,#REF!,#REF!,#REF!,#REF!,#REF!,#REF!,#REF!</definedName>
    <definedName name="V_ALL_SECTIONS_EQTY_200018245">#REF!,#REF!,#REF!,#REF!,#REF!,#REF!,#REF!,#REF!</definedName>
    <definedName name="V_ALL_SECTIONS_ISSR_208008548">#REF!,#REF!,#REF!,#REF!,#REF!,#REF!,#REF!,#REF!,#REF!,#REF!</definedName>
    <definedName name="V_ALL_SECTIONS_ISSR_208009698">#REF!,#REF!,#REF!,#REF!,#REF!,#REF!,#REF!,#REF!,#REF!</definedName>
    <definedName name="V_ALL_SECTIONS_ISSR_208009912">#REF!,#REF!,#REF!,#REF!,#REF!,#REF!,#REF!,#REF!,#REF!,#REF!</definedName>
    <definedName name="V_ALL_SECTIONS_ISSR_208009916">#REF!,#REF!,#REF!,#REF!,#REF!,#REF!,#REF!,#REF!,#REF!</definedName>
    <definedName name="V_ALL_SECTIONS_ISSR_208013035">#REF!,#REF!,#REF!,#REF!,#REF!,#REF!,#REF!,#REF!,#REF!,#REF!</definedName>
    <definedName name="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9" i="2" l="1"/>
  <c r="AM76" i="2"/>
  <c r="J75" i="2"/>
  <c r="B109" i="2"/>
  <c r="AJ351" i="2"/>
  <c r="AI351" i="2"/>
  <c r="AH351" i="2"/>
  <c r="AG351" i="2"/>
  <c r="A351" i="2"/>
  <c r="A364" i="2" s="1"/>
  <c r="AJ350" i="2"/>
  <c r="AI350" i="2"/>
  <c r="AH350" i="2"/>
  <c r="AG350" i="2"/>
  <c r="A350" i="2"/>
  <c r="A363" i="2" s="1"/>
  <c r="AJ349" i="2"/>
  <c r="AI349" i="2"/>
  <c r="AH349" i="2"/>
  <c r="AG349" i="2"/>
  <c r="A349" i="2"/>
  <c r="A362" i="2" s="1"/>
  <c r="AJ348" i="2"/>
  <c r="AI348" i="2"/>
  <c r="AH348" i="2"/>
  <c r="AG348" i="2"/>
  <c r="A348" i="2"/>
  <c r="A361" i="2" s="1"/>
  <c r="AJ347" i="2"/>
  <c r="AI347" i="2"/>
  <c r="AH347" i="2"/>
  <c r="AG347" i="2"/>
  <c r="A347" i="2"/>
  <c r="A360" i="2" s="1"/>
  <c r="AJ346" i="2"/>
  <c r="AI346" i="2"/>
  <c r="AH346" i="2"/>
  <c r="AG346" i="2"/>
  <c r="A346" i="2"/>
  <c r="A359" i="2" s="1"/>
  <c r="AO345" i="2"/>
  <c r="AN345" i="2"/>
  <c r="AM345" i="2"/>
  <c r="AL345" i="2"/>
  <c r="AK345" i="2"/>
  <c r="AJ345" i="2"/>
  <c r="AI345" i="2"/>
  <c r="AH345" i="2"/>
  <c r="AG345" i="2"/>
  <c r="A345" i="2"/>
  <c r="A358" i="2" s="1"/>
  <c r="AJ344" i="2"/>
  <c r="AI344" i="2"/>
  <c r="AH344" i="2"/>
  <c r="AG344" i="2"/>
  <c r="A344" i="2"/>
  <c r="A357" i="2" s="1"/>
  <c r="AJ343" i="2"/>
  <c r="AI343" i="2"/>
  <c r="AH343" i="2"/>
  <c r="AG343" i="2"/>
  <c r="A343" i="2"/>
  <c r="A356" i="2" s="1"/>
  <c r="AJ342" i="2"/>
  <c r="AI342" i="2"/>
  <c r="AH342" i="2"/>
  <c r="AG342" i="2"/>
  <c r="A342" i="2"/>
  <c r="A355" i="2" s="1"/>
  <c r="AJ341" i="2"/>
  <c r="AI341" i="2"/>
  <c r="AH341" i="2"/>
  <c r="AG341" i="2"/>
  <c r="A341" i="2"/>
  <c r="A354" i="2" s="1"/>
  <c r="AK338" i="2"/>
  <c r="AL338" i="2" s="1"/>
  <c r="AL337" i="2"/>
  <c r="AK337" i="2"/>
  <c r="AM336" i="2"/>
  <c r="AL336" i="2"/>
  <c r="AK336" i="2"/>
  <c r="AM335" i="2"/>
  <c r="AN335" i="2" s="1"/>
  <c r="AL335" i="2"/>
  <c r="AK335" i="2"/>
  <c r="AK334" i="2"/>
  <c r="AL333" i="2"/>
  <c r="AK333" i="2"/>
  <c r="AK331" i="2"/>
  <c r="AL331" i="2" s="1"/>
  <c r="AL330" i="2"/>
  <c r="AM330" i="2" s="1"/>
  <c r="AN330" i="2" s="1"/>
  <c r="AK330" i="2"/>
  <c r="AN329" i="2"/>
  <c r="AO329" i="2" s="1"/>
  <c r="AO328" i="2"/>
  <c r="AN328" i="2"/>
  <c r="AO323" i="2"/>
  <c r="AN323" i="2"/>
  <c r="AM323" i="2"/>
  <c r="AL323" i="2"/>
  <c r="A323" i="2"/>
  <c r="AO322" i="2"/>
  <c r="AN322" i="2"/>
  <c r="AM322" i="2"/>
  <c r="AL322" i="2"/>
  <c r="AK322" i="2"/>
  <c r="AJ322" i="2"/>
  <c r="AI322" i="2"/>
  <c r="AH322" i="2"/>
  <c r="AG322" i="2"/>
  <c r="A322" i="2"/>
  <c r="AO321" i="2"/>
  <c r="AN321" i="2"/>
  <c r="AM321" i="2"/>
  <c r="AL321" i="2"/>
  <c r="AK321" i="2"/>
  <c r="AJ321" i="2"/>
  <c r="AI321" i="2"/>
  <c r="AH321" i="2"/>
  <c r="AG321" i="2"/>
  <c r="A321" i="2"/>
  <c r="AO320" i="2"/>
  <c r="AN320" i="2"/>
  <c r="AM320" i="2"/>
  <c r="AL320" i="2"/>
  <c r="AK320" i="2"/>
  <c r="AJ320" i="2"/>
  <c r="AI320" i="2"/>
  <c r="AH320" i="2"/>
  <c r="AG320" i="2"/>
  <c r="A320" i="2"/>
  <c r="AO319" i="2"/>
  <c r="AN319" i="2"/>
  <c r="AM319" i="2"/>
  <c r="AL319" i="2"/>
  <c r="AK319" i="2"/>
  <c r="AJ319" i="2"/>
  <c r="AI319" i="2"/>
  <c r="AH319" i="2"/>
  <c r="AG319" i="2"/>
  <c r="A319" i="2"/>
  <c r="AO318" i="2"/>
  <c r="AN318" i="2"/>
  <c r="AM318" i="2"/>
  <c r="AL318" i="2"/>
  <c r="AK318" i="2"/>
  <c r="AJ318" i="2"/>
  <c r="AI318" i="2"/>
  <c r="AH318" i="2"/>
  <c r="AG318" i="2"/>
  <c r="A318" i="2"/>
  <c r="AO317" i="2"/>
  <c r="AN317" i="2"/>
  <c r="AM317" i="2"/>
  <c r="AL317" i="2"/>
  <c r="AK317" i="2"/>
  <c r="AJ317" i="2"/>
  <c r="AI317" i="2"/>
  <c r="AH317" i="2"/>
  <c r="AG317" i="2"/>
  <c r="A317" i="2"/>
  <c r="AO316" i="2"/>
  <c r="AN316" i="2"/>
  <c r="AM316" i="2"/>
  <c r="AL316" i="2"/>
  <c r="AK316" i="2"/>
  <c r="AJ316" i="2"/>
  <c r="AI316" i="2"/>
  <c r="AH316" i="2"/>
  <c r="AG316" i="2"/>
  <c r="A316" i="2"/>
  <c r="AO315" i="2"/>
  <c r="AN315" i="2"/>
  <c r="AM315" i="2"/>
  <c r="AL315" i="2"/>
  <c r="AK315" i="2"/>
  <c r="AJ315" i="2"/>
  <c r="AI315" i="2"/>
  <c r="AH315" i="2"/>
  <c r="AG315" i="2"/>
  <c r="A315" i="2"/>
  <c r="AO303" i="2"/>
  <c r="AN303" i="2"/>
  <c r="AN314" i="2" s="1"/>
  <c r="AM303" i="2"/>
  <c r="AM314" i="2" s="1"/>
  <c r="AL303" i="2"/>
  <c r="AK303" i="2"/>
  <c r="Y303" i="2"/>
  <c r="Y279" i="2" s="1"/>
  <c r="BZ18" i="1" s="1"/>
  <c r="X303" i="2"/>
  <c r="W303" i="2"/>
  <c r="Q303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300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299" i="2"/>
  <c r="AH298" i="2"/>
  <c r="AG298" i="2"/>
  <c r="AF298" i="2"/>
  <c r="AE298" i="2"/>
  <c r="AD298" i="2"/>
  <c r="AC298" i="2"/>
  <c r="A298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297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296" i="2"/>
  <c r="AO288" i="2"/>
  <c r="V288" i="2" s="1"/>
  <c r="AN288" i="2"/>
  <c r="AN295" i="2" s="1"/>
  <c r="AM288" i="2"/>
  <c r="AM295" i="2" s="1"/>
  <c r="AL288" i="2"/>
  <c r="AL295" i="2" s="1"/>
  <c r="AK288" i="2"/>
  <c r="Y288" i="2"/>
  <c r="Y278" i="2" s="1"/>
  <c r="BZ17" i="1" s="1"/>
  <c r="X288" i="2"/>
  <c r="W288" i="2"/>
  <c r="T288" i="2"/>
  <c r="Q288" i="2"/>
  <c r="P288" i="2"/>
  <c r="I288" i="2"/>
  <c r="H288" i="2"/>
  <c r="X279" i="2"/>
  <c r="BY18" i="1" s="1"/>
  <c r="W279" i="2"/>
  <c r="Q279" i="2"/>
  <c r="X278" i="2"/>
  <c r="BY17" i="1" s="1"/>
  <c r="W278" i="2"/>
  <c r="V278" i="2"/>
  <c r="T278" i="2"/>
  <c r="BU17" i="1" s="1"/>
  <c r="Q278" i="2"/>
  <c r="P278" i="2"/>
  <c r="BQ17" i="1" s="1"/>
  <c r="K268" i="2"/>
  <c r="J268" i="2"/>
  <c r="I268" i="2"/>
  <c r="H268" i="2"/>
  <c r="G268" i="2"/>
  <c r="F268" i="2"/>
  <c r="E268" i="2"/>
  <c r="D268" i="2"/>
  <c r="C268" i="2"/>
  <c r="B268" i="2"/>
  <c r="L257" i="2"/>
  <c r="K257" i="2"/>
  <c r="J257" i="2"/>
  <c r="L256" i="2"/>
  <c r="K256" i="2"/>
  <c r="J256" i="2"/>
  <c r="I256" i="2"/>
  <c r="H256" i="2"/>
  <c r="G256" i="2"/>
  <c r="F256" i="2"/>
  <c r="E256" i="2"/>
  <c r="D256" i="2"/>
  <c r="C256" i="2"/>
  <c r="B256" i="2"/>
  <c r="AK254" i="2"/>
  <c r="E253" i="2"/>
  <c r="D253" i="2"/>
  <c r="C253" i="2"/>
  <c r="B253" i="2"/>
  <c r="Y233" i="2"/>
  <c r="Y258" i="2" s="1"/>
  <c r="X233" i="2"/>
  <c r="X258" i="2" s="1"/>
  <c r="M232" i="2"/>
  <c r="M257" i="2" s="1"/>
  <c r="Q231" i="2"/>
  <c r="P231" i="2"/>
  <c r="O231" i="2"/>
  <c r="N231" i="2"/>
  <c r="N256" i="2" s="1"/>
  <c r="M231" i="2"/>
  <c r="M256" i="2" s="1"/>
  <c r="M229" i="2"/>
  <c r="M254" i="2" s="1"/>
  <c r="L229" i="2"/>
  <c r="L241" i="2" s="1"/>
  <c r="Y226" i="2"/>
  <c r="Y251" i="2" s="1"/>
  <c r="X226" i="2"/>
  <c r="X251" i="2" s="1"/>
  <c r="W226" i="2"/>
  <c r="W251" i="2" s="1"/>
  <c r="V226" i="2"/>
  <c r="V251" i="2" s="1"/>
  <c r="U226" i="2"/>
  <c r="U251" i="2" s="1"/>
  <c r="T226" i="2"/>
  <c r="T251" i="2" s="1"/>
  <c r="S226" i="2"/>
  <c r="S251" i="2" s="1"/>
  <c r="R226" i="2"/>
  <c r="R251" i="2" s="1"/>
  <c r="Q226" i="2"/>
  <c r="Q251" i="2" s="1"/>
  <c r="P226" i="2"/>
  <c r="P251" i="2" s="1"/>
  <c r="O226" i="2"/>
  <c r="O251" i="2" s="1"/>
  <c r="N226" i="2"/>
  <c r="N251" i="2" s="1"/>
  <c r="M226" i="2"/>
  <c r="M251" i="2" s="1"/>
  <c r="L226" i="2"/>
  <c r="L251" i="2" s="1"/>
  <c r="K226" i="2"/>
  <c r="K251" i="2" s="1"/>
  <c r="J226" i="2"/>
  <c r="J251" i="2" s="1"/>
  <c r="I226" i="2"/>
  <c r="I251" i="2" s="1"/>
  <c r="H226" i="2"/>
  <c r="H251" i="2" s="1"/>
  <c r="G226" i="2"/>
  <c r="G251" i="2" s="1"/>
  <c r="F226" i="2"/>
  <c r="F251" i="2" s="1"/>
  <c r="E226" i="2"/>
  <c r="E251" i="2" s="1"/>
  <c r="D226" i="2"/>
  <c r="D251" i="2" s="1"/>
  <c r="C226" i="2"/>
  <c r="C251" i="2" s="1"/>
  <c r="B226" i="2"/>
  <c r="B251" i="2" s="1"/>
  <c r="Y225" i="2"/>
  <c r="Y250" i="2" s="1"/>
  <c r="X225" i="2"/>
  <c r="X250" i="2" s="1"/>
  <c r="W225" i="2"/>
  <c r="W250" i="2" s="1"/>
  <c r="V225" i="2"/>
  <c r="V250" i="2" s="1"/>
  <c r="U225" i="2"/>
  <c r="U250" i="2" s="1"/>
  <c r="T225" i="2"/>
  <c r="T250" i="2" s="1"/>
  <c r="S225" i="2"/>
  <c r="S250" i="2" s="1"/>
  <c r="R225" i="2"/>
  <c r="R250" i="2" s="1"/>
  <c r="Q225" i="2"/>
  <c r="Q250" i="2" s="1"/>
  <c r="P225" i="2"/>
  <c r="P250" i="2" s="1"/>
  <c r="O225" i="2"/>
  <c r="O250" i="2" s="1"/>
  <c r="N225" i="2"/>
  <c r="N250" i="2" s="1"/>
  <c r="M225" i="2"/>
  <c r="M250" i="2" s="1"/>
  <c r="L225" i="2"/>
  <c r="L250" i="2" s="1"/>
  <c r="K225" i="2"/>
  <c r="K250" i="2" s="1"/>
  <c r="J225" i="2"/>
  <c r="J250" i="2" s="1"/>
  <c r="I225" i="2"/>
  <c r="I250" i="2" s="1"/>
  <c r="H225" i="2"/>
  <c r="H250" i="2" s="1"/>
  <c r="G225" i="2"/>
  <c r="G250" i="2" s="1"/>
  <c r="F225" i="2"/>
  <c r="F250" i="2" s="1"/>
  <c r="E225" i="2"/>
  <c r="E250" i="2" s="1"/>
  <c r="D225" i="2"/>
  <c r="D250" i="2" s="1"/>
  <c r="C225" i="2"/>
  <c r="C250" i="2" s="1"/>
  <c r="B225" i="2"/>
  <c r="B250" i="2" s="1"/>
  <c r="B224" i="2"/>
  <c r="AL208" i="2"/>
  <c r="AK208" i="2"/>
  <c r="AJ208" i="2"/>
  <c r="S208" i="2"/>
  <c r="T208" i="2" s="1"/>
  <c r="U208" i="2" s="1"/>
  <c r="V208" i="2" s="1"/>
  <c r="W208" i="2" s="1"/>
  <c r="X208" i="2" s="1"/>
  <c r="Y208" i="2" s="1"/>
  <c r="AL207" i="2"/>
  <c r="AK207" i="2"/>
  <c r="AJ207" i="2"/>
  <c r="R207" i="2"/>
  <c r="S207" i="2" s="1"/>
  <c r="T207" i="2" s="1"/>
  <c r="U207" i="2" s="1"/>
  <c r="V207" i="2" s="1"/>
  <c r="W207" i="2" s="1"/>
  <c r="X207" i="2" s="1"/>
  <c r="Y207" i="2" s="1"/>
  <c r="AJ206" i="2"/>
  <c r="G206" i="2"/>
  <c r="H206" i="2" s="1"/>
  <c r="I206" i="2" s="1"/>
  <c r="J206" i="2" s="1"/>
  <c r="N205" i="2"/>
  <c r="O205" i="2" s="1"/>
  <c r="P205" i="2" s="1"/>
  <c r="Q205" i="2" s="1"/>
  <c r="R205" i="2" s="1"/>
  <c r="S205" i="2" s="1"/>
  <c r="T205" i="2" s="1"/>
  <c r="U205" i="2" s="1"/>
  <c r="V205" i="2" s="1"/>
  <c r="W205" i="2" s="1"/>
  <c r="X205" i="2" s="1"/>
  <c r="Y205" i="2" s="1"/>
  <c r="AJ204" i="2"/>
  <c r="G204" i="2"/>
  <c r="H204" i="2" s="1"/>
  <c r="I204" i="2" s="1"/>
  <c r="J204" i="2" s="1"/>
  <c r="D203" i="2"/>
  <c r="E203" i="2" s="1"/>
  <c r="F203" i="2" s="1"/>
  <c r="G203" i="2" s="1"/>
  <c r="H203" i="2" s="1"/>
  <c r="I203" i="2" s="1"/>
  <c r="J203" i="2" s="1"/>
  <c r="K203" i="2" s="1"/>
  <c r="L203" i="2" s="1"/>
  <c r="M203" i="2" s="1"/>
  <c r="N203" i="2" s="1"/>
  <c r="O203" i="2" s="1"/>
  <c r="P203" i="2" s="1"/>
  <c r="Q203" i="2" s="1"/>
  <c r="R203" i="2" s="1"/>
  <c r="S203" i="2" s="1"/>
  <c r="T203" i="2" s="1"/>
  <c r="U203" i="2" s="1"/>
  <c r="V203" i="2" s="1"/>
  <c r="W203" i="2" s="1"/>
  <c r="X203" i="2" s="1"/>
  <c r="Y203" i="2" s="1"/>
  <c r="C203" i="2"/>
  <c r="C200" i="2"/>
  <c r="C224" i="2" s="1"/>
  <c r="AL193" i="2"/>
  <c r="AL192" i="2"/>
  <c r="AL191" i="2"/>
  <c r="AL190" i="2"/>
  <c r="AL189" i="2"/>
  <c r="AL188" i="2"/>
  <c r="Y153" i="2"/>
  <c r="X153" i="2"/>
  <c r="W153" i="2"/>
  <c r="V153" i="2"/>
  <c r="U153" i="2"/>
  <c r="T153" i="2"/>
  <c r="S153" i="2"/>
  <c r="R153" i="2"/>
  <c r="Q153" i="2"/>
  <c r="P153" i="2"/>
  <c r="O153" i="2"/>
  <c r="Y152" i="2"/>
  <c r="X152" i="2"/>
  <c r="W152" i="2"/>
  <c r="V152" i="2"/>
  <c r="U152" i="2"/>
  <c r="T152" i="2"/>
  <c r="S152" i="2"/>
  <c r="R152" i="2"/>
  <c r="Q152" i="2"/>
  <c r="Q144" i="2" s="1"/>
  <c r="Q373" i="2" s="1"/>
  <c r="P152" i="2"/>
  <c r="O152" i="2"/>
  <c r="Y151" i="2"/>
  <c r="X151" i="2"/>
  <c r="W151" i="2"/>
  <c r="V151" i="2"/>
  <c r="U151" i="2"/>
  <c r="T151" i="2"/>
  <c r="S151" i="2"/>
  <c r="R151" i="2"/>
  <c r="Q151" i="2"/>
  <c r="P151" i="2"/>
  <c r="O151" i="2"/>
  <c r="Y150" i="2"/>
  <c r="X150" i="2"/>
  <c r="W150" i="2"/>
  <c r="V150" i="2"/>
  <c r="U150" i="2"/>
  <c r="T150" i="2"/>
  <c r="S150" i="2"/>
  <c r="R150" i="2"/>
  <c r="Q150" i="2"/>
  <c r="P150" i="2"/>
  <c r="O150" i="2"/>
  <c r="Y149" i="2"/>
  <c r="X149" i="2"/>
  <c r="W149" i="2"/>
  <c r="V149" i="2"/>
  <c r="U149" i="2"/>
  <c r="T149" i="2"/>
  <c r="S149" i="2"/>
  <c r="R149" i="2"/>
  <c r="Q149" i="2"/>
  <c r="P149" i="2"/>
  <c r="O149" i="2"/>
  <c r="Y148" i="2"/>
  <c r="X148" i="2"/>
  <c r="W148" i="2"/>
  <c r="V148" i="2"/>
  <c r="U148" i="2"/>
  <c r="T148" i="2"/>
  <c r="S148" i="2"/>
  <c r="R148" i="2"/>
  <c r="Q148" i="2"/>
  <c r="P148" i="2"/>
  <c r="O148" i="2"/>
  <c r="Y134" i="2"/>
  <c r="X134" i="2"/>
  <c r="W134" i="2"/>
  <c r="V134" i="2"/>
  <c r="U134" i="2"/>
  <c r="T134" i="2"/>
  <c r="S134" i="2"/>
  <c r="R134" i="2"/>
  <c r="Q134" i="2"/>
  <c r="Q160" i="2" s="1"/>
  <c r="P134" i="2"/>
  <c r="O134" i="2"/>
  <c r="Y132" i="2"/>
  <c r="X132" i="2"/>
  <c r="X131" i="2" s="1"/>
  <c r="W132" i="2"/>
  <c r="W131" i="2" s="1"/>
  <c r="V132" i="2"/>
  <c r="V131" i="2" s="1"/>
  <c r="U132" i="2"/>
  <c r="T132" i="2"/>
  <c r="S132" i="2"/>
  <c r="S131" i="2" s="1"/>
  <c r="R132" i="2"/>
  <c r="R131" i="2" s="1"/>
  <c r="Q132" i="2"/>
  <c r="P132" i="2"/>
  <c r="O132" i="2"/>
  <c r="O131" i="2" s="1"/>
  <c r="Y131" i="2"/>
  <c r="U131" i="2"/>
  <c r="T131" i="2"/>
  <c r="Q131" i="2"/>
  <c r="P131" i="2"/>
  <c r="AJ127" i="2"/>
  <c r="AI127" i="2"/>
  <c r="AH127" i="2"/>
  <c r="AJ126" i="2"/>
  <c r="AI126" i="2"/>
  <c r="AH126" i="2"/>
  <c r="AO115" i="2"/>
  <c r="Y115" i="2"/>
  <c r="X115" i="2"/>
  <c r="AM114" i="2"/>
  <c r="AL114" i="2"/>
  <c r="AK114" i="2"/>
  <c r="AJ114" i="2"/>
  <c r="AI114" i="2"/>
  <c r="AH114" i="2"/>
  <c r="AG114" i="2"/>
  <c r="AF114" i="2"/>
  <c r="M114" i="2"/>
  <c r="E114" i="2"/>
  <c r="D114" i="2"/>
  <c r="C114" i="2"/>
  <c r="B114" i="2"/>
  <c r="AM113" i="2"/>
  <c r="AL113" i="2"/>
  <c r="AK113" i="2"/>
  <c r="AJ113" i="2"/>
  <c r="AI113" i="2"/>
  <c r="AI52" i="2" s="1"/>
  <c r="AH113" i="2"/>
  <c r="AG113" i="2"/>
  <c r="AF113" i="2"/>
  <c r="Q113" i="2"/>
  <c r="P113" i="2"/>
  <c r="O113" i="2"/>
  <c r="N113" i="2"/>
  <c r="M113" i="2"/>
  <c r="M52" i="2" s="1"/>
  <c r="M18" i="2" s="1"/>
  <c r="AL112" i="2"/>
  <c r="AK112" i="2"/>
  <c r="AJ112" i="2"/>
  <c r="AI112" i="2"/>
  <c r="AH112" i="2"/>
  <c r="AG112" i="2"/>
  <c r="AF112" i="2"/>
  <c r="J112" i="2"/>
  <c r="J51" i="2" s="1"/>
  <c r="E112" i="2"/>
  <c r="D112" i="2"/>
  <c r="C112" i="2"/>
  <c r="B112" i="2"/>
  <c r="B51" i="2" s="1"/>
  <c r="B269" i="2" s="1"/>
  <c r="M111" i="2"/>
  <c r="L111" i="2"/>
  <c r="K111" i="2"/>
  <c r="J111" i="2"/>
  <c r="I111" i="2"/>
  <c r="H111" i="2"/>
  <c r="G111" i="2"/>
  <c r="F111" i="2"/>
  <c r="AL110" i="2"/>
  <c r="AK110" i="2"/>
  <c r="AJ110" i="2"/>
  <c r="AI110" i="2"/>
  <c r="AH110" i="2"/>
  <c r="AG110" i="2"/>
  <c r="AF110" i="2"/>
  <c r="J110" i="2"/>
  <c r="AO109" i="2"/>
  <c r="AN109" i="2"/>
  <c r="AM109" i="2"/>
  <c r="AL109" i="2"/>
  <c r="AK109" i="2"/>
  <c r="AJ109" i="2"/>
  <c r="AI109" i="2"/>
  <c r="AH109" i="2"/>
  <c r="AG109" i="2"/>
  <c r="AF109" i="2"/>
  <c r="AI108" i="2"/>
  <c r="AH108" i="2"/>
  <c r="AG108" i="2"/>
  <c r="AF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B202" i="2" s="1"/>
  <c r="C202" i="2" s="1"/>
  <c r="D202" i="2" s="1"/>
  <c r="E202" i="2" s="1"/>
  <c r="F202" i="2" s="1"/>
  <c r="G202" i="2" s="1"/>
  <c r="H202" i="2" s="1"/>
  <c r="I202" i="2" s="1"/>
  <c r="J202" i="2" s="1"/>
  <c r="K202" i="2" s="1"/>
  <c r="L202" i="2" s="1"/>
  <c r="M202" i="2" s="1"/>
  <c r="N202" i="2" s="1"/>
  <c r="O202" i="2" s="1"/>
  <c r="P202" i="2" s="1"/>
  <c r="Q202" i="2" s="1"/>
  <c r="R202" i="2" s="1"/>
  <c r="S202" i="2" s="1"/>
  <c r="T202" i="2" s="1"/>
  <c r="U202" i="2" s="1"/>
  <c r="V202" i="2" s="1"/>
  <c r="W202" i="2" s="1"/>
  <c r="X202" i="2" s="1"/>
  <c r="Y202" i="2" s="1"/>
  <c r="AI107" i="2"/>
  <c r="AH107" i="2"/>
  <c r="AG107" i="2"/>
  <c r="AF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B201" i="2" s="1"/>
  <c r="C201" i="2" s="1"/>
  <c r="D201" i="2" s="1"/>
  <c r="E201" i="2" s="1"/>
  <c r="F201" i="2" s="1"/>
  <c r="G201" i="2" s="1"/>
  <c r="H201" i="2" s="1"/>
  <c r="I201" i="2" s="1"/>
  <c r="J201" i="2" s="1"/>
  <c r="K201" i="2" s="1"/>
  <c r="L201" i="2" s="1"/>
  <c r="M201" i="2" s="1"/>
  <c r="N201" i="2" s="1"/>
  <c r="O201" i="2" s="1"/>
  <c r="P201" i="2" s="1"/>
  <c r="Q201" i="2" s="1"/>
  <c r="R201" i="2" s="1"/>
  <c r="S201" i="2" s="1"/>
  <c r="T201" i="2" s="1"/>
  <c r="U201" i="2" s="1"/>
  <c r="V201" i="2" s="1"/>
  <c r="W201" i="2" s="1"/>
  <c r="X201" i="2" s="1"/>
  <c r="Y201" i="2" s="1"/>
  <c r="Q99" i="2"/>
  <c r="AL98" i="2"/>
  <c r="AM97" i="2"/>
  <c r="AL97" i="2"/>
  <c r="AL96" i="2"/>
  <c r="AO95" i="2"/>
  <c r="AN95" i="2"/>
  <c r="AM95" i="2"/>
  <c r="AL95" i="2"/>
  <c r="AK95" i="2"/>
  <c r="AJ95" i="2"/>
  <c r="AI95" i="2"/>
  <c r="AI94" i="2"/>
  <c r="AI93" i="2"/>
  <c r="AH93" i="2"/>
  <c r="AG93" i="2"/>
  <c r="AM89" i="2"/>
  <c r="AL89" i="2"/>
  <c r="AK89" i="2"/>
  <c r="AJ89" i="2"/>
  <c r="AI89" i="2"/>
  <c r="AH89" i="2"/>
  <c r="AG89" i="2"/>
  <c r="AF89" i="2"/>
  <c r="Q89" i="2"/>
  <c r="P89" i="2"/>
  <c r="O89" i="2"/>
  <c r="N89" i="2"/>
  <c r="M89" i="2"/>
  <c r="AL88" i="2"/>
  <c r="AK88" i="2"/>
  <c r="AJ88" i="2"/>
  <c r="AI88" i="2"/>
  <c r="AH88" i="2"/>
  <c r="AG88" i="2"/>
  <c r="AF88" i="2"/>
  <c r="J88" i="2"/>
  <c r="AO87" i="2"/>
  <c r="AN87" i="2"/>
  <c r="AM87" i="2"/>
  <c r="AL87" i="2"/>
  <c r="AK87" i="2"/>
  <c r="AJ87" i="2"/>
  <c r="AI87" i="2"/>
  <c r="AH87" i="2"/>
  <c r="AG87" i="2"/>
  <c r="AF87" i="2"/>
  <c r="AI86" i="2"/>
  <c r="AH86" i="2"/>
  <c r="AG86" i="2"/>
  <c r="AF86" i="2"/>
  <c r="Y86" i="2"/>
  <c r="X86" i="2"/>
  <c r="W86" i="2"/>
  <c r="V86" i="2"/>
  <c r="U86" i="2"/>
  <c r="T86" i="2"/>
  <c r="S86" i="2"/>
  <c r="S94" i="2" s="1"/>
  <c r="R86" i="2"/>
  <c r="Q86" i="2"/>
  <c r="P86" i="2"/>
  <c r="O86" i="2"/>
  <c r="N86" i="2"/>
  <c r="M86" i="2"/>
  <c r="L86" i="2"/>
  <c r="K86" i="2"/>
  <c r="K94" i="2" s="1"/>
  <c r="J86" i="2"/>
  <c r="I86" i="2"/>
  <c r="H86" i="2"/>
  <c r="G86" i="2"/>
  <c r="G94" i="2" s="1"/>
  <c r="F86" i="2"/>
  <c r="E86" i="2"/>
  <c r="D86" i="2"/>
  <c r="C86" i="2"/>
  <c r="B86" i="2"/>
  <c r="AI85" i="2"/>
  <c r="AH85" i="2"/>
  <c r="AG85" i="2"/>
  <c r="AF85" i="2"/>
  <c r="Y85" i="2"/>
  <c r="X85" i="2"/>
  <c r="W85" i="2"/>
  <c r="V85" i="2"/>
  <c r="U85" i="2"/>
  <c r="T85" i="2"/>
  <c r="S85" i="2"/>
  <c r="S93" i="2" s="1"/>
  <c r="R85" i="2"/>
  <c r="Q85" i="2"/>
  <c r="P85" i="2"/>
  <c r="O85" i="2"/>
  <c r="N85" i="2"/>
  <c r="M85" i="2"/>
  <c r="L85" i="2"/>
  <c r="K85" i="2"/>
  <c r="J85" i="2"/>
  <c r="I85" i="2"/>
  <c r="H85" i="2"/>
  <c r="G85" i="2"/>
  <c r="G93" i="2" s="1"/>
  <c r="F85" i="2"/>
  <c r="E85" i="2"/>
  <c r="D85" i="2"/>
  <c r="C85" i="2"/>
  <c r="B85" i="2"/>
  <c r="AO80" i="2"/>
  <c r="AO114" i="2" s="1"/>
  <c r="AN80" i="2"/>
  <c r="X80" i="2"/>
  <c r="U80" i="2"/>
  <c r="U114" i="2" s="1"/>
  <c r="T80" i="2"/>
  <c r="S80" i="2"/>
  <c r="S114" i="2" s="1"/>
  <c r="Q80" i="2"/>
  <c r="Q114" i="2" s="1"/>
  <c r="P80" i="2"/>
  <c r="O80" i="2"/>
  <c r="O114" i="2" s="1"/>
  <c r="N80" i="2"/>
  <c r="N232" i="2" s="1"/>
  <c r="L80" i="2"/>
  <c r="L114" i="2" s="1"/>
  <c r="K80" i="2"/>
  <c r="K114" i="2" s="1"/>
  <c r="J80" i="2"/>
  <c r="J114" i="2" s="1"/>
  <c r="I80" i="2"/>
  <c r="I114" i="2" s="1"/>
  <c r="H80" i="2"/>
  <c r="H114" i="2" s="1"/>
  <c r="G80" i="2"/>
  <c r="G114" i="2" s="1"/>
  <c r="F80" i="2"/>
  <c r="F114" i="2" s="1"/>
  <c r="AO79" i="2"/>
  <c r="AO99" i="2" s="1"/>
  <c r="AN79" i="2"/>
  <c r="U79" i="2"/>
  <c r="U99" i="2" s="1"/>
  <c r="T79" i="2"/>
  <c r="S79" i="2"/>
  <c r="S99" i="2" s="1"/>
  <c r="R79" i="2"/>
  <c r="L79" i="2"/>
  <c r="L113" i="2" s="1"/>
  <c r="L52" i="2" s="1"/>
  <c r="L18" i="2" s="1"/>
  <c r="K79" i="2"/>
  <c r="J79" i="2"/>
  <c r="J113" i="2" s="1"/>
  <c r="I79" i="2"/>
  <c r="I113" i="2" s="1"/>
  <c r="H79" i="2"/>
  <c r="H113" i="2" s="1"/>
  <c r="H52" i="2" s="1"/>
  <c r="H18" i="2" s="1"/>
  <c r="G79" i="2"/>
  <c r="F79" i="2"/>
  <c r="F113" i="2" s="1"/>
  <c r="E79" i="2"/>
  <c r="E113" i="2" s="1"/>
  <c r="D79" i="2"/>
  <c r="D113" i="2" s="1"/>
  <c r="D52" i="2" s="1"/>
  <c r="D18" i="2" s="1"/>
  <c r="C79" i="2"/>
  <c r="B79" i="2"/>
  <c r="B113" i="2" s="1"/>
  <c r="AM78" i="2"/>
  <c r="AM112" i="2" s="1"/>
  <c r="Q78" i="2"/>
  <c r="M78" i="2"/>
  <c r="L78" i="2"/>
  <c r="K78" i="2"/>
  <c r="I78" i="2"/>
  <c r="H78" i="2"/>
  <c r="G78" i="2"/>
  <c r="F78" i="2"/>
  <c r="F230" i="2" s="1"/>
  <c r="AN77" i="2"/>
  <c r="AN97" i="2" s="1"/>
  <c r="U77" i="2"/>
  <c r="T77" i="2"/>
  <c r="Q77" i="2"/>
  <c r="P77" i="2"/>
  <c r="O77" i="2"/>
  <c r="O229" i="2" s="1"/>
  <c r="N77" i="2"/>
  <c r="N229" i="2" s="1"/>
  <c r="AN76" i="2"/>
  <c r="N76" i="2"/>
  <c r="M76" i="2"/>
  <c r="L76" i="2"/>
  <c r="K76" i="2"/>
  <c r="I76" i="2"/>
  <c r="H76" i="2"/>
  <c r="H228" i="2" s="1"/>
  <c r="G76" i="2"/>
  <c r="F76" i="2"/>
  <c r="E76" i="2"/>
  <c r="D76" i="2"/>
  <c r="D110" i="2" s="1"/>
  <c r="C76" i="2"/>
  <c r="B76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K227" i="2" s="1"/>
  <c r="I75" i="2"/>
  <c r="H75" i="2"/>
  <c r="G75" i="2"/>
  <c r="G227" i="2" s="1"/>
  <c r="F75" i="2"/>
  <c r="E75" i="2"/>
  <c r="D75" i="2"/>
  <c r="C75" i="2"/>
  <c r="B75" i="2"/>
  <c r="AI72" i="2"/>
  <c r="AH72" i="2"/>
  <c r="AG72" i="2"/>
  <c r="AF72" i="2"/>
  <c r="AF84" i="2" s="1"/>
  <c r="AO69" i="2"/>
  <c r="AO68" i="2"/>
  <c r="AN68" i="2"/>
  <c r="AM68" i="2"/>
  <c r="AL68" i="2"/>
  <c r="AK68" i="2"/>
  <c r="AJ68" i="2"/>
  <c r="AO67" i="2"/>
  <c r="AO71" i="2" s="1"/>
  <c r="AN67" i="2"/>
  <c r="AM67" i="2"/>
  <c r="AM71" i="2" s="1"/>
  <c r="AL67" i="2"/>
  <c r="AK67" i="2"/>
  <c r="AJ67" i="2"/>
  <c r="AO66" i="2"/>
  <c r="AN66" i="2"/>
  <c r="AM66" i="2"/>
  <c r="AL66" i="2"/>
  <c r="AK66" i="2"/>
  <c r="AO65" i="2"/>
  <c r="AN65" i="2"/>
  <c r="AM65" i="2"/>
  <c r="AL65" i="2"/>
  <c r="AO64" i="2"/>
  <c r="AN64" i="2"/>
  <c r="AM64" i="2"/>
  <c r="AM70" i="2" s="1"/>
  <c r="AL64" i="2"/>
  <c r="AK64" i="2"/>
  <c r="AJ64" i="2"/>
  <c r="AO63" i="2"/>
  <c r="AN63" i="2"/>
  <c r="AM63" i="2"/>
  <c r="AL63" i="2"/>
  <c r="AK63" i="2"/>
  <c r="AJ63" i="2"/>
  <c r="AO62" i="2"/>
  <c r="AN62" i="2"/>
  <c r="AM62" i="2"/>
  <c r="AL62" i="2"/>
  <c r="AK62" i="2"/>
  <c r="AJ62" i="2"/>
  <c r="AO61" i="2"/>
  <c r="AN61" i="2"/>
  <c r="AM61" i="2"/>
  <c r="AL61" i="2"/>
  <c r="AK61" i="2"/>
  <c r="AJ61" i="2"/>
  <c r="AO60" i="2"/>
  <c r="AN60" i="2"/>
  <c r="AM60" i="2"/>
  <c r="AL60" i="2"/>
  <c r="AK60" i="2"/>
  <c r="AJ60" i="2"/>
  <c r="Y54" i="2"/>
  <c r="AO54" i="2" s="1"/>
  <c r="X54" i="2"/>
  <c r="M53" i="2"/>
  <c r="L53" i="2"/>
  <c r="K53" i="2"/>
  <c r="J53" i="2"/>
  <c r="I53" i="2"/>
  <c r="I271" i="2" s="1"/>
  <c r="H53" i="2"/>
  <c r="H271" i="2" s="1"/>
  <c r="G53" i="2"/>
  <c r="G271" i="2" s="1"/>
  <c r="F53" i="2"/>
  <c r="F271" i="2" s="1"/>
  <c r="E53" i="2"/>
  <c r="E271" i="2" s="1"/>
  <c r="D53" i="2"/>
  <c r="D271" i="2" s="1"/>
  <c r="C53" i="2"/>
  <c r="C271" i="2" s="1"/>
  <c r="B53" i="2"/>
  <c r="B271" i="2" s="1"/>
  <c r="AJ52" i="2"/>
  <c r="AJ18" i="2" s="1"/>
  <c r="AH52" i="2"/>
  <c r="AG52" i="2"/>
  <c r="AF52" i="2"/>
  <c r="AF44" i="2" s="1"/>
  <c r="N52" i="2"/>
  <c r="J52" i="2"/>
  <c r="J18" i="2" s="1"/>
  <c r="I52" i="2"/>
  <c r="F52" i="2"/>
  <c r="E52" i="2"/>
  <c r="E18" i="2" s="1"/>
  <c r="B52" i="2"/>
  <c r="E51" i="2"/>
  <c r="E269" i="2" s="1"/>
  <c r="D51" i="2"/>
  <c r="D269" i="2" s="1"/>
  <c r="C51" i="2"/>
  <c r="C269" i="2" s="1"/>
  <c r="AK50" i="2"/>
  <c r="AK241" i="2" s="1"/>
  <c r="M50" i="2"/>
  <c r="L50" i="2"/>
  <c r="AJ49" i="2"/>
  <c r="AI49" i="2"/>
  <c r="AI17" i="2" s="1"/>
  <c r="AH49" i="2"/>
  <c r="AG49" i="2"/>
  <c r="AF49" i="2"/>
  <c r="J49" i="2"/>
  <c r="J17" i="2" s="1"/>
  <c r="D49" i="2"/>
  <c r="AJ48" i="2"/>
  <c r="AI48" i="2"/>
  <c r="AH48" i="2"/>
  <c r="AH16" i="2" s="1"/>
  <c r="AG48" i="2"/>
  <c r="AF48" i="2"/>
  <c r="AI47" i="2"/>
  <c r="AH47" i="2"/>
  <c r="AH15" i="2" s="1"/>
  <c r="AG47" i="2"/>
  <c r="AF47" i="2"/>
  <c r="Y47" i="2"/>
  <c r="X47" i="2"/>
  <c r="X15" i="2" s="1"/>
  <c r="W47" i="2"/>
  <c r="V47" i="2"/>
  <c r="U47" i="2"/>
  <c r="T47" i="2"/>
  <c r="T15" i="2" s="1"/>
  <c r="S47" i="2"/>
  <c r="R47" i="2"/>
  <c r="Q47" i="2"/>
  <c r="P47" i="2"/>
  <c r="P15" i="2" s="1"/>
  <c r="O47" i="2"/>
  <c r="N47" i="2"/>
  <c r="M47" i="2"/>
  <c r="L47" i="2"/>
  <c r="L15" i="2" s="1"/>
  <c r="K47" i="2"/>
  <c r="J47" i="2"/>
  <c r="I47" i="2"/>
  <c r="H47" i="2"/>
  <c r="H15" i="2" s="1"/>
  <c r="G47" i="2"/>
  <c r="F47" i="2"/>
  <c r="E47" i="2"/>
  <c r="D47" i="2"/>
  <c r="D15" i="2" s="1"/>
  <c r="C47" i="2"/>
  <c r="B47" i="2"/>
  <c r="AI46" i="2"/>
  <c r="AH46" i="2"/>
  <c r="AH44" i="2" s="1"/>
  <c r="AG46" i="2"/>
  <c r="AF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J45" i="2"/>
  <c r="AJ106" i="2" s="1"/>
  <c r="AI45" i="2"/>
  <c r="AH45" i="2"/>
  <c r="AG45" i="2"/>
  <c r="AG60" i="2" s="1"/>
  <c r="AF45" i="2"/>
  <c r="AF60" i="2" s="1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O43" i="2"/>
  <c r="AO19" i="2"/>
  <c r="Y19" i="2"/>
  <c r="X19" i="2"/>
  <c r="AH18" i="2"/>
  <c r="AG18" i="2"/>
  <c r="F18" i="2"/>
  <c r="B18" i="2"/>
  <c r="AJ17" i="2"/>
  <c r="AH17" i="2"/>
  <c r="AG17" i="2"/>
  <c r="AF17" i="2"/>
  <c r="D17" i="2"/>
  <c r="AJ16" i="2"/>
  <c r="AJ26" i="2" s="1"/>
  <c r="AI16" i="2"/>
  <c r="AG16" i="2"/>
  <c r="AF16" i="2"/>
  <c r="AI15" i="2"/>
  <c r="AG15" i="2"/>
  <c r="AF15" i="2"/>
  <c r="Y15" i="2"/>
  <c r="W15" i="2"/>
  <c r="W25" i="2" s="1"/>
  <c r="V15" i="2"/>
  <c r="U15" i="2"/>
  <c r="S15" i="2"/>
  <c r="R15" i="2"/>
  <c r="Q15" i="2"/>
  <c r="O15" i="2"/>
  <c r="O25" i="2" s="1"/>
  <c r="N15" i="2"/>
  <c r="M15" i="2"/>
  <c r="K15" i="2"/>
  <c r="J15" i="2"/>
  <c r="I15" i="2"/>
  <c r="G15" i="2"/>
  <c r="F15" i="2"/>
  <c r="E15" i="2"/>
  <c r="C15" i="2"/>
  <c r="B15" i="2"/>
  <c r="AI14" i="2"/>
  <c r="AH14" i="2"/>
  <c r="AH24" i="2" s="1"/>
  <c r="AG14" i="2"/>
  <c r="AF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J13" i="2"/>
  <c r="AI13" i="2"/>
  <c r="AH13" i="2"/>
  <c r="AG13" i="2"/>
  <c r="AF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M23" i="2" s="1"/>
  <c r="L13" i="2"/>
  <c r="K13" i="2"/>
  <c r="J13" i="2"/>
  <c r="I13" i="2"/>
  <c r="I23" i="2" s="1"/>
  <c r="H13" i="2"/>
  <c r="G13" i="2"/>
  <c r="F13" i="2"/>
  <c r="E13" i="2"/>
  <c r="D13" i="2"/>
  <c r="C13" i="2"/>
  <c r="B13" i="2"/>
  <c r="AP3" i="2"/>
  <c r="A1" i="2"/>
  <c r="K255" i="1"/>
  <c r="AK234" i="1"/>
  <c r="C227" i="1"/>
  <c r="P219" i="1"/>
  <c r="O219" i="1"/>
  <c r="L219" i="1"/>
  <c r="K219" i="1"/>
  <c r="I219" i="1"/>
  <c r="H219" i="1"/>
  <c r="G219" i="1"/>
  <c r="F219" i="1"/>
  <c r="E219" i="1"/>
  <c r="D219" i="1"/>
  <c r="C219" i="1"/>
  <c r="R232" i="1"/>
  <c r="R236" i="1" s="1"/>
  <c r="Q232" i="1"/>
  <c r="Q236" i="1" s="1"/>
  <c r="P232" i="1"/>
  <c r="P236" i="1" s="1"/>
  <c r="O232" i="1"/>
  <c r="O236" i="1" s="1"/>
  <c r="N232" i="1"/>
  <c r="N236" i="1" s="1"/>
  <c r="M232" i="1"/>
  <c r="M236" i="1" s="1"/>
  <c r="L232" i="1"/>
  <c r="L236" i="1" s="1"/>
  <c r="K232" i="1"/>
  <c r="J232" i="1"/>
  <c r="I232" i="1"/>
  <c r="I234" i="1" s="1"/>
  <c r="H232" i="1"/>
  <c r="G232" i="1"/>
  <c r="F232" i="1"/>
  <c r="E232" i="1"/>
  <c r="E234" i="1" s="1"/>
  <c r="D232" i="1"/>
  <c r="C232" i="1"/>
  <c r="C209" i="1"/>
  <c r="K202" i="1"/>
  <c r="J202" i="1"/>
  <c r="I202" i="1"/>
  <c r="H202" i="1"/>
  <c r="G202" i="1"/>
  <c r="F202" i="1"/>
  <c r="E202" i="1"/>
  <c r="D202" i="1"/>
  <c r="C202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C190" i="1"/>
  <c r="C182" i="1"/>
  <c r="R178" i="1"/>
  <c r="S178" i="1" s="1"/>
  <c r="S216" i="1" s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U166" i="1"/>
  <c r="T166" i="1"/>
  <c r="S166" i="1"/>
  <c r="R226" i="1"/>
  <c r="P226" i="1"/>
  <c r="N226" i="1"/>
  <c r="L226" i="1"/>
  <c r="J226" i="1"/>
  <c r="H226" i="1"/>
  <c r="F226" i="1"/>
  <c r="D226" i="1"/>
  <c r="R247" i="1"/>
  <c r="Q247" i="1"/>
  <c r="P247" i="1"/>
  <c r="O247" i="1"/>
  <c r="N247" i="1"/>
  <c r="M247" i="1"/>
  <c r="L247" i="1"/>
  <c r="S152" i="1"/>
  <c r="T152" i="1" s="1"/>
  <c r="U152" i="1" s="1"/>
  <c r="R223" i="1"/>
  <c r="P223" i="1"/>
  <c r="N223" i="1"/>
  <c r="L223" i="1"/>
  <c r="J223" i="1"/>
  <c r="H223" i="1"/>
  <c r="F223" i="1"/>
  <c r="D223" i="1"/>
  <c r="R225" i="1"/>
  <c r="P225" i="1"/>
  <c r="N225" i="1"/>
  <c r="L225" i="1"/>
  <c r="J225" i="1"/>
  <c r="H225" i="1"/>
  <c r="F225" i="1"/>
  <c r="D225" i="1"/>
  <c r="C154" i="1"/>
  <c r="R148" i="1"/>
  <c r="Q148" i="1"/>
  <c r="P148" i="1"/>
  <c r="O148" i="1"/>
  <c r="N148" i="1"/>
  <c r="M148" i="1"/>
  <c r="K148" i="1"/>
  <c r="J148" i="1"/>
  <c r="I148" i="1"/>
  <c r="G148" i="1"/>
  <c r="F148" i="1"/>
  <c r="E148" i="1"/>
  <c r="C148" i="1"/>
  <c r="P146" i="1"/>
  <c r="L146" i="1"/>
  <c r="H146" i="1"/>
  <c r="D146" i="1"/>
  <c r="S145" i="1"/>
  <c r="Q146" i="1"/>
  <c r="M146" i="1"/>
  <c r="K146" i="1"/>
  <c r="J173" i="1"/>
  <c r="J174" i="1" s="1"/>
  <c r="I173" i="1"/>
  <c r="I174" i="1" s="1"/>
  <c r="H173" i="1"/>
  <c r="H174" i="1" s="1"/>
  <c r="G146" i="1"/>
  <c r="F173" i="1"/>
  <c r="F174" i="1" s="1"/>
  <c r="E173" i="1"/>
  <c r="E174" i="1" s="1"/>
  <c r="D173" i="1"/>
  <c r="D174" i="1" s="1"/>
  <c r="C146" i="1"/>
  <c r="P142" i="1"/>
  <c r="L148" i="1"/>
  <c r="H148" i="1"/>
  <c r="D148" i="1"/>
  <c r="R224" i="1"/>
  <c r="P224" i="1"/>
  <c r="N224" i="1"/>
  <c r="N260" i="1" s="1"/>
  <c r="L224" i="1"/>
  <c r="J224" i="1"/>
  <c r="H224" i="1"/>
  <c r="F224" i="1"/>
  <c r="D224" i="1"/>
  <c r="R212" i="1"/>
  <c r="P212" i="1"/>
  <c r="N212" i="1"/>
  <c r="L212" i="1"/>
  <c r="J212" i="1"/>
  <c r="H212" i="1"/>
  <c r="F212" i="1"/>
  <c r="D212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R136" i="1"/>
  <c r="S136" i="1" s="1"/>
  <c r="T136" i="1" s="1"/>
  <c r="U136" i="1" s="1"/>
  <c r="N136" i="1"/>
  <c r="J136" i="1"/>
  <c r="F136" i="1"/>
  <c r="S135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R132" i="1"/>
  <c r="N132" i="1"/>
  <c r="J132" i="1"/>
  <c r="F132" i="1"/>
  <c r="Q132" i="1"/>
  <c r="P132" i="1"/>
  <c r="O132" i="1"/>
  <c r="M132" i="1"/>
  <c r="L132" i="1"/>
  <c r="K132" i="1"/>
  <c r="I132" i="1"/>
  <c r="H132" i="1"/>
  <c r="G132" i="1"/>
  <c r="E132" i="1"/>
  <c r="D132" i="1"/>
  <c r="C132" i="1"/>
  <c r="R181" i="1"/>
  <c r="Q181" i="1"/>
  <c r="P136" i="1"/>
  <c r="O136" i="1"/>
  <c r="N181" i="1"/>
  <c r="M181" i="1"/>
  <c r="L136" i="1"/>
  <c r="K136" i="1"/>
  <c r="J181" i="1"/>
  <c r="I181" i="1"/>
  <c r="H136" i="1"/>
  <c r="G136" i="1"/>
  <c r="F181" i="1"/>
  <c r="E181" i="1"/>
  <c r="D136" i="1"/>
  <c r="C136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D211" i="1"/>
  <c r="R210" i="1"/>
  <c r="R209" i="1" s="1"/>
  <c r="Q210" i="1"/>
  <c r="P210" i="1"/>
  <c r="O210" i="1"/>
  <c r="N210" i="1"/>
  <c r="N209" i="1" s="1"/>
  <c r="L210" i="1"/>
  <c r="L209" i="1" s="1"/>
  <c r="K210" i="1"/>
  <c r="J210" i="1"/>
  <c r="J209" i="1" s="1"/>
  <c r="H210" i="1"/>
  <c r="G210" i="1"/>
  <c r="F210" i="1"/>
  <c r="F209" i="1" s="1"/>
  <c r="D210" i="1"/>
  <c r="D209" i="1" s="1"/>
  <c r="P126" i="1"/>
  <c r="O234" i="1"/>
  <c r="M234" i="1"/>
  <c r="L126" i="1"/>
  <c r="K234" i="1"/>
  <c r="H126" i="1"/>
  <c r="G234" i="1"/>
  <c r="D126" i="1"/>
  <c r="C126" i="1"/>
  <c r="K121" i="1"/>
  <c r="J121" i="1"/>
  <c r="I121" i="1"/>
  <c r="H121" i="1"/>
  <c r="G121" i="1"/>
  <c r="F121" i="1"/>
  <c r="E121" i="1"/>
  <c r="D121" i="1"/>
  <c r="C121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K77" i="1"/>
  <c r="J77" i="1"/>
  <c r="I77" i="1"/>
  <c r="H77" i="1"/>
  <c r="G77" i="1"/>
  <c r="F77" i="1"/>
  <c r="E77" i="1"/>
  <c r="D77" i="1"/>
  <c r="C7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K67" i="1"/>
  <c r="J67" i="1"/>
  <c r="I67" i="1"/>
  <c r="H67" i="1"/>
  <c r="G67" i="1"/>
  <c r="F67" i="1"/>
  <c r="E67" i="1"/>
  <c r="D67" i="1"/>
  <c r="C67" i="1"/>
  <c r="CO57" i="1"/>
  <c r="R55" i="1"/>
  <c r="Q55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AU75" i="1"/>
  <c r="AR75" i="1"/>
  <c r="G75" i="1"/>
  <c r="D75" i="1"/>
  <c r="C53" i="1"/>
  <c r="R47" i="1"/>
  <c r="BN47" i="1" s="1"/>
  <c r="Q47" i="1"/>
  <c r="BJ47" i="1" s="1"/>
  <c r="R46" i="1"/>
  <c r="R206" i="1" s="1"/>
  <c r="Q46" i="1"/>
  <c r="Q206" i="1" s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O51" i="1"/>
  <c r="BK51" i="1"/>
  <c r="K40" i="1"/>
  <c r="I40" i="1"/>
  <c r="H40" i="1"/>
  <c r="D52" i="1"/>
  <c r="C52" i="1"/>
  <c r="AH37" i="1"/>
  <c r="AG37" i="1"/>
  <c r="AE37" i="1"/>
  <c r="AD37" i="1"/>
  <c r="AC37" i="1"/>
  <c r="AA37" i="1"/>
  <c r="Z37" i="1"/>
  <c r="Y37" i="1"/>
  <c r="W37" i="1"/>
  <c r="O37" i="1"/>
  <c r="O205" i="1" s="1"/>
  <c r="M37" i="1"/>
  <c r="M205" i="1" s="1"/>
  <c r="L37" i="1"/>
  <c r="L205" i="1" s="1"/>
  <c r="K33" i="1"/>
  <c r="I33" i="1"/>
  <c r="I37" i="1" s="1"/>
  <c r="I205" i="1" s="1"/>
  <c r="H33" i="1"/>
  <c r="H37" i="1" s="1"/>
  <c r="H205" i="1" s="1"/>
  <c r="G37" i="1"/>
  <c r="G205" i="1" s="1"/>
  <c r="E37" i="1"/>
  <c r="E205" i="1" s="1"/>
  <c r="D37" i="1"/>
  <c r="D205" i="1" s="1"/>
  <c r="C37" i="1"/>
  <c r="C205" i="1" s="1"/>
  <c r="BZ32" i="1"/>
  <c r="BY32" i="1"/>
  <c r="BX32" i="1"/>
  <c r="BW32" i="1"/>
  <c r="BV32" i="1"/>
  <c r="BU32" i="1"/>
  <c r="BT32" i="1"/>
  <c r="BS32" i="1"/>
  <c r="BR32" i="1"/>
  <c r="BQ32" i="1"/>
  <c r="G207" i="1"/>
  <c r="F207" i="1"/>
  <c r="E207" i="1"/>
  <c r="D207" i="1"/>
  <c r="C207" i="1"/>
  <c r="J208" i="1"/>
  <c r="I208" i="1"/>
  <c r="H208" i="1"/>
  <c r="G208" i="1"/>
  <c r="F208" i="1"/>
  <c r="E208" i="1"/>
  <c r="D208" i="1"/>
  <c r="C208" i="1"/>
  <c r="O104" i="1"/>
  <c r="O105" i="1" s="1"/>
  <c r="N104" i="1"/>
  <c r="N105" i="1" s="1"/>
  <c r="M104" i="1"/>
  <c r="L104" i="1"/>
  <c r="K104" i="1"/>
  <c r="K105" i="1" s="1"/>
  <c r="J104" i="1"/>
  <c r="J105" i="1" s="1"/>
  <c r="I104" i="1"/>
  <c r="H104" i="1"/>
  <c r="G104" i="1"/>
  <c r="G105" i="1" s="1"/>
  <c r="F104" i="1"/>
  <c r="F105" i="1" s="1"/>
  <c r="E104" i="1"/>
  <c r="D104" i="1"/>
  <c r="C104" i="1"/>
  <c r="O109" i="1"/>
  <c r="O110" i="1" s="1"/>
  <c r="N109" i="1"/>
  <c r="N110" i="1" s="1"/>
  <c r="M109" i="1"/>
  <c r="L109" i="1"/>
  <c r="L110" i="1" s="1"/>
  <c r="K109" i="1"/>
  <c r="K110" i="1" s="1"/>
  <c r="J109" i="1"/>
  <c r="J110" i="1" s="1"/>
  <c r="I109" i="1"/>
  <c r="H109" i="1"/>
  <c r="H110" i="1" s="1"/>
  <c r="G109" i="1"/>
  <c r="G110" i="1" s="1"/>
  <c r="F109" i="1"/>
  <c r="F110" i="1" s="1"/>
  <c r="E109" i="1"/>
  <c r="D109" i="1"/>
  <c r="D110" i="1" s="1"/>
  <c r="C109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K19" i="1"/>
  <c r="BX18" i="1"/>
  <c r="BR18" i="1"/>
  <c r="AL18" i="1"/>
  <c r="BX17" i="1"/>
  <c r="BW17" i="1"/>
  <c r="BR17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P12" i="1"/>
  <c r="BM12" i="1"/>
  <c r="BL12" i="1"/>
  <c r="BI12" i="1"/>
  <c r="BH12" i="1"/>
  <c r="BE12" i="1"/>
  <c r="BD12" i="1"/>
  <c r="BA12" i="1"/>
  <c r="AZ12" i="1"/>
  <c r="AW12" i="1"/>
  <c r="AV12" i="1"/>
  <c r="AS12" i="1"/>
  <c r="AR12" i="1"/>
  <c r="AO12" i="1"/>
  <c r="AN12" i="1"/>
  <c r="AK12" i="1"/>
  <c r="AJ12" i="1"/>
  <c r="AG12" i="1"/>
  <c r="AF12" i="1"/>
  <c r="AC12" i="1"/>
  <c r="AB12" i="1"/>
  <c r="Y12" i="1"/>
  <c r="X12" i="1"/>
  <c r="O12" i="1"/>
  <c r="K12" i="1"/>
  <c r="G12" i="1"/>
  <c r="C12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K5" i="1"/>
  <c r="J5" i="1"/>
  <c r="I5" i="1"/>
  <c r="H5" i="1"/>
  <c r="G5" i="1"/>
  <c r="F5" i="1"/>
  <c r="E5" i="1"/>
  <c r="D5" i="1"/>
  <c r="C5" i="1"/>
  <c r="L4" i="1"/>
  <c r="M4" i="1" s="1"/>
  <c r="M5" i="1" s="1"/>
  <c r="AD3" i="1"/>
  <c r="AH3" i="1" s="1"/>
  <c r="AL3" i="1" s="1"/>
  <c r="AP3" i="1" s="1"/>
  <c r="AT3" i="1" s="1"/>
  <c r="AX3" i="1" s="1"/>
  <c r="BB3" i="1" s="1"/>
  <c r="BF3" i="1" s="1"/>
  <c r="BJ3" i="1" s="1"/>
  <c r="BN3" i="1" s="1"/>
  <c r="BR3" i="1" s="1"/>
  <c r="BV3" i="1" s="1"/>
  <c r="BZ3" i="1" s="1"/>
  <c r="AC3" i="1"/>
  <c r="AG3" i="1" s="1"/>
  <c r="AK3" i="1" s="1"/>
  <c r="AO3" i="1" s="1"/>
  <c r="AS3" i="1" s="1"/>
  <c r="AW3" i="1" s="1"/>
  <c r="BA3" i="1" s="1"/>
  <c r="BE3" i="1" s="1"/>
  <c r="BI3" i="1" s="1"/>
  <c r="BM3" i="1" s="1"/>
  <c r="BQ3" i="1" s="1"/>
  <c r="BU3" i="1" s="1"/>
  <c r="BY3" i="1" s="1"/>
  <c r="AB3" i="1"/>
  <c r="AF3" i="1" s="1"/>
  <c r="AJ3" i="1" s="1"/>
  <c r="AN3" i="1" s="1"/>
  <c r="AR3" i="1" s="1"/>
  <c r="AV3" i="1" s="1"/>
  <c r="AZ3" i="1" s="1"/>
  <c r="BD3" i="1" s="1"/>
  <c r="BH3" i="1" s="1"/>
  <c r="BL3" i="1" s="1"/>
  <c r="BP3" i="1" s="1"/>
  <c r="BT3" i="1" s="1"/>
  <c r="BX3" i="1" s="1"/>
  <c r="AA3" i="1"/>
  <c r="AI18" i="2" l="1"/>
  <c r="AI44" i="2"/>
  <c r="G25" i="2"/>
  <c r="S25" i="2"/>
  <c r="K93" i="2"/>
  <c r="W93" i="2"/>
  <c r="T303" i="2"/>
  <c r="T279" i="2" s="1"/>
  <c r="BU18" i="1" s="1"/>
  <c r="I18" i="2"/>
  <c r="I38" i="2" s="1"/>
  <c r="AF18" i="2"/>
  <c r="AN45" i="2"/>
  <c r="AM47" i="2"/>
  <c r="AM108" i="2" s="1"/>
  <c r="AM74" i="2" s="1"/>
  <c r="G230" i="2"/>
  <c r="W79" i="2"/>
  <c r="W99" i="2" s="1"/>
  <c r="H93" i="2"/>
  <c r="L93" i="2"/>
  <c r="P93" i="2"/>
  <c r="T93" i="2"/>
  <c r="X93" i="2"/>
  <c r="H94" i="2"/>
  <c r="L94" i="2"/>
  <c r="P94" i="2"/>
  <c r="T94" i="2"/>
  <c r="X94" i="2"/>
  <c r="U288" i="2"/>
  <c r="U278" i="2" s="1"/>
  <c r="BV17" i="1" s="1"/>
  <c r="U303" i="2"/>
  <c r="U279" i="2" s="1"/>
  <c r="BV18" i="1" s="1"/>
  <c r="AO314" i="2"/>
  <c r="K25" i="2"/>
  <c r="W94" i="2"/>
  <c r="G23" i="2"/>
  <c r="AM14" i="2"/>
  <c r="I25" i="2"/>
  <c r="M25" i="2"/>
  <c r="Q25" i="2"/>
  <c r="U25" i="2"/>
  <c r="Y25" i="2"/>
  <c r="AK45" i="2"/>
  <c r="AK106" i="2" s="1"/>
  <c r="AL45" i="2"/>
  <c r="AM45" i="2"/>
  <c r="AO45" i="2"/>
  <c r="AJ46" i="2"/>
  <c r="AJ14" i="2" s="1"/>
  <c r="AJ24" i="2" s="1"/>
  <c r="AK46" i="2"/>
  <c r="AK107" i="2" s="1"/>
  <c r="AK73" i="2" s="1"/>
  <c r="AL46" i="2"/>
  <c r="AL107" i="2" s="1"/>
  <c r="AL73" i="2" s="1"/>
  <c r="AM46" i="2"/>
  <c r="AM107" i="2" s="1"/>
  <c r="AM73" i="2" s="1"/>
  <c r="AN46" i="2"/>
  <c r="AN107" i="2" s="1"/>
  <c r="AN73" i="2" s="1"/>
  <c r="AN93" i="2" s="1"/>
  <c r="AO46" i="2"/>
  <c r="AO107" i="2" s="1"/>
  <c r="AO73" i="2" s="1"/>
  <c r="AJ47" i="2"/>
  <c r="AK47" i="2"/>
  <c r="AK108" i="2" s="1"/>
  <c r="AK74" i="2" s="1"/>
  <c r="AL47" i="2"/>
  <c r="AL108" i="2" s="1"/>
  <c r="AL74" i="2" s="1"/>
  <c r="AL94" i="2" s="1"/>
  <c r="AN47" i="2"/>
  <c r="AN108" i="2" s="1"/>
  <c r="AN74" i="2" s="1"/>
  <c r="AO47" i="2"/>
  <c r="AO108" i="2" s="1"/>
  <c r="AO74" i="2" s="1"/>
  <c r="AN71" i="2"/>
  <c r="X79" i="2"/>
  <c r="I93" i="2"/>
  <c r="M93" i="2"/>
  <c r="Q93" i="2"/>
  <c r="U93" i="2"/>
  <c r="Y93" i="2"/>
  <c r="I94" i="2"/>
  <c r="M94" i="2"/>
  <c r="Q94" i="2"/>
  <c r="U94" i="2"/>
  <c r="Y94" i="2"/>
  <c r="R288" i="2"/>
  <c r="R278" i="2" s="1"/>
  <c r="BS17" i="1" s="1"/>
  <c r="R303" i="2"/>
  <c r="R279" i="2" s="1"/>
  <c r="BS18" i="1" s="1"/>
  <c r="AL314" i="2"/>
  <c r="O93" i="2"/>
  <c r="O94" i="2"/>
  <c r="H23" i="2"/>
  <c r="L23" i="2"/>
  <c r="P23" i="2"/>
  <c r="T23" i="2"/>
  <c r="AG24" i="2"/>
  <c r="F25" i="2"/>
  <c r="J25" i="2"/>
  <c r="N25" i="2"/>
  <c r="R25" i="2"/>
  <c r="V25" i="2"/>
  <c r="AN70" i="2"/>
  <c r="O76" i="2"/>
  <c r="I230" i="2"/>
  <c r="P78" i="2"/>
  <c r="W80" i="2"/>
  <c r="W114" i="2" s="1"/>
  <c r="F93" i="2"/>
  <c r="J93" i="2"/>
  <c r="N93" i="2"/>
  <c r="R93" i="2"/>
  <c r="V93" i="2"/>
  <c r="F94" i="2"/>
  <c r="J94" i="2"/>
  <c r="N94" i="2"/>
  <c r="R94" i="2"/>
  <c r="V94" i="2"/>
  <c r="O161" i="2"/>
  <c r="O177" i="2" s="1"/>
  <c r="O185" i="2" s="1"/>
  <c r="S156" i="2"/>
  <c r="W156" i="2"/>
  <c r="S288" i="2"/>
  <c r="S278" i="2" s="1"/>
  <c r="BT17" i="1" s="1"/>
  <c r="S303" i="2"/>
  <c r="S279" i="2" s="1"/>
  <c r="BT18" i="1" s="1"/>
  <c r="E110" i="1"/>
  <c r="I110" i="1"/>
  <c r="M110" i="1"/>
  <c r="D105" i="1"/>
  <c r="H105" i="1"/>
  <c r="L105" i="1"/>
  <c r="P209" i="1"/>
  <c r="E105" i="1"/>
  <c r="I105" i="1"/>
  <c r="M105" i="1"/>
  <c r="Q234" i="1"/>
  <c r="H209" i="1"/>
  <c r="AJ84" i="1"/>
  <c r="AJ69" i="1"/>
  <c r="AJ20" i="1"/>
  <c r="AJ13" i="1"/>
  <c r="AV84" i="1"/>
  <c r="AV69" i="1"/>
  <c r="AV20" i="1"/>
  <c r="AV13" i="1"/>
  <c r="BL84" i="1"/>
  <c r="BL69" i="1"/>
  <c r="BL20" i="1"/>
  <c r="BL13" i="1"/>
  <c r="K196" i="2" s="1"/>
  <c r="N165" i="1"/>
  <c r="N164" i="1"/>
  <c r="F12" i="1"/>
  <c r="J12" i="1"/>
  <c r="N12" i="1"/>
  <c r="Y84" i="1"/>
  <c r="Y13" i="1"/>
  <c r="Y20" i="1"/>
  <c r="AC84" i="1"/>
  <c r="AC69" i="1"/>
  <c r="AC13" i="1"/>
  <c r="AC20" i="1"/>
  <c r="AG84" i="1"/>
  <c r="AG69" i="1"/>
  <c r="AG13" i="1"/>
  <c r="AG20" i="1"/>
  <c r="AK84" i="1"/>
  <c r="AK69" i="1"/>
  <c r="AK13" i="1"/>
  <c r="AK20" i="1"/>
  <c r="AO84" i="1"/>
  <c r="AO69" i="1"/>
  <c r="AO13" i="1"/>
  <c r="AO20" i="1"/>
  <c r="AS84" i="1"/>
  <c r="AS69" i="1"/>
  <c r="AS13" i="1"/>
  <c r="AS20" i="1"/>
  <c r="AW84" i="1"/>
  <c r="AW69" i="1"/>
  <c r="AW13" i="1"/>
  <c r="AW20" i="1"/>
  <c r="BA84" i="1"/>
  <c r="BA69" i="1"/>
  <c r="BA13" i="1"/>
  <c r="BA20" i="1"/>
  <c r="BE84" i="1"/>
  <c r="BE69" i="1"/>
  <c r="BE13" i="1"/>
  <c r="D196" i="2" s="1"/>
  <c r="BE20" i="1"/>
  <c r="BI84" i="1"/>
  <c r="BI69" i="1"/>
  <c r="BI13" i="1"/>
  <c r="H196" i="2" s="1"/>
  <c r="BI20" i="1"/>
  <c r="BM84" i="1"/>
  <c r="BM69" i="1"/>
  <c r="BM13" i="1"/>
  <c r="L196" i="2" s="1"/>
  <c r="BM20" i="1"/>
  <c r="C165" i="1"/>
  <c r="C164" i="1"/>
  <c r="G165" i="1"/>
  <c r="G164" i="1"/>
  <c r="K165" i="1"/>
  <c r="K164" i="1"/>
  <c r="O165" i="1"/>
  <c r="O164" i="1"/>
  <c r="AL82" i="1"/>
  <c r="AL15" i="1"/>
  <c r="AL79" i="1" s="1"/>
  <c r="X84" i="1"/>
  <c r="X20" i="1"/>
  <c r="X13" i="1"/>
  <c r="AN84" i="1"/>
  <c r="AN69" i="1"/>
  <c r="AN20" i="1"/>
  <c r="AN13" i="1"/>
  <c r="AZ84" i="1"/>
  <c r="AZ69" i="1"/>
  <c r="AZ20" i="1"/>
  <c r="AZ13" i="1"/>
  <c r="BP84" i="1"/>
  <c r="BP69" i="1"/>
  <c r="BP20" i="1"/>
  <c r="BP13" i="1"/>
  <c r="G84" i="1"/>
  <c r="G69" i="1"/>
  <c r="G13" i="1"/>
  <c r="G20" i="1"/>
  <c r="K84" i="1"/>
  <c r="K69" i="1"/>
  <c r="K13" i="1"/>
  <c r="K38" i="1"/>
  <c r="K20" i="1"/>
  <c r="O84" i="1"/>
  <c r="O69" i="1"/>
  <c r="O13" i="1"/>
  <c r="AI196" i="2" s="1"/>
  <c r="O20" i="1"/>
  <c r="D165" i="1"/>
  <c r="D164" i="1"/>
  <c r="H165" i="1"/>
  <c r="H164" i="1"/>
  <c r="L165" i="1"/>
  <c r="L164" i="1"/>
  <c r="K37" i="1"/>
  <c r="K205" i="1" s="1"/>
  <c r="AB84" i="1"/>
  <c r="AB69" i="1"/>
  <c r="AB20" i="1"/>
  <c r="AB13" i="1"/>
  <c r="AR84" i="1"/>
  <c r="AR69" i="1"/>
  <c r="AR20" i="1"/>
  <c r="AR13" i="1"/>
  <c r="BH84" i="1"/>
  <c r="BH69" i="1"/>
  <c r="BH20" i="1"/>
  <c r="BH13" i="1"/>
  <c r="G196" i="2" s="1"/>
  <c r="J165" i="1"/>
  <c r="J164" i="1"/>
  <c r="C84" i="1"/>
  <c r="C69" i="1"/>
  <c r="C13" i="1"/>
  <c r="C20" i="1"/>
  <c r="E165" i="1"/>
  <c r="E164" i="1"/>
  <c r="I165" i="1"/>
  <c r="I164" i="1"/>
  <c r="M165" i="1"/>
  <c r="M164" i="1"/>
  <c r="AF84" i="1"/>
  <c r="AF69" i="1"/>
  <c r="AF20" i="1"/>
  <c r="AF13" i="1"/>
  <c r="BD84" i="1"/>
  <c r="BD69" i="1"/>
  <c r="BD20" i="1"/>
  <c r="BD13" i="1"/>
  <c r="C196" i="2" s="1"/>
  <c r="F165" i="1"/>
  <c r="F164" i="1"/>
  <c r="AE4" i="2"/>
  <c r="K204" i="1"/>
  <c r="K197" i="1"/>
  <c r="K90" i="1"/>
  <c r="K195" i="1" s="1"/>
  <c r="K72" i="1"/>
  <c r="K63" i="1"/>
  <c r="AE3" i="1"/>
  <c r="AI3" i="1" s="1"/>
  <c r="AM3" i="1" s="1"/>
  <c r="AQ3" i="1" s="1"/>
  <c r="AU3" i="1" s="1"/>
  <c r="AY3" i="1" s="1"/>
  <c r="BC3" i="1" s="1"/>
  <c r="BG3" i="1" s="1"/>
  <c r="BK3" i="1" s="1"/>
  <c r="BO3" i="1" s="1"/>
  <c r="BS3" i="1" s="1"/>
  <c r="BW3" i="1" s="1"/>
  <c r="L202" i="1"/>
  <c r="L121" i="1"/>
  <c r="L67" i="1"/>
  <c r="L77" i="1"/>
  <c r="D199" i="1"/>
  <c r="D193" i="1"/>
  <c r="D163" i="1"/>
  <c r="D166" i="1" s="1"/>
  <c r="D68" i="1"/>
  <c r="AB12" i="2"/>
  <c r="AB197" i="2" s="1"/>
  <c r="H199" i="1"/>
  <c r="H193" i="1"/>
  <c r="H163" i="1"/>
  <c r="H166" i="1" s="1"/>
  <c r="H68" i="1"/>
  <c r="AF12" i="2"/>
  <c r="L199" i="1"/>
  <c r="L193" i="1"/>
  <c r="L163" i="1"/>
  <c r="L166" i="1" s="1"/>
  <c r="L68" i="1"/>
  <c r="Z93" i="1"/>
  <c r="Z68" i="1"/>
  <c r="AD93" i="1"/>
  <c r="AD68" i="1"/>
  <c r="AH93" i="1"/>
  <c r="AH68" i="1"/>
  <c r="AL93" i="1"/>
  <c r="AL83" i="1"/>
  <c r="AL68" i="1"/>
  <c r="AP93" i="1"/>
  <c r="AP68" i="1"/>
  <c r="AT93" i="1"/>
  <c r="AT68" i="1"/>
  <c r="AX93" i="1"/>
  <c r="AX68" i="1"/>
  <c r="BB93" i="1"/>
  <c r="BB68" i="1"/>
  <c r="E12" i="2"/>
  <c r="BF68" i="1"/>
  <c r="I12" i="2"/>
  <c r="BJ68" i="1"/>
  <c r="M12" i="2"/>
  <c r="BN68" i="1"/>
  <c r="F79" i="1"/>
  <c r="J79" i="1"/>
  <c r="N79" i="1"/>
  <c r="X79" i="1"/>
  <c r="AB79" i="1"/>
  <c r="AF79" i="1"/>
  <c r="AJ79" i="1"/>
  <c r="AN79" i="1"/>
  <c r="AR79" i="1"/>
  <c r="AV79" i="1"/>
  <c r="AZ79" i="1"/>
  <c r="BD79" i="1"/>
  <c r="BH79" i="1"/>
  <c r="BL79" i="1"/>
  <c r="BP79" i="1"/>
  <c r="D80" i="1"/>
  <c r="H80" i="1"/>
  <c r="L80" i="1"/>
  <c r="Z80" i="1"/>
  <c r="AD80" i="1"/>
  <c r="AH80" i="1"/>
  <c r="AL80" i="1"/>
  <c r="AP80" i="1"/>
  <c r="AT80" i="1"/>
  <c r="AX80" i="1"/>
  <c r="BB80" i="1"/>
  <c r="BF80" i="1"/>
  <c r="BJ80" i="1"/>
  <c r="BN80" i="1"/>
  <c r="F81" i="1"/>
  <c r="AD278" i="2"/>
  <c r="J81" i="1"/>
  <c r="AH278" i="2"/>
  <c r="N81" i="1"/>
  <c r="X81" i="1"/>
  <c r="AB81" i="1"/>
  <c r="AF81" i="1"/>
  <c r="AJ81" i="1"/>
  <c r="AN81" i="1"/>
  <c r="AR81" i="1"/>
  <c r="AV81" i="1"/>
  <c r="AZ81" i="1"/>
  <c r="C278" i="2"/>
  <c r="BD81" i="1"/>
  <c r="G278" i="2"/>
  <c r="BH81" i="1"/>
  <c r="K278" i="2"/>
  <c r="BL81" i="1"/>
  <c r="O278" i="2"/>
  <c r="BP81" i="1"/>
  <c r="D82" i="1"/>
  <c r="AB279" i="2"/>
  <c r="H82" i="1"/>
  <c r="AF279" i="2"/>
  <c r="L82" i="1"/>
  <c r="Z82" i="1"/>
  <c r="AD82" i="1"/>
  <c r="AH82" i="1"/>
  <c r="AP82" i="1"/>
  <c r="AT82" i="1"/>
  <c r="AX82" i="1"/>
  <c r="BB82" i="1"/>
  <c r="E279" i="2"/>
  <c r="BF82" i="1"/>
  <c r="I279" i="2"/>
  <c r="I284" i="2" s="1"/>
  <c r="BJ82" i="1"/>
  <c r="M279" i="2"/>
  <c r="BN82" i="1"/>
  <c r="F83" i="1"/>
  <c r="AD280" i="2"/>
  <c r="J83" i="1"/>
  <c r="AH280" i="2"/>
  <c r="N83" i="1"/>
  <c r="X83" i="1"/>
  <c r="AB83" i="1"/>
  <c r="AF83" i="1"/>
  <c r="AM83" i="1"/>
  <c r="AQ83" i="1"/>
  <c r="AU83" i="1"/>
  <c r="AY83" i="1"/>
  <c r="B280" i="2"/>
  <c r="BC83" i="1"/>
  <c r="F280" i="2"/>
  <c r="BG83" i="1"/>
  <c r="J280" i="2"/>
  <c r="BK83" i="1"/>
  <c r="N280" i="2"/>
  <c r="BO83" i="1"/>
  <c r="H29" i="1"/>
  <c r="H207" i="1" s="1"/>
  <c r="L29" i="1"/>
  <c r="L207" i="1" s="1"/>
  <c r="F88" i="1"/>
  <c r="F71" i="1"/>
  <c r="J88" i="1"/>
  <c r="J71" i="1"/>
  <c r="N88" i="1"/>
  <c r="N71" i="1"/>
  <c r="X88" i="1"/>
  <c r="AB88" i="1"/>
  <c r="AB71" i="1"/>
  <c r="AF88" i="1"/>
  <c r="AF71" i="1"/>
  <c r="AJ88" i="1"/>
  <c r="AJ71" i="1"/>
  <c r="AN88" i="1"/>
  <c r="AN71" i="1"/>
  <c r="AR88" i="1"/>
  <c r="AR71" i="1"/>
  <c r="AV88" i="1"/>
  <c r="AV71" i="1"/>
  <c r="AZ88" i="1"/>
  <c r="AZ71" i="1"/>
  <c r="BD88" i="1"/>
  <c r="BD71" i="1"/>
  <c r="BH88" i="1"/>
  <c r="BH71" i="1"/>
  <c r="BL88" i="1"/>
  <c r="BL71" i="1"/>
  <c r="BP88" i="1"/>
  <c r="BP71" i="1"/>
  <c r="E89" i="1"/>
  <c r="I89" i="1"/>
  <c r="M89" i="1"/>
  <c r="M249" i="1" s="1"/>
  <c r="W89" i="1"/>
  <c r="AA89" i="1"/>
  <c r="AE89" i="1"/>
  <c r="AI89" i="1"/>
  <c r="AM89" i="1"/>
  <c r="AQ89" i="1"/>
  <c r="AU89" i="1"/>
  <c r="AY89" i="1"/>
  <c r="BC89" i="1"/>
  <c r="BG89" i="1"/>
  <c r="BK89" i="1"/>
  <c r="BO89" i="1"/>
  <c r="AK37" i="1"/>
  <c r="AK41" i="1" s="1"/>
  <c r="AO37" i="1"/>
  <c r="AO41" i="1" s="1"/>
  <c r="AS37" i="1"/>
  <c r="AS41" i="1" s="1"/>
  <c r="AW37" i="1"/>
  <c r="AW41" i="1" s="1"/>
  <c r="BA37" i="1"/>
  <c r="BA41" i="1" s="1"/>
  <c r="BE37" i="1"/>
  <c r="BE43" i="1" s="1"/>
  <c r="BI37" i="1"/>
  <c r="BI43" i="1" s="1"/>
  <c r="BM37" i="1"/>
  <c r="BM43" i="1" s="1"/>
  <c r="F204" i="1"/>
  <c r="F197" i="1"/>
  <c r="F90" i="1"/>
  <c r="F195" i="1" s="1"/>
  <c r="F72" i="1"/>
  <c r="F63" i="1"/>
  <c r="AD4" i="2"/>
  <c r="J204" i="1"/>
  <c r="J197" i="1"/>
  <c r="J90" i="1"/>
  <c r="J195" i="1" s="1"/>
  <c r="J72" i="1"/>
  <c r="J63" i="1"/>
  <c r="AH4" i="2"/>
  <c r="N204" i="1"/>
  <c r="N197" i="1"/>
  <c r="N90" i="1"/>
  <c r="N195" i="1" s="1"/>
  <c r="N72" i="1"/>
  <c r="N63" i="1"/>
  <c r="X94" i="1"/>
  <c r="X90" i="1"/>
  <c r="AB94" i="1"/>
  <c r="AB90" i="1"/>
  <c r="AB72" i="1"/>
  <c r="AF94" i="1"/>
  <c r="AF90" i="1"/>
  <c r="AF72" i="1"/>
  <c r="AJ94" i="1"/>
  <c r="AJ90" i="1"/>
  <c r="AJ72" i="1"/>
  <c r="AN94" i="1"/>
  <c r="AN90" i="1"/>
  <c r="AN72" i="1"/>
  <c r="AR94" i="1"/>
  <c r="AR90" i="1"/>
  <c r="AR72" i="1"/>
  <c r="AV94" i="1"/>
  <c r="AV90" i="1"/>
  <c r="AV72" i="1"/>
  <c r="AZ94" i="1"/>
  <c r="AZ90" i="1"/>
  <c r="AZ72" i="1"/>
  <c r="C4" i="2"/>
  <c r="BD90" i="1"/>
  <c r="BD72" i="1"/>
  <c r="G4" i="2"/>
  <c r="BH90" i="1"/>
  <c r="BH72" i="1"/>
  <c r="K4" i="2"/>
  <c r="BL90" i="1"/>
  <c r="BL72" i="1"/>
  <c r="O4" i="2"/>
  <c r="BP90" i="1"/>
  <c r="BP72" i="1"/>
  <c r="D41" i="1"/>
  <c r="H41" i="1"/>
  <c r="L41" i="1"/>
  <c r="BI46" i="1"/>
  <c r="BM46" i="1"/>
  <c r="BG47" i="1"/>
  <c r="BK47" i="1"/>
  <c r="E75" i="1"/>
  <c r="I50" i="1"/>
  <c r="AQ75" i="1"/>
  <c r="AM75" i="1"/>
  <c r="AV75" i="1"/>
  <c r="AZ75" i="1"/>
  <c r="C5" i="2"/>
  <c r="BD75" i="1"/>
  <c r="C6" i="2" s="1"/>
  <c r="G5" i="2"/>
  <c r="BH75" i="1"/>
  <c r="G6" i="2" s="1"/>
  <c r="BL50" i="1"/>
  <c r="BP50" i="1"/>
  <c r="H51" i="1"/>
  <c r="L51" i="1"/>
  <c r="E57" i="1"/>
  <c r="F58" i="1"/>
  <c r="F59" i="1" s="1"/>
  <c r="M202" i="1"/>
  <c r="M121" i="1"/>
  <c r="M192" i="1"/>
  <c r="M67" i="1"/>
  <c r="M77" i="1"/>
  <c r="E199" i="1"/>
  <c r="E163" i="1"/>
  <c r="E166" i="1" s="1"/>
  <c r="E193" i="1"/>
  <c r="E68" i="1"/>
  <c r="AC12" i="2"/>
  <c r="AC197" i="2" s="1"/>
  <c r="I199" i="1"/>
  <c r="I163" i="1"/>
  <c r="I166" i="1" s="1"/>
  <c r="I193" i="1"/>
  <c r="I68" i="1"/>
  <c r="AG12" i="2"/>
  <c r="AG34" i="2" s="1"/>
  <c r="M199" i="1"/>
  <c r="M163" i="1"/>
  <c r="M166" i="1" s="1"/>
  <c r="M193" i="1"/>
  <c r="M68" i="1"/>
  <c r="W93" i="1"/>
  <c r="AA93" i="1"/>
  <c r="AA68" i="1"/>
  <c r="AE93" i="1"/>
  <c r="AE68" i="1"/>
  <c r="AI93" i="1"/>
  <c r="AI83" i="1"/>
  <c r="AI68" i="1"/>
  <c r="AM93" i="1"/>
  <c r="AM68" i="1"/>
  <c r="AQ93" i="1"/>
  <c r="AQ68" i="1"/>
  <c r="AU93" i="1"/>
  <c r="AU68" i="1"/>
  <c r="AY93" i="1"/>
  <c r="AY68" i="1"/>
  <c r="B12" i="2"/>
  <c r="BC68" i="1"/>
  <c r="F12" i="2"/>
  <c r="BG68" i="1"/>
  <c r="J12" i="2"/>
  <c r="BK68" i="1"/>
  <c r="N12" i="2"/>
  <c r="BO68" i="1"/>
  <c r="C79" i="1"/>
  <c r="G79" i="1"/>
  <c r="K79" i="1"/>
  <c r="O79" i="1"/>
  <c r="Y79" i="1"/>
  <c r="AC79" i="1"/>
  <c r="AG79" i="1"/>
  <c r="AK79" i="1"/>
  <c r="AO79" i="1"/>
  <c r="AS79" i="1"/>
  <c r="AW79" i="1"/>
  <c r="BA79" i="1"/>
  <c r="BE79" i="1"/>
  <c r="BI79" i="1"/>
  <c r="BM79" i="1"/>
  <c r="E80" i="1"/>
  <c r="I80" i="1"/>
  <c r="M80" i="1"/>
  <c r="W80" i="1"/>
  <c r="AA80" i="1"/>
  <c r="AE80" i="1"/>
  <c r="AI80" i="1"/>
  <c r="AM80" i="1"/>
  <c r="AQ80" i="1"/>
  <c r="AU80" i="1"/>
  <c r="AY80" i="1"/>
  <c r="BC80" i="1"/>
  <c r="BG80" i="1"/>
  <c r="BK80" i="1"/>
  <c r="BO80" i="1"/>
  <c r="C81" i="1"/>
  <c r="G81" i="1"/>
  <c r="AE278" i="2"/>
  <c r="K81" i="1"/>
  <c r="AI278" i="2"/>
  <c r="O81" i="1"/>
  <c r="Y81" i="1"/>
  <c r="AC81" i="1"/>
  <c r="AG81" i="1"/>
  <c r="AK81" i="1"/>
  <c r="AO81" i="1"/>
  <c r="AS81" i="1"/>
  <c r="AW81" i="1"/>
  <c r="BA81" i="1"/>
  <c r="D278" i="2"/>
  <c r="BE81" i="1"/>
  <c r="H278" i="2"/>
  <c r="BI81" i="1"/>
  <c r="L278" i="2"/>
  <c r="BM81" i="1"/>
  <c r="E82" i="1"/>
  <c r="AC279" i="2"/>
  <c r="I82" i="1"/>
  <c r="AG279" i="2"/>
  <c r="M82" i="1"/>
  <c r="W82" i="1"/>
  <c r="AA82" i="1"/>
  <c r="AE82" i="1"/>
  <c r="AI82" i="1"/>
  <c r="AM82" i="1"/>
  <c r="AQ82" i="1"/>
  <c r="AU82" i="1"/>
  <c r="AY82" i="1"/>
  <c r="B279" i="2"/>
  <c r="BC82" i="1"/>
  <c r="F279" i="2"/>
  <c r="BG82" i="1"/>
  <c r="J279" i="2"/>
  <c r="BK82" i="1"/>
  <c r="N279" i="2"/>
  <c r="BO82" i="1"/>
  <c r="C83" i="1"/>
  <c r="G83" i="1"/>
  <c r="AE280" i="2"/>
  <c r="K83" i="1"/>
  <c r="AI280" i="2"/>
  <c r="O83" i="1"/>
  <c r="Y83" i="1"/>
  <c r="AC83" i="1"/>
  <c r="AG83" i="1"/>
  <c r="AN83" i="1"/>
  <c r="AR83" i="1"/>
  <c r="AV83" i="1"/>
  <c r="AZ83" i="1"/>
  <c r="C280" i="2"/>
  <c r="BD83" i="1"/>
  <c r="G280" i="2"/>
  <c r="BH83" i="1"/>
  <c r="K280" i="2"/>
  <c r="BL83" i="1"/>
  <c r="O280" i="2"/>
  <c r="BP83" i="1"/>
  <c r="K27" i="1"/>
  <c r="K208" i="1" s="1"/>
  <c r="I29" i="1"/>
  <c r="I207" i="1" s="1"/>
  <c r="M29" i="1"/>
  <c r="M207" i="1" s="1"/>
  <c r="C88" i="1"/>
  <c r="C71" i="1"/>
  <c r="G88" i="1"/>
  <c r="G71" i="1"/>
  <c r="K88" i="1"/>
  <c r="K71" i="1"/>
  <c r="O88" i="1"/>
  <c r="O71" i="1"/>
  <c r="Y88" i="1"/>
  <c r="AC88" i="1"/>
  <c r="AC71" i="1"/>
  <c r="AG88" i="1"/>
  <c r="AG71" i="1"/>
  <c r="AK88" i="1"/>
  <c r="AK71" i="1"/>
  <c r="AO88" i="1"/>
  <c r="AO71" i="1"/>
  <c r="AS88" i="1"/>
  <c r="AS71" i="1"/>
  <c r="AW88" i="1"/>
  <c r="AW71" i="1"/>
  <c r="BA88" i="1"/>
  <c r="BA71" i="1"/>
  <c r="BE88" i="1"/>
  <c r="BE71" i="1"/>
  <c r="BI88" i="1"/>
  <c r="BI71" i="1"/>
  <c r="BM88" i="1"/>
  <c r="BM71" i="1"/>
  <c r="F89" i="1"/>
  <c r="J89" i="1"/>
  <c r="N89" i="1"/>
  <c r="N249" i="1" s="1"/>
  <c r="X89" i="1"/>
  <c r="AB89" i="1"/>
  <c r="AF89" i="1"/>
  <c r="AJ89" i="1"/>
  <c r="AN89" i="1"/>
  <c r="AR89" i="1"/>
  <c r="AV89" i="1"/>
  <c r="AZ89" i="1"/>
  <c r="BD89" i="1"/>
  <c r="BH89" i="1"/>
  <c r="BL89" i="1"/>
  <c r="BP89" i="1"/>
  <c r="AL37" i="1"/>
  <c r="AL41" i="1" s="1"/>
  <c r="AP37" i="1"/>
  <c r="AP41" i="1" s="1"/>
  <c r="AT37" i="1"/>
  <c r="AT41" i="1" s="1"/>
  <c r="AX37" i="1"/>
  <c r="AX41" i="1" s="1"/>
  <c r="BB37" i="1"/>
  <c r="BB41" i="1" s="1"/>
  <c r="BF37" i="1"/>
  <c r="BF43" i="1" s="1"/>
  <c r="BJ37" i="1"/>
  <c r="BJ43" i="1" s="1"/>
  <c r="BN37" i="1"/>
  <c r="BN43" i="1" s="1"/>
  <c r="C204" i="1"/>
  <c r="C213" i="1" s="1"/>
  <c r="C197" i="1"/>
  <c r="C90" i="1"/>
  <c r="C195" i="1" s="1"/>
  <c r="C72" i="1"/>
  <c r="C63" i="1"/>
  <c r="G204" i="1"/>
  <c r="G197" i="1"/>
  <c r="G90" i="1"/>
  <c r="G195" i="1" s="1"/>
  <c r="G72" i="1"/>
  <c r="G63" i="1"/>
  <c r="AI4" i="2"/>
  <c r="O204" i="1"/>
  <c r="O197" i="1"/>
  <c r="O90" i="1"/>
  <c r="O195" i="1" s="1"/>
  <c r="O72" i="1"/>
  <c r="O63" i="1"/>
  <c r="Y94" i="1"/>
  <c r="Y90" i="1"/>
  <c r="AC94" i="1"/>
  <c r="AC90" i="1"/>
  <c r="AC72" i="1"/>
  <c r="AG94" i="1"/>
  <c r="AG90" i="1"/>
  <c r="AG72" i="1"/>
  <c r="AK94" i="1"/>
  <c r="AK90" i="1"/>
  <c r="AK72" i="1"/>
  <c r="AO94" i="1"/>
  <c r="AO90" i="1"/>
  <c r="AO72" i="1"/>
  <c r="AS94" i="1"/>
  <c r="AS90" i="1"/>
  <c r="AS72" i="1"/>
  <c r="AW94" i="1"/>
  <c r="AW90" i="1"/>
  <c r="AW72" i="1"/>
  <c r="BA94" i="1"/>
  <c r="BA90" i="1"/>
  <c r="BA72" i="1"/>
  <c r="D4" i="2"/>
  <c r="BE90" i="1"/>
  <c r="BE72" i="1"/>
  <c r="H4" i="2"/>
  <c r="BI90" i="1"/>
  <c r="BI72" i="1"/>
  <c r="L4" i="2"/>
  <c r="BM90" i="1"/>
  <c r="BM72" i="1"/>
  <c r="E41" i="1"/>
  <c r="I41" i="1"/>
  <c r="M41" i="1"/>
  <c r="BJ46" i="1"/>
  <c r="BN46" i="1"/>
  <c r="BH47" i="1"/>
  <c r="BL47" i="1"/>
  <c r="F75" i="1"/>
  <c r="J50" i="1"/>
  <c r="AN75" i="1"/>
  <c r="AS75" i="1"/>
  <c r="AW75" i="1"/>
  <c r="BA75" i="1"/>
  <c r="D5" i="2"/>
  <c r="BE75" i="1"/>
  <c r="D6" i="2" s="1"/>
  <c r="BI50" i="1"/>
  <c r="BM50" i="1"/>
  <c r="I51" i="1"/>
  <c r="M51" i="1"/>
  <c r="BL51" i="1"/>
  <c r="BP51" i="1"/>
  <c r="F57" i="1"/>
  <c r="C58" i="1"/>
  <c r="C59" i="1" s="1"/>
  <c r="C171" i="1" s="1"/>
  <c r="G58" i="1"/>
  <c r="G59" i="1" s="1"/>
  <c r="N4" i="1"/>
  <c r="L5" i="1"/>
  <c r="F199" i="1"/>
  <c r="F163" i="1"/>
  <c r="F166" i="1" s="1"/>
  <c r="F193" i="1"/>
  <c r="F196" i="1" s="1"/>
  <c r="F68" i="1"/>
  <c r="AD12" i="2"/>
  <c r="AD197" i="2" s="1"/>
  <c r="AD7" i="2" s="1"/>
  <c r="J199" i="1"/>
  <c r="J163" i="1"/>
  <c r="J166" i="1" s="1"/>
  <c r="J193" i="1"/>
  <c r="J196" i="1" s="1"/>
  <c r="AD9" i="2" s="1"/>
  <c r="J68" i="1"/>
  <c r="AH12" i="2"/>
  <c r="N199" i="1"/>
  <c r="N163" i="1"/>
  <c r="N166" i="1" s="1"/>
  <c r="N193" i="1"/>
  <c r="N196" i="1" s="1"/>
  <c r="AH9" i="2" s="1"/>
  <c r="N68" i="1"/>
  <c r="X93" i="1"/>
  <c r="AB93" i="1"/>
  <c r="AB68" i="1"/>
  <c r="AF93" i="1"/>
  <c r="AF68" i="1"/>
  <c r="AJ93" i="1"/>
  <c r="AJ68" i="1"/>
  <c r="AJ83" i="1"/>
  <c r="AN93" i="1"/>
  <c r="AN68" i="1"/>
  <c r="AR93" i="1"/>
  <c r="AR68" i="1"/>
  <c r="AV93" i="1"/>
  <c r="AV68" i="1"/>
  <c r="AZ93" i="1"/>
  <c r="AZ68" i="1"/>
  <c r="C12" i="2"/>
  <c r="C33" i="2" s="1"/>
  <c r="BD68" i="1"/>
  <c r="G12" i="2"/>
  <c r="BH68" i="1"/>
  <c r="K12" i="2"/>
  <c r="K33" i="2" s="1"/>
  <c r="BL68" i="1"/>
  <c r="O12" i="2"/>
  <c r="BP68" i="1"/>
  <c r="D12" i="1"/>
  <c r="H12" i="1"/>
  <c r="L12" i="1"/>
  <c r="Z12" i="1"/>
  <c r="AD12" i="1"/>
  <c r="AH12" i="1"/>
  <c r="AL12" i="1"/>
  <c r="AP12" i="1"/>
  <c r="AT12" i="1"/>
  <c r="AX12" i="1"/>
  <c r="BB12" i="1"/>
  <c r="BF12" i="1"/>
  <c r="BJ12" i="1"/>
  <c r="BN12" i="1"/>
  <c r="D79" i="1"/>
  <c r="H79" i="1"/>
  <c r="L79" i="1"/>
  <c r="Z79" i="1"/>
  <c r="AD79" i="1"/>
  <c r="AH79" i="1"/>
  <c r="AP79" i="1"/>
  <c r="AT79" i="1"/>
  <c r="AX79" i="1"/>
  <c r="BB79" i="1"/>
  <c r="BF79" i="1"/>
  <c r="BJ79" i="1"/>
  <c r="BN79" i="1"/>
  <c r="F80" i="1"/>
  <c r="J80" i="1"/>
  <c r="N80" i="1"/>
  <c r="X80" i="1"/>
  <c r="AB80" i="1"/>
  <c r="AF80" i="1"/>
  <c r="AJ80" i="1"/>
  <c r="AN80" i="1"/>
  <c r="AR80" i="1"/>
  <c r="AV80" i="1"/>
  <c r="AZ80" i="1"/>
  <c r="BD80" i="1"/>
  <c r="BH80" i="1"/>
  <c r="BL80" i="1"/>
  <c r="D81" i="1"/>
  <c r="AB278" i="2"/>
  <c r="H81" i="1"/>
  <c r="AF278" i="2"/>
  <c r="L81" i="1"/>
  <c r="Z81" i="1"/>
  <c r="AD81" i="1"/>
  <c r="AH81" i="1"/>
  <c r="AL81" i="1"/>
  <c r="AP81" i="1"/>
  <c r="AT81" i="1"/>
  <c r="AX81" i="1"/>
  <c r="BB81" i="1"/>
  <c r="E278" i="2"/>
  <c r="BF81" i="1"/>
  <c r="I278" i="2"/>
  <c r="I283" i="2" s="1"/>
  <c r="BJ81" i="1"/>
  <c r="M278" i="2"/>
  <c r="BN81" i="1"/>
  <c r="F82" i="1"/>
  <c r="AD279" i="2"/>
  <c r="J82" i="1"/>
  <c r="AH279" i="2"/>
  <c r="N82" i="1"/>
  <c r="X82" i="1"/>
  <c r="AB82" i="1"/>
  <c r="AF82" i="1"/>
  <c r="AJ82" i="1"/>
  <c r="AN82" i="1"/>
  <c r="AR82" i="1"/>
  <c r="AV82" i="1"/>
  <c r="AZ82" i="1"/>
  <c r="C279" i="2"/>
  <c r="BD82" i="1"/>
  <c r="G279" i="2"/>
  <c r="BH82" i="1"/>
  <c r="K279" i="2"/>
  <c r="BL82" i="1"/>
  <c r="O279" i="2"/>
  <c r="BP82" i="1"/>
  <c r="D83" i="1"/>
  <c r="AB280" i="2"/>
  <c r="H83" i="1"/>
  <c r="AF280" i="2"/>
  <c r="L83" i="1"/>
  <c r="Z83" i="1"/>
  <c r="AD83" i="1"/>
  <c r="AH83" i="1"/>
  <c r="AO83" i="1"/>
  <c r="AS83" i="1"/>
  <c r="AW83" i="1"/>
  <c r="BA83" i="1"/>
  <c r="D280" i="2"/>
  <c r="BE83" i="1"/>
  <c r="H280" i="2"/>
  <c r="BI83" i="1"/>
  <c r="L280" i="2"/>
  <c r="BM83" i="1"/>
  <c r="L27" i="1"/>
  <c r="L208" i="1" s="1"/>
  <c r="J29" i="1"/>
  <c r="J207" i="1" s="1"/>
  <c r="D88" i="1"/>
  <c r="D71" i="1"/>
  <c r="H88" i="1"/>
  <c r="H71" i="1"/>
  <c r="L88" i="1"/>
  <c r="L71" i="1"/>
  <c r="Z88" i="1"/>
  <c r="Z71" i="1"/>
  <c r="AD88" i="1"/>
  <c r="AD71" i="1"/>
  <c r="AH88" i="1"/>
  <c r="AH71" i="1"/>
  <c r="AL88" i="1"/>
  <c r="AL71" i="1"/>
  <c r="AP88" i="1"/>
  <c r="AP71" i="1"/>
  <c r="AT88" i="1"/>
  <c r="AT71" i="1"/>
  <c r="AX88" i="1"/>
  <c r="AX71" i="1"/>
  <c r="BB88" i="1"/>
  <c r="BB71" i="1"/>
  <c r="BF88" i="1"/>
  <c r="BF71" i="1"/>
  <c r="BJ88" i="1"/>
  <c r="BJ71" i="1"/>
  <c r="BN88" i="1"/>
  <c r="BN71" i="1"/>
  <c r="C89" i="1"/>
  <c r="G89" i="1"/>
  <c r="K89" i="1"/>
  <c r="O89" i="1"/>
  <c r="O249" i="1" s="1"/>
  <c r="Y89" i="1"/>
  <c r="AC89" i="1"/>
  <c r="AG89" i="1"/>
  <c r="AK89" i="1"/>
  <c r="AO89" i="1"/>
  <c r="AS89" i="1"/>
  <c r="AW89" i="1"/>
  <c r="BA89" i="1"/>
  <c r="BE89" i="1"/>
  <c r="BI89" i="1"/>
  <c r="BM89" i="1"/>
  <c r="AI37" i="1"/>
  <c r="AI41" i="1" s="1"/>
  <c r="AM37" i="1"/>
  <c r="AM41" i="1" s="1"/>
  <c r="AQ37" i="1"/>
  <c r="AQ41" i="1" s="1"/>
  <c r="AU37" i="1"/>
  <c r="AU41" i="1" s="1"/>
  <c r="AY37" i="1"/>
  <c r="AY41" i="1" s="1"/>
  <c r="BC37" i="1"/>
  <c r="BC43" i="1" s="1"/>
  <c r="BG37" i="1"/>
  <c r="BG43" i="1" s="1"/>
  <c r="BK37" i="1"/>
  <c r="BK43" i="1" s="1"/>
  <c r="BO37" i="1"/>
  <c r="BO43" i="1" s="1"/>
  <c r="D204" i="1"/>
  <c r="D213" i="1" s="1"/>
  <c r="D197" i="1"/>
  <c r="D90" i="1"/>
  <c r="D195" i="1" s="1"/>
  <c r="D72" i="1"/>
  <c r="D63" i="1"/>
  <c r="D65" i="1" s="1"/>
  <c r="H204" i="1"/>
  <c r="H213" i="1" s="1"/>
  <c r="H197" i="1"/>
  <c r="H90" i="1"/>
  <c r="H195" i="1" s="1"/>
  <c r="H72" i="1"/>
  <c r="H63" i="1"/>
  <c r="H65" i="1" s="1"/>
  <c r="AF4" i="2"/>
  <c r="L197" i="1"/>
  <c r="L90" i="1"/>
  <c r="L195" i="1" s="1"/>
  <c r="L72" i="1"/>
  <c r="L63" i="1"/>
  <c r="L65" i="1" s="1"/>
  <c r="Z94" i="1"/>
  <c r="Z90" i="1"/>
  <c r="Z72" i="1"/>
  <c r="AD94" i="1"/>
  <c r="AD90" i="1"/>
  <c r="AD72" i="1"/>
  <c r="AH94" i="1"/>
  <c r="AH90" i="1"/>
  <c r="AH72" i="1"/>
  <c r="AL94" i="1"/>
  <c r="AL90" i="1"/>
  <c r="AL72" i="1"/>
  <c r="AP94" i="1"/>
  <c r="AP90" i="1"/>
  <c r="AP72" i="1"/>
  <c r="AT94" i="1"/>
  <c r="AT90" i="1"/>
  <c r="AT72" i="1"/>
  <c r="AX94" i="1"/>
  <c r="AX90" i="1"/>
  <c r="AX72" i="1"/>
  <c r="BB94" i="1"/>
  <c r="BB90" i="1"/>
  <c r="BB72" i="1"/>
  <c r="E4" i="2"/>
  <c r="BF90" i="1"/>
  <c r="BF72" i="1"/>
  <c r="I4" i="2"/>
  <c r="BJ90" i="1"/>
  <c r="BJ72" i="1"/>
  <c r="M4" i="2"/>
  <c r="BN90" i="1"/>
  <c r="BN72" i="1"/>
  <c r="BG46" i="1"/>
  <c r="BK46" i="1"/>
  <c r="BI47" i="1"/>
  <c r="BM47" i="1"/>
  <c r="K50" i="1"/>
  <c r="K57" i="1" s="1"/>
  <c r="AK75" i="1"/>
  <c r="AO75" i="1"/>
  <c r="AT75" i="1"/>
  <c r="AX75" i="1"/>
  <c r="BB75" i="1"/>
  <c r="E5" i="2"/>
  <c r="BF75" i="1"/>
  <c r="E6" i="2" s="1"/>
  <c r="BJ50" i="1"/>
  <c r="BN50" i="1"/>
  <c r="J51" i="1"/>
  <c r="J58" i="1" s="1"/>
  <c r="J59" i="1" s="1"/>
  <c r="BI51" i="1"/>
  <c r="BM51" i="1"/>
  <c r="F65" i="1"/>
  <c r="J65" i="1"/>
  <c r="N65" i="1"/>
  <c r="C57" i="1"/>
  <c r="G57" i="1"/>
  <c r="D58" i="1"/>
  <c r="D59" i="1" s="1"/>
  <c r="D171" i="1" s="1"/>
  <c r="H58" i="1"/>
  <c r="H59" i="1" s="1"/>
  <c r="L58" i="1"/>
  <c r="L59" i="1" s="1"/>
  <c r="C199" i="1"/>
  <c r="C193" i="1"/>
  <c r="C163" i="1"/>
  <c r="C166" i="1" s="1"/>
  <c r="C68" i="1"/>
  <c r="G199" i="1"/>
  <c r="G193" i="1"/>
  <c r="G196" i="1" s="1"/>
  <c r="G163" i="1"/>
  <c r="G166" i="1" s="1"/>
  <c r="G68" i="1"/>
  <c r="AE12" i="2"/>
  <c r="AE197" i="2" s="1"/>
  <c r="AE7" i="2" s="1"/>
  <c r="K199" i="1"/>
  <c r="K193" i="1"/>
  <c r="K196" i="1" s="1"/>
  <c r="AE9" i="2" s="1"/>
  <c r="K163" i="1"/>
  <c r="K166" i="1" s="1"/>
  <c r="K68" i="1"/>
  <c r="AI12" i="2"/>
  <c r="O199" i="1"/>
  <c r="O193" i="1"/>
  <c r="O196" i="1" s="1"/>
  <c r="AI9" i="2" s="1"/>
  <c r="O163" i="1"/>
  <c r="O166" i="1" s="1"/>
  <c r="O68" i="1"/>
  <c r="Y93" i="1"/>
  <c r="AC93" i="1"/>
  <c r="AC68" i="1"/>
  <c r="AG93" i="1"/>
  <c r="AG68" i="1"/>
  <c r="AK93" i="1"/>
  <c r="AK68" i="1"/>
  <c r="AO93" i="1"/>
  <c r="AO68" i="1"/>
  <c r="AS93" i="1"/>
  <c r="AS68" i="1"/>
  <c r="AW93" i="1"/>
  <c r="AW68" i="1"/>
  <c r="BA93" i="1"/>
  <c r="BA68" i="1"/>
  <c r="D12" i="2"/>
  <c r="BE68" i="1"/>
  <c r="H12" i="2"/>
  <c r="BI68" i="1"/>
  <c r="L12" i="2"/>
  <c r="BM68" i="1"/>
  <c r="E12" i="1"/>
  <c r="I12" i="1"/>
  <c r="M12" i="1"/>
  <c r="W12" i="1"/>
  <c r="AA12" i="1"/>
  <c r="AE12" i="1"/>
  <c r="AI12" i="1"/>
  <c r="AM12" i="1"/>
  <c r="AQ12" i="1"/>
  <c r="AU12" i="1"/>
  <c r="AY12" i="1"/>
  <c r="BC12" i="1"/>
  <c r="BG12" i="1"/>
  <c r="BK12" i="1"/>
  <c r="BO12" i="1"/>
  <c r="E79" i="1"/>
  <c r="I79" i="1"/>
  <c r="M79" i="1"/>
  <c r="W79" i="1"/>
  <c r="AA79" i="1"/>
  <c r="AE79" i="1"/>
  <c r="AI79" i="1"/>
  <c r="AM79" i="1"/>
  <c r="AQ79" i="1"/>
  <c r="AU79" i="1"/>
  <c r="AY79" i="1"/>
  <c r="BC79" i="1"/>
  <c r="BG79" i="1"/>
  <c r="BK79" i="1"/>
  <c r="BO79" i="1"/>
  <c r="C80" i="1"/>
  <c r="G80" i="1"/>
  <c r="K80" i="1"/>
  <c r="O80" i="1"/>
  <c r="Y80" i="1"/>
  <c r="AC80" i="1"/>
  <c r="AG80" i="1"/>
  <c r="AK80" i="1"/>
  <c r="AO80" i="1"/>
  <c r="AS80" i="1"/>
  <c r="AW80" i="1"/>
  <c r="BA80" i="1"/>
  <c r="BE80" i="1"/>
  <c r="BI80" i="1"/>
  <c r="BM80" i="1"/>
  <c r="E81" i="1"/>
  <c r="AC278" i="2"/>
  <c r="I81" i="1"/>
  <c r="AG278" i="2"/>
  <c r="M81" i="1"/>
  <c r="W81" i="1"/>
  <c r="AA81" i="1"/>
  <c r="AE81" i="1"/>
  <c r="AI81" i="1"/>
  <c r="AM81" i="1"/>
  <c r="AQ81" i="1"/>
  <c r="AU81" i="1"/>
  <c r="AY81" i="1"/>
  <c r="B278" i="2"/>
  <c r="BC81" i="1"/>
  <c r="F278" i="2"/>
  <c r="BG81" i="1"/>
  <c r="J278" i="2"/>
  <c r="BK81" i="1"/>
  <c r="N278" i="2"/>
  <c r="BO81" i="1"/>
  <c r="C82" i="1"/>
  <c r="G82" i="1"/>
  <c r="AE279" i="2"/>
  <c r="K82" i="1"/>
  <c r="AI279" i="2"/>
  <c r="O82" i="1"/>
  <c r="Y82" i="1"/>
  <c r="AC82" i="1"/>
  <c r="AG82" i="1"/>
  <c r="AK82" i="1"/>
  <c r="AO82" i="1"/>
  <c r="AS82" i="1"/>
  <c r="AW82" i="1"/>
  <c r="BA82" i="1"/>
  <c r="D279" i="2"/>
  <c r="BE82" i="1"/>
  <c r="H279" i="2"/>
  <c r="BI82" i="1"/>
  <c r="L279" i="2"/>
  <c r="BM82" i="1"/>
  <c r="E83" i="1"/>
  <c r="AC280" i="2"/>
  <c r="AC285" i="2" s="1"/>
  <c r="I83" i="1"/>
  <c r="AG280" i="2"/>
  <c r="M83" i="1"/>
  <c r="W83" i="1"/>
  <c r="AA83" i="1"/>
  <c r="AE83" i="1"/>
  <c r="AK83" i="1"/>
  <c r="AP83" i="1"/>
  <c r="AT83" i="1"/>
  <c r="AX83" i="1"/>
  <c r="BB83" i="1"/>
  <c r="E280" i="2"/>
  <c r="BF83" i="1"/>
  <c r="I280" i="2"/>
  <c r="BJ83" i="1"/>
  <c r="M280" i="2"/>
  <c r="BN83" i="1"/>
  <c r="M27" i="1"/>
  <c r="M208" i="1" s="1"/>
  <c r="AH27" i="1"/>
  <c r="K29" i="1"/>
  <c r="K207" i="1" s="1"/>
  <c r="E88" i="1"/>
  <c r="E71" i="1"/>
  <c r="I88" i="1"/>
  <c r="I71" i="1"/>
  <c r="M88" i="1"/>
  <c r="M71" i="1"/>
  <c r="W88" i="1"/>
  <c r="AA88" i="1"/>
  <c r="AA71" i="1"/>
  <c r="AE88" i="1"/>
  <c r="AE71" i="1"/>
  <c r="AI88" i="1"/>
  <c r="AI71" i="1"/>
  <c r="AM88" i="1"/>
  <c r="AM71" i="1"/>
  <c r="AQ88" i="1"/>
  <c r="AQ71" i="1"/>
  <c r="AU88" i="1"/>
  <c r="AU71" i="1"/>
  <c r="AY88" i="1"/>
  <c r="AY71" i="1"/>
  <c r="BC88" i="1"/>
  <c r="BC71" i="1"/>
  <c r="BG88" i="1"/>
  <c r="BG71" i="1"/>
  <c r="BK88" i="1"/>
  <c r="BK71" i="1"/>
  <c r="BO88" i="1"/>
  <c r="BO71" i="1"/>
  <c r="D89" i="1"/>
  <c r="H89" i="1"/>
  <c r="L89" i="1"/>
  <c r="L249" i="1" s="1"/>
  <c r="Z89" i="1"/>
  <c r="AD89" i="1"/>
  <c r="AH89" i="1"/>
  <c r="AL89" i="1"/>
  <c r="AP89" i="1"/>
  <c r="AT89" i="1"/>
  <c r="AX89" i="1"/>
  <c r="BB89" i="1"/>
  <c r="BF89" i="1"/>
  <c r="BJ89" i="1"/>
  <c r="BN89" i="1"/>
  <c r="F37" i="1"/>
  <c r="F205" i="1" s="1"/>
  <c r="J37" i="1"/>
  <c r="J205" i="1" s="1"/>
  <c r="N37" i="1"/>
  <c r="N205" i="1" s="1"/>
  <c r="X37" i="1"/>
  <c r="AB37" i="1"/>
  <c r="AF37" i="1"/>
  <c r="AJ37" i="1"/>
  <c r="AN37" i="1"/>
  <c r="AR37" i="1"/>
  <c r="AV37" i="1"/>
  <c r="AV41" i="1" s="1"/>
  <c r="AZ37" i="1"/>
  <c r="BD37" i="1"/>
  <c r="BD43" i="1" s="1"/>
  <c r="BH37" i="1"/>
  <c r="BH43" i="1" s="1"/>
  <c r="BL37" i="1"/>
  <c r="BL43" i="1" s="1"/>
  <c r="BP37" i="1"/>
  <c r="BP43" i="1" s="1"/>
  <c r="E204" i="1"/>
  <c r="E197" i="1"/>
  <c r="E90" i="1"/>
  <c r="E195" i="1" s="1"/>
  <c r="E72" i="1"/>
  <c r="E63" i="1"/>
  <c r="E65" i="1" s="1"/>
  <c r="I204" i="1"/>
  <c r="I197" i="1"/>
  <c r="I90" i="1"/>
  <c r="I195" i="1" s="1"/>
  <c r="I72" i="1"/>
  <c r="I63" i="1"/>
  <c r="I65" i="1" s="1"/>
  <c r="AG4" i="2"/>
  <c r="M197" i="1"/>
  <c r="M90" i="1"/>
  <c r="M195" i="1" s="1"/>
  <c r="M72" i="1"/>
  <c r="M63" i="1"/>
  <c r="M65" i="1" s="1"/>
  <c r="W94" i="1"/>
  <c r="W90" i="1"/>
  <c r="AA94" i="1"/>
  <c r="AA90" i="1"/>
  <c r="AA72" i="1"/>
  <c r="AE94" i="1"/>
  <c r="AE90" i="1"/>
  <c r="AE72" i="1"/>
  <c r="AI94" i="1"/>
  <c r="AI90" i="1"/>
  <c r="AI72" i="1"/>
  <c r="AM94" i="1"/>
  <c r="AM90" i="1"/>
  <c r="AM72" i="1"/>
  <c r="AQ94" i="1"/>
  <c r="AQ90" i="1"/>
  <c r="AQ72" i="1"/>
  <c r="AU94" i="1"/>
  <c r="AU90" i="1"/>
  <c r="AU72" i="1"/>
  <c r="AY94" i="1"/>
  <c r="AY90" i="1"/>
  <c r="AY72" i="1"/>
  <c r="B4" i="2"/>
  <c r="BC90" i="1"/>
  <c r="BC72" i="1"/>
  <c r="F4" i="2"/>
  <c r="BG90" i="1"/>
  <c r="BG72" i="1"/>
  <c r="J4" i="2"/>
  <c r="BK90" i="1"/>
  <c r="BK72" i="1"/>
  <c r="N4" i="2"/>
  <c r="BO90" i="1"/>
  <c r="BO72" i="1"/>
  <c r="C41" i="1"/>
  <c r="G41" i="1"/>
  <c r="K41" i="1"/>
  <c r="O41" i="1"/>
  <c r="AJ41" i="1"/>
  <c r="AN41" i="1"/>
  <c r="AR41" i="1"/>
  <c r="AZ41" i="1"/>
  <c r="BD41" i="1"/>
  <c r="BH41" i="1"/>
  <c r="BP41" i="1"/>
  <c r="BH46" i="1"/>
  <c r="BL46" i="1"/>
  <c r="H50" i="1"/>
  <c r="H75" i="1" s="1"/>
  <c r="L50" i="1"/>
  <c r="AL75" i="1"/>
  <c r="AP75" i="1"/>
  <c r="AY75" i="1"/>
  <c r="B5" i="2"/>
  <c r="BC75" i="1"/>
  <c r="B6" i="2" s="1"/>
  <c r="F5" i="2"/>
  <c r="BG75" i="1"/>
  <c r="F6" i="2" s="1"/>
  <c r="BK50" i="1"/>
  <c r="BO50" i="1"/>
  <c r="BJ51" i="1"/>
  <c r="BN51" i="1"/>
  <c r="C65" i="1"/>
  <c r="G65" i="1"/>
  <c r="K65" i="1"/>
  <c r="O65" i="1"/>
  <c r="D57" i="1"/>
  <c r="E58" i="1"/>
  <c r="E59" i="1" s="1"/>
  <c r="I58" i="1"/>
  <c r="I59" i="1" s="1"/>
  <c r="M58" i="1"/>
  <c r="M59" i="1" s="1"/>
  <c r="F177" i="1"/>
  <c r="F182" i="1" s="1"/>
  <c r="J177" i="1"/>
  <c r="J180" i="1" s="1"/>
  <c r="N177" i="1"/>
  <c r="R177" i="1"/>
  <c r="R180" i="1" s="1"/>
  <c r="F185" i="1"/>
  <c r="F188" i="1" s="1"/>
  <c r="J185" i="1"/>
  <c r="J188" i="1" s="1"/>
  <c r="N185" i="1"/>
  <c r="R185" i="1"/>
  <c r="R188" i="1" s="1"/>
  <c r="E169" i="1"/>
  <c r="I169" i="1"/>
  <c r="M169" i="1"/>
  <c r="E158" i="1"/>
  <c r="E160" i="1" s="1"/>
  <c r="I158" i="1"/>
  <c r="I160" i="1" s="1"/>
  <c r="K183" i="1"/>
  <c r="O183" i="1"/>
  <c r="J182" i="1"/>
  <c r="N182" i="1"/>
  <c r="R182" i="1"/>
  <c r="F190" i="1"/>
  <c r="G177" i="1"/>
  <c r="G182" i="1" s="1"/>
  <c r="F180" i="1"/>
  <c r="K177" i="1"/>
  <c r="O177" i="1"/>
  <c r="N180" i="1"/>
  <c r="S177" i="1"/>
  <c r="G185" i="1"/>
  <c r="G188" i="1" s="1"/>
  <c r="K185" i="1"/>
  <c r="K190" i="1" s="1"/>
  <c r="O185" i="1"/>
  <c r="O188" i="1" s="1"/>
  <c r="N188" i="1"/>
  <c r="S185" i="1"/>
  <c r="S218" i="1"/>
  <c r="S220" i="1" s="1"/>
  <c r="T135" i="1"/>
  <c r="T145" i="1"/>
  <c r="F158" i="1"/>
  <c r="F160" i="1" s="1"/>
  <c r="J158" i="1"/>
  <c r="J160" i="1" s="1"/>
  <c r="H183" i="1"/>
  <c r="L183" i="1"/>
  <c r="K182" i="1"/>
  <c r="O182" i="1"/>
  <c r="C188" i="1"/>
  <c r="D185" i="1"/>
  <c r="D190" i="1" s="1"/>
  <c r="H185" i="1"/>
  <c r="H190" i="1" s="1"/>
  <c r="K188" i="1"/>
  <c r="L185" i="1"/>
  <c r="L190" i="1" s="1"/>
  <c r="P185" i="1"/>
  <c r="P190" i="1" s="1"/>
  <c r="C169" i="1"/>
  <c r="C158" i="1"/>
  <c r="C160" i="1" s="1"/>
  <c r="G158" i="1"/>
  <c r="G160" i="1" s="1"/>
  <c r="K158" i="1"/>
  <c r="K160" i="1" s="1"/>
  <c r="O158" i="1"/>
  <c r="O160" i="1" s="1"/>
  <c r="I183" i="1"/>
  <c r="M183" i="1"/>
  <c r="D168" i="1"/>
  <c r="D188" i="1"/>
  <c r="E185" i="1"/>
  <c r="E190" i="1" s="1"/>
  <c r="I185" i="1"/>
  <c r="I190" i="1" s="1"/>
  <c r="M185" i="1"/>
  <c r="M188" i="1" s="1"/>
  <c r="Q185" i="1"/>
  <c r="Q188" i="1" s="1"/>
  <c r="D158" i="1"/>
  <c r="D160" i="1" s="1"/>
  <c r="H158" i="1"/>
  <c r="H160" i="1" s="1"/>
  <c r="L158" i="1"/>
  <c r="L160" i="1" s="1"/>
  <c r="P158" i="1"/>
  <c r="P160" i="1" s="1"/>
  <c r="J183" i="1"/>
  <c r="N183" i="1"/>
  <c r="N190" i="1"/>
  <c r="G126" i="1"/>
  <c r="K126" i="1"/>
  <c r="O126" i="1"/>
  <c r="E136" i="1"/>
  <c r="I136" i="1"/>
  <c r="M136" i="1"/>
  <c r="Q136" i="1"/>
  <c r="G212" i="1"/>
  <c r="K212" i="1"/>
  <c r="K209" i="1" s="1"/>
  <c r="O212" i="1"/>
  <c r="O209" i="1" s="1"/>
  <c r="E224" i="1"/>
  <c r="I224" i="1"/>
  <c r="M224" i="1"/>
  <c r="Q224" i="1"/>
  <c r="C142" i="1"/>
  <c r="G142" i="1"/>
  <c r="K142" i="1"/>
  <c r="O142" i="1"/>
  <c r="O246" i="1"/>
  <c r="O248" i="1" s="1"/>
  <c r="O257" i="1" s="1"/>
  <c r="E146" i="1"/>
  <c r="I146" i="1"/>
  <c r="G225" i="1"/>
  <c r="K225" i="1"/>
  <c r="O225" i="1"/>
  <c r="S150" i="1"/>
  <c r="E223" i="1"/>
  <c r="I223" i="1"/>
  <c r="M223" i="1"/>
  <c r="Q223" i="1"/>
  <c r="G154" i="1"/>
  <c r="K154" i="1"/>
  <c r="O154" i="1"/>
  <c r="G226" i="1"/>
  <c r="K226" i="1"/>
  <c r="O226" i="1"/>
  <c r="M242" i="1"/>
  <c r="Q242" i="1"/>
  <c r="E167" i="1"/>
  <c r="I167" i="1"/>
  <c r="M167" i="1"/>
  <c r="C168" i="1"/>
  <c r="G168" i="1"/>
  <c r="K168" i="1"/>
  <c r="O168" i="1"/>
  <c r="C173" i="1"/>
  <c r="C174" i="1" s="1"/>
  <c r="G173" i="1"/>
  <c r="G174" i="1" s="1"/>
  <c r="K173" i="1"/>
  <c r="K174" i="1" s="1"/>
  <c r="O173" i="1"/>
  <c r="O174" i="1" s="1"/>
  <c r="C194" i="1"/>
  <c r="D33" i="2"/>
  <c r="F234" i="1"/>
  <c r="J234" i="1"/>
  <c r="N234" i="1"/>
  <c r="R234" i="1"/>
  <c r="E210" i="1"/>
  <c r="I210" i="1"/>
  <c r="M210" i="1"/>
  <c r="D142" i="1"/>
  <c r="H142" i="1"/>
  <c r="L142" i="1"/>
  <c r="L246" i="1"/>
  <c r="L248" i="1" s="1"/>
  <c r="P246" i="1"/>
  <c r="P248" i="1" s="1"/>
  <c r="F146" i="1"/>
  <c r="J146" i="1"/>
  <c r="N146" i="1"/>
  <c r="R146" i="1"/>
  <c r="S146" i="1" s="1"/>
  <c r="T146" i="1" s="1"/>
  <c r="U146" i="1" s="1"/>
  <c r="D154" i="1"/>
  <c r="H154" i="1"/>
  <c r="L154" i="1"/>
  <c r="P154" i="1"/>
  <c r="N242" i="1"/>
  <c r="R242" i="1"/>
  <c r="F167" i="1"/>
  <c r="J167" i="1"/>
  <c r="N167" i="1"/>
  <c r="H168" i="1"/>
  <c r="L168" i="1"/>
  <c r="F169" i="1"/>
  <c r="J169" i="1"/>
  <c r="N169" i="1"/>
  <c r="L173" i="1"/>
  <c r="L174" i="1" s="1"/>
  <c r="P173" i="1"/>
  <c r="P174" i="1" s="1"/>
  <c r="C181" i="1"/>
  <c r="G181" i="1"/>
  <c r="K181" i="1"/>
  <c r="O181" i="1"/>
  <c r="D227" i="1"/>
  <c r="H227" i="1"/>
  <c r="L227" i="1"/>
  <c r="P227" i="1"/>
  <c r="E126" i="1"/>
  <c r="I126" i="1"/>
  <c r="M126" i="1"/>
  <c r="Q126" i="1"/>
  <c r="E212" i="1"/>
  <c r="I212" i="1"/>
  <c r="M212" i="1"/>
  <c r="Q212" i="1"/>
  <c r="Q209" i="1" s="1"/>
  <c r="G224" i="1"/>
  <c r="K224" i="1"/>
  <c r="O224" i="1"/>
  <c r="S141" i="1"/>
  <c r="T141" i="1" s="1"/>
  <c r="U141" i="1" s="1"/>
  <c r="E142" i="1"/>
  <c r="I142" i="1"/>
  <c r="M142" i="1"/>
  <c r="Q142" i="1"/>
  <c r="M246" i="1"/>
  <c r="M248" i="1" s="1"/>
  <c r="M257" i="1" s="1"/>
  <c r="Q246" i="1"/>
  <c r="Q248" i="1" s="1"/>
  <c r="O146" i="1"/>
  <c r="E225" i="1"/>
  <c r="I225" i="1"/>
  <c r="M225" i="1"/>
  <c r="Q225" i="1"/>
  <c r="G223" i="1"/>
  <c r="K223" i="1"/>
  <c r="O223" i="1"/>
  <c r="O227" i="1" s="1"/>
  <c r="S151" i="1"/>
  <c r="E154" i="1"/>
  <c r="I154" i="1"/>
  <c r="M154" i="1"/>
  <c r="Q154" i="1"/>
  <c r="E226" i="1"/>
  <c r="I226" i="1"/>
  <c r="M226" i="1"/>
  <c r="Q226" i="1"/>
  <c r="O242" i="1"/>
  <c r="M158" i="1"/>
  <c r="M160" i="1" s="1"/>
  <c r="Q158" i="1"/>
  <c r="Q160" i="1" s="1"/>
  <c r="C167" i="1"/>
  <c r="G167" i="1"/>
  <c r="K167" i="1"/>
  <c r="O167" i="1"/>
  <c r="E168" i="1"/>
  <c r="I168" i="1"/>
  <c r="M168" i="1"/>
  <c r="G169" i="1"/>
  <c r="K169" i="1"/>
  <c r="O169" i="1"/>
  <c r="M173" i="1"/>
  <c r="M174" i="1" s="1"/>
  <c r="Q173" i="1"/>
  <c r="Q174" i="1" s="1"/>
  <c r="T178" i="1"/>
  <c r="D181" i="1"/>
  <c r="H181" i="1"/>
  <c r="L181" i="1"/>
  <c r="P181" i="1"/>
  <c r="AG10" i="2"/>
  <c r="E227" i="1"/>
  <c r="I227" i="1"/>
  <c r="D234" i="1"/>
  <c r="H234" i="1"/>
  <c r="L234" i="1"/>
  <c r="P234" i="1"/>
  <c r="G209" i="1"/>
  <c r="E211" i="1"/>
  <c r="F126" i="1"/>
  <c r="J126" i="1"/>
  <c r="N126" i="1"/>
  <c r="R126" i="1"/>
  <c r="F142" i="1"/>
  <c r="J142" i="1"/>
  <c r="N142" i="1"/>
  <c r="R142" i="1"/>
  <c r="S142" i="1" s="1"/>
  <c r="T142" i="1" s="1"/>
  <c r="U142" i="1" s="1"/>
  <c r="N246" i="1"/>
  <c r="N248" i="1" s="1"/>
  <c r="N257" i="1" s="1"/>
  <c r="R246" i="1"/>
  <c r="R248" i="1" s="1"/>
  <c r="F154" i="1"/>
  <c r="J154" i="1"/>
  <c r="N154" i="1"/>
  <c r="R154" i="1"/>
  <c r="S154" i="1" s="1"/>
  <c r="T154" i="1" s="1"/>
  <c r="U154" i="1" s="1"/>
  <c r="L242" i="1"/>
  <c r="P242" i="1"/>
  <c r="N158" i="1"/>
  <c r="N160" i="1" s="1"/>
  <c r="R158" i="1"/>
  <c r="R160" i="1" s="1"/>
  <c r="D167" i="1"/>
  <c r="H167" i="1"/>
  <c r="L167" i="1"/>
  <c r="F168" i="1"/>
  <c r="J168" i="1"/>
  <c r="N168" i="1"/>
  <c r="D169" i="1"/>
  <c r="H169" i="1"/>
  <c r="L169" i="1"/>
  <c r="N173" i="1"/>
  <c r="N174" i="1" s="1"/>
  <c r="R173" i="1"/>
  <c r="R174" i="1" s="1"/>
  <c r="AD10" i="2"/>
  <c r="AH10" i="2"/>
  <c r="F227" i="1"/>
  <c r="J227" i="1"/>
  <c r="N227" i="1"/>
  <c r="R227" i="1"/>
  <c r="M219" i="1"/>
  <c r="Q219" i="1"/>
  <c r="AE10" i="2"/>
  <c r="AI10" i="2"/>
  <c r="B33" i="2"/>
  <c r="F33" i="2"/>
  <c r="J33" i="2"/>
  <c r="N33" i="2"/>
  <c r="AF249" i="2"/>
  <c r="AF33" i="2"/>
  <c r="AN13" i="2"/>
  <c r="E34" i="2"/>
  <c r="I34" i="2"/>
  <c r="M34" i="2"/>
  <c r="AI250" i="2"/>
  <c r="AI264" i="2" s="1"/>
  <c r="AI34" i="2"/>
  <c r="D35" i="2"/>
  <c r="H35" i="2"/>
  <c r="L35" i="2"/>
  <c r="AH251" i="2"/>
  <c r="AH265" i="2" s="1"/>
  <c r="AH35" i="2"/>
  <c r="AL15" i="2"/>
  <c r="AG252" i="2"/>
  <c r="J37" i="2"/>
  <c r="AF253" i="2"/>
  <c r="AF37" i="2"/>
  <c r="E38" i="2"/>
  <c r="M38" i="2"/>
  <c r="AI256" i="2"/>
  <c r="AI38" i="2"/>
  <c r="Q23" i="2"/>
  <c r="U23" i="2"/>
  <c r="Y23" i="2"/>
  <c r="AJ23" i="2"/>
  <c r="I24" i="2"/>
  <c r="M24" i="2"/>
  <c r="Q24" i="2"/>
  <c r="U24" i="2"/>
  <c r="Y24" i="2"/>
  <c r="L33" i="2"/>
  <c r="M57" i="2"/>
  <c r="AO76" i="2"/>
  <c r="T76" i="2"/>
  <c r="AN110" i="2"/>
  <c r="AN96" i="2"/>
  <c r="AN88" i="2"/>
  <c r="U76" i="2"/>
  <c r="S76" i="2"/>
  <c r="J219" i="1"/>
  <c r="N219" i="1"/>
  <c r="R219" i="1"/>
  <c r="AF10" i="2"/>
  <c r="O33" i="2"/>
  <c r="AG249" i="2"/>
  <c r="AK13" i="2"/>
  <c r="AO13" i="2"/>
  <c r="B34" i="2"/>
  <c r="F34" i="2"/>
  <c r="J34" i="2"/>
  <c r="N34" i="2"/>
  <c r="AF250" i="2"/>
  <c r="AF264" i="2" s="1"/>
  <c r="AF34" i="2"/>
  <c r="AN14" i="2"/>
  <c r="E35" i="2"/>
  <c r="I35" i="2"/>
  <c r="M35" i="2"/>
  <c r="AI251" i="2"/>
  <c r="AI265" i="2" s="1"/>
  <c r="AI35" i="2"/>
  <c r="AM15" i="2"/>
  <c r="AH252" i="2"/>
  <c r="AH266" i="2" s="1"/>
  <c r="AH36" i="2"/>
  <c r="AG253" i="2"/>
  <c r="B38" i="2"/>
  <c r="F38" i="2"/>
  <c r="J38" i="2"/>
  <c r="AF256" i="2"/>
  <c r="AF38" i="2"/>
  <c r="F23" i="2"/>
  <c r="J23" i="2"/>
  <c r="N23" i="2"/>
  <c r="R23" i="2"/>
  <c r="V23" i="2"/>
  <c r="AG23" i="2"/>
  <c r="F24" i="2"/>
  <c r="J24" i="2"/>
  <c r="N24" i="2"/>
  <c r="R24" i="2"/>
  <c r="V24" i="2"/>
  <c r="AI25" i="2"/>
  <c r="G33" i="2"/>
  <c r="AH249" i="2"/>
  <c r="AH33" i="2"/>
  <c r="AL13" i="2"/>
  <c r="C34" i="2"/>
  <c r="G34" i="2"/>
  <c r="O34" i="2"/>
  <c r="AG250" i="2"/>
  <c r="AG264" i="2" s="1"/>
  <c r="AK14" i="2"/>
  <c r="AO14" i="2"/>
  <c r="B35" i="2"/>
  <c r="F35" i="2"/>
  <c r="J35" i="2"/>
  <c r="N35" i="2"/>
  <c r="AF251" i="2"/>
  <c r="AF35" i="2"/>
  <c r="AN15" i="2"/>
  <c r="AI252" i="2"/>
  <c r="AI266" i="2" s="1"/>
  <c r="AI36" i="2"/>
  <c r="D37" i="2"/>
  <c r="AH253" i="2"/>
  <c r="AH37" i="2"/>
  <c r="AG256" i="2"/>
  <c r="K23" i="2"/>
  <c r="O23" i="2"/>
  <c r="S23" i="2"/>
  <c r="W23" i="2"/>
  <c r="AH23" i="2"/>
  <c r="G24" i="2"/>
  <c r="K24" i="2"/>
  <c r="O24" i="2"/>
  <c r="S24" i="2"/>
  <c r="W24" i="2"/>
  <c r="AN106" i="2"/>
  <c r="AM94" i="2"/>
  <c r="AM86" i="2"/>
  <c r="E33" i="2"/>
  <c r="I33" i="2"/>
  <c r="M33" i="2"/>
  <c r="AI249" i="2"/>
  <c r="AI33" i="2"/>
  <c r="AM13" i="2"/>
  <c r="D34" i="2"/>
  <c r="H34" i="2"/>
  <c r="L34" i="2"/>
  <c r="AH250" i="2"/>
  <c r="AH264" i="2" s="1"/>
  <c r="AH34" i="2"/>
  <c r="AL14" i="2"/>
  <c r="AM24" i="2" s="1"/>
  <c r="C35" i="2"/>
  <c r="G35" i="2"/>
  <c r="O35" i="2"/>
  <c r="AG251" i="2"/>
  <c r="AK15" i="2"/>
  <c r="AO15" i="2"/>
  <c r="AF252" i="2"/>
  <c r="AF36" i="2"/>
  <c r="AI253" i="2"/>
  <c r="AI37" i="2"/>
  <c r="D38" i="2"/>
  <c r="H38" i="2"/>
  <c r="L38" i="2"/>
  <c r="AH256" i="2"/>
  <c r="AH38" i="2"/>
  <c r="X23" i="2"/>
  <c r="AI23" i="2"/>
  <c r="H24" i="2"/>
  <c r="L24" i="2"/>
  <c r="P24" i="2"/>
  <c r="T24" i="2"/>
  <c r="X24" i="2"/>
  <c r="AI24" i="2"/>
  <c r="H25" i="2"/>
  <c r="L25" i="2"/>
  <c r="P25" i="2"/>
  <c r="T25" i="2"/>
  <c r="X25" i="2"/>
  <c r="AI26" i="2"/>
  <c r="AL106" i="2"/>
  <c r="AM106" i="2"/>
  <c r="AO106" i="2"/>
  <c r="AJ44" i="2"/>
  <c r="AK85" i="2"/>
  <c r="AL93" i="2"/>
  <c r="AL85" i="2"/>
  <c r="AM93" i="2"/>
  <c r="AM85" i="2"/>
  <c r="AN85" i="2"/>
  <c r="AO93" i="2"/>
  <c r="AO85" i="2"/>
  <c r="AK86" i="2"/>
  <c r="AL86" i="2"/>
  <c r="AN86" i="2"/>
  <c r="AN94" i="2"/>
  <c r="AO94" i="2"/>
  <c r="AO86" i="2"/>
  <c r="L57" i="2"/>
  <c r="AG44" i="2"/>
  <c r="AL50" i="2"/>
  <c r="AK53" i="2"/>
  <c r="D57" i="2"/>
  <c r="H57" i="2"/>
  <c r="AI92" i="2"/>
  <c r="AI84" i="2"/>
  <c r="B227" i="2"/>
  <c r="B48" i="2"/>
  <c r="B87" i="2"/>
  <c r="F227" i="2"/>
  <c r="F109" i="2"/>
  <c r="F48" i="2" s="1"/>
  <c r="F87" i="2"/>
  <c r="J227" i="2"/>
  <c r="J109" i="2"/>
  <c r="J48" i="2" s="1"/>
  <c r="J87" i="2"/>
  <c r="J95" i="2" s="1"/>
  <c r="N227" i="2"/>
  <c r="N109" i="2"/>
  <c r="N48" i="2" s="1"/>
  <c r="N87" i="2"/>
  <c r="R227" i="2"/>
  <c r="R109" i="2"/>
  <c r="R87" i="2"/>
  <c r="R95" i="2" s="1"/>
  <c r="V227" i="2"/>
  <c r="V109" i="2"/>
  <c r="V87" i="2"/>
  <c r="U229" i="2"/>
  <c r="U97" i="2"/>
  <c r="V77" i="2"/>
  <c r="U111" i="2"/>
  <c r="R78" i="2"/>
  <c r="R159" i="2" s="1"/>
  <c r="Q98" i="2"/>
  <c r="Q112" i="2"/>
  <c r="X232" i="2"/>
  <c r="X100" i="2"/>
  <c r="X114" i="2"/>
  <c r="R156" i="2"/>
  <c r="R172" i="2" s="1"/>
  <c r="R180" i="2" s="1"/>
  <c r="V156" i="2"/>
  <c r="V172" i="2" s="1"/>
  <c r="V180" i="2" s="1"/>
  <c r="AL53" i="2"/>
  <c r="AO70" i="2"/>
  <c r="AJ72" i="2"/>
  <c r="C227" i="2"/>
  <c r="C109" i="2"/>
  <c r="C48" i="2" s="1"/>
  <c r="C16" i="2" s="1"/>
  <c r="C36" i="2" s="1"/>
  <c r="C87" i="2"/>
  <c r="E110" i="2"/>
  <c r="E49" i="2" s="1"/>
  <c r="E17" i="2" s="1"/>
  <c r="E37" i="2" s="1"/>
  <c r="E88" i="2"/>
  <c r="I228" i="2"/>
  <c r="I110" i="2"/>
  <c r="I49" i="2" s="1"/>
  <c r="I88" i="2"/>
  <c r="N96" i="2"/>
  <c r="N110" i="2"/>
  <c r="N88" i="2"/>
  <c r="P229" i="2"/>
  <c r="P97" i="2"/>
  <c r="P111" i="2"/>
  <c r="X231" i="2"/>
  <c r="X99" i="2"/>
  <c r="X113" i="2"/>
  <c r="X89" i="2"/>
  <c r="T232" i="2"/>
  <c r="T100" i="2"/>
  <c r="T114" i="2"/>
  <c r="S172" i="2"/>
  <c r="S180" i="2" s="1"/>
  <c r="S140" i="2"/>
  <c r="S369" i="2" s="1"/>
  <c r="W172" i="2"/>
  <c r="W180" i="2" s="1"/>
  <c r="W140" i="2"/>
  <c r="W369" i="2" s="1"/>
  <c r="AG92" i="2"/>
  <c r="AG84" i="2"/>
  <c r="D227" i="2"/>
  <c r="D109" i="2"/>
  <c r="D48" i="2" s="1"/>
  <c r="D87" i="2"/>
  <c r="H227" i="2"/>
  <c r="H109" i="2"/>
  <c r="H48" i="2" s="1"/>
  <c r="H87" i="2"/>
  <c r="L227" i="2"/>
  <c r="L109" i="2"/>
  <c r="L48" i="2" s="1"/>
  <c r="L87" i="2"/>
  <c r="L95" i="2" s="1"/>
  <c r="P227" i="2"/>
  <c r="P156" i="2"/>
  <c r="P109" i="2"/>
  <c r="P87" i="2"/>
  <c r="T227" i="2"/>
  <c r="T156" i="2"/>
  <c r="T164" i="2" s="1"/>
  <c r="T188" i="2" s="1"/>
  <c r="T109" i="2"/>
  <c r="T87" i="2"/>
  <c r="X227" i="2"/>
  <c r="X156" i="2"/>
  <c r="X164" i="2" s="1"/>
  <c r="X188" i="2" s="1"/>
  <c r="X109" i="2"/>
  <c r="X87" i="2"/>
  <c r="B110" i="2"/>
  <c r="B49" i="2" s="1"/>
  <c r="B17" i="2" s="1"/>
  <c r="B37" i="2" s="1"/>
  <c r="B88" i="2"/>
  <c r="F228" i="2"/>
  <c r="J96" i="2"/>
  <c r="F110" i="2"/>
  <c r="F49" i="2" s="1"/>
  <c r="F88" i="2"/>
  <c r="K110" i="2"/>
  <c r="K49" i="2" s="1"/>
  <c r="K88" i="2"/>
  <c r="K96" i="2"/>
  <c r="O110" i="2"/>
  <c r="O88" i="2"/>
  <c r="O96" i="2"/>
  <c r="Q229" i="2"/>
  <c r="Q97" i="2"/>
  <c r="R77" i="2"/>
  <c r="R158" i="2" s="1"/>
  <c r="Q111" i="2"/>
  <c r="H230" i="2"/>
  <c r="H112" i="2"/>
  <c r="H51" i="2" s="1"/>
  <c r="N78" i="2"/>
  <c r="M98" i="2"/>
  <c r="M112" i="2"/>
  <c r="M51" i="2" s="1"/>
  <c r="C113" i="2"/>
  <c r="C52" i="2" s="1"/>
  <c r="C18" i="2" s="1"/>
  <c r="C89" i="2"/>
  <c r="G113" i="2"/>
  <c r="G52" i="2" s="1"/>
  <c r="G18" i="2" s="1"/>
  <c r="G38" i="2" s="1"/>
  <c r="G89" i="2"/>
  <c r="K113" i="2"/>
  <c r="K52" i="2" s="1"/>
  <c r="K89" i="2"/>
  <c r="T231" i="2"/>
  <c r="T99" i="2"/>
  <c r="T113" i="2"/>
  <c r="T89" i="2"/>
  <c r="P232" i="2"/>
  <c r="P114" i="2"/>
  <c r="P161" i="2"/>
  <c r="T161" i="2"/>
  <c r="X161" i="2"/>
  <c r="X169" i="2" s="1"/>
  <c r="X193" i="2" s="1"/>
  <c r="U140" i="2"/>
  <c r="U369" i="2" s="1"/>
  <c r="C57" i="2"/>
  <c r="G57" i="2"/>
  <c r="AH84" i="2"/>
  <c r="AH92" i="2"/>
  <c r="E227" i="2"/>
  <c r="E109" i="2"/>
  <c r="E48" i="2" s="1"/>
  <c r="E87" i="2"/>
  <c r="I227" i="2"/>
  <c r="I109" i="2"/>
  <c r="I48" i="2" s="1"/>
  <c r="I87" i="2"/>
  <c r="I95" i="2" s="1"/>
  <c r="M227" i="2"/>
  <c r="M109" i="2"/>
  <c r="M48" i="2" s="1"/>
  <c r="M87" i="2"/>
  <c r="Q227" i="2"/>
  <c r="Q109" i="2"/>
  <c r="Q87" i="2"/>
  <c r="U227" i="2"/>
  <c r="U109" i="2"/>
  <c r="U87" i="2"/>
  <c r="Y227" i="2"/>
  <c r="Y164" i="2"/>
  <c r="Y188" i="2" s="1"/>
  <c r="Y109" i="2"/>
  <c r="Y87" i="2"/>
  <c r="Y95" i="2" s="1"/>
  <c r="C110" i="2"/>
  <c r="C49" i="2" s="1"/>
  <c r="C17" i="2" s="1"/>
  <c r="C37" i="2" s="1"/>
  <c r="C88" i="2"/>
  <c r="G228" i="2"/>
  <c r="G110" i="2"/>
  <c r="G49" i="2" s="1"/>
  <c r="G88" i="2"/>
  <c r="P76" i="2"/>
  <c r="AM110" i="2"/>
  <c r="AM96" i="2"/>
  <c r="AM88" i="2"/>
  <c r="Q76" i="2"/>
  <c r="Q157" i="2" s="1"/>
  <c r="T229" i="2"/>
  <c r="T97" i="2"/>
  <c r="T111" i="2"/>
  <c r="V140" i="2"/>
  <c r="V369" i="2" s="1"/>
  <c r="Q143" i="2"/>
  <c r="Q372" i="2" s="1"/>
  <c r="O145" i="2"/>
  <c r="O374" i="2" s="1"/>
  <c r="G252" i="2"/>
  <c r="G239" i="2"/>
  <c r="K252" i="2"/>
  <c r="K239" i="2"/>
  <c r="O227" i="2"/>
  <c r="S227" i="2"/>
  <c r="S164" i="2"/>
  <c r="S188" i="2" s="1"/>
  <c r="W227" i="2"/>
  <c r="W164" i="2"/>
  <c r="W188" i="2" s="1"/>
  <c r="H253" i="2"/>
  <c r="H240" i="2"/>
  <c r="O241" i="2"/>
  <c r="S77" i="2"/>
  <c r="S158" i="2" s="1"/>
  <c r="S174" i="2" s="1"/>
  <c r="S182" i="2" s="1"/>
  <c r="AO77" i="2"/>
  <c r="F255" i="2"/>
  <c r="F242" i="2"/>
  <c r="O78" i="2"/>
  <c r="AN78" i="2"/>
  <c r="R231" i="2"/>
  <c r="V79" i="2"/>
  <c r="N257" i="2"/>
  <c r="N244" i="2"/>
  <c r="R80" i="2"/>
  <c r="V80" i="2"/>
  <c r="M88" i="2"/>
  <c r="D89" i="2"/>
  <c r="H89" i="2"/>
  <c r="L89" i="2"/>
  <c r="K98" i="2"/>
  <c r="AM98" i="2"/>
  <c r="Q100" i="2"/>
  <c r="U100" i="2"/>
  <c r="M110" i="2"/>
  <c r="M49" i="2" s="1"/>
  <c r="M17" i="2" s="1"/>
  <c r="I112" i="2"/>
  <c r="I51" i="2" s="1"/>
  <c r="Q176" i="2"/>
  <c r="Q184" i="2" s="1"/>
  <c r="Q168" i="2"/>
  <c r="Q192" i="2" s="1"/>
  <c r="Q52" i="2" s="1"/>
  <c r="U160" i="2"/>
  <c r="U176" i="2" s="1"/>
  <c r="U184" i="2" s="1"/>
  <c r="O157" i="2"/>
  <c r="O165" i="2" s="1"/>
  <c r="O189" i="2" s="1"/>
  <c r="T157" i="2"/>
  <c r="T158" i="2"/>
  <c r="T174" i="2" s="1"/>
  <c r="T182" i="2" s="1"/>
  <c r="S160" i="2"/>
  <c r="X160" i="2"/>
  <c r="X168" i="2" s="1"/>
  <c r="X192" i="2" s="1"/>
  <c r="S161" i="2"/>
  <c r="S177" i="2" s="1"/>
  <c r="S185" i="2" s="1"/>
  <c r="C249" i="2"/>
  <c r="C236" i="2"/>
  <c r="G255" i="2"/>
  <c r="G242" i="2"/>
  <c r="S231" i="2"/>
  <c r="S168" i="2"/>
  <c r="S192" i="2" s="1"/>
  <c r="W231" i="2"/>
  <c r="O232" i="2"/>
  <c r="O169" i="2"/>
  <c r="O193" i="2" s="1"/>
  <c r="S232" i="2"/>
  <c r="W232" i="2"/>
  <c r="G87" i="2"/>
  <c r="K87" i="2"/>
  <c r="K95" i="2" s="1"/>
  <c r="O87" i="2"/>
  <c r="S87" i="2"/>
  <c r="W87" i="2"/>
  <c r="E89" i="2"/>
  <c r="I89" i="2"/>
  <c r="U89" i="2"/>
  <c r="L96" i="2"/>
  <c r="L98" i="2"/>
  <c r="P98" i="2"/>
  <c r="AN100" i="2"/>
  <c r="G109" i="2"/>
  <c r="G48" i="2" s="1"/>
  <c r="G16" i="2" s="1"/>
  <c r="K109" i="2"/>
  <c r="K48" i="2" s="1"/>
  <c r="K16" i="2" s="1"/>
  <c r="O109" i="2"/>
  <c r="S109" i="2"/>
  <c r="W109" i="2"/>
  <c r="F112" i="2"/>
  <c r="F51" i="2" s="1"/>
  <c r="U113" i="2"/>
  <c r="V161" i="2"/>
  <c r="V177" i="2" s="1"/>
  <c r="V185" i="2" s="1"/>
  <c r="O156" i="2"/>
  <c r="U157" i="2"/>
  <c r="P158" i="2"/>
  <c r="P174" i="2" s="1"/>
  <c r="P182" i="2" s="1"/>
  <c r="U158" i="2"/>
  <c r="O160" i="2"/>
  <c r="T160" i="2"/>
  <c r="B89" i="2"/>
  <c r="F89" i="2"/>
  <c r="J89" i="2"/>
  <c r="R89" i="2"/>
  <c r="AN89" i="2"/>
  <c r="M96" i="2"/>
  <c r="S100" i="2"/>
  <c r="W100" i="2"/>
  <c r="AO100" i="2"/>
  <c r="N111" i="2"/>
  <c r="N50" i="2" s="1"/>
  <c r="G112" i="2"/>
  <c r="G51" i="2" s="1"/>
  <c r="K112" i="2"/>
  <c r="K51" i="2" s="1"/>
  <c r="R113" i="2"/>
  <c r="AN113" i="2"/>
  <c r="O158" i="2"/>
  <c r="O174" i="2" s="1"/>
  <c r="O182" i="2" s="1"/>
  <c r="Q158" i="2"/>
  <c r="Q166" i="2" s="1"/>
  <c r="Q190" i="2" s="1"/>
  <c r="V158" i="2"/>
  <c r="Q159" i="2"/>
  <c r="P160" i="2"/>
  <c r="V160" i="2"/>
  <c r="V176" i="2" s="1"/>
  <c r="V184" i="2" s="1"/>
  <c r="U161" i="2"/>
  <c r="U169" i="2" s="1"/>
  <c r="U193" i="2" s="1"/>
  <c r="U53" i="2" s="1"/>
  <c r="J230" i="2"/>
  <c r="K206" i="2"/>
  <c r="L206" i="2" s="1"/>
  <c r="M206" i="2" s="1"/>
  <c r="N206" i="2" s="1"/>
  <c r="O206" i="2" s="1"/>
  <c r="P206" i="2" s="1"/>
  <c r="Q206" i="2" s="1"/>
  <c r="R206" i="2" s="1"/>
  <c r="S206" i="2" s="1"/>
  <c r="T206" i="2" s="1"/>
  <c r="U206" i="2" s="1"/>
  <c r="V206" i="2" s="1"/>
  <c r="W206" i="2" s="1"/>
  <c r="X206" i="2" s="1"/>
  <c r="Y206" i="2" s="1"/>
  <c r="N254" i="2"/>
  <c r="N241" i="2"/>
  <c r="I255" i="2"/>
  <c r="I242" i="2"/>
  <c r="U231" i="2"/>
  <c r="Y79" i="2"/>
  <c r="Y160" i="2" s="1"/>
  <c r="Q232" i="2"/>
  <c r="U232" i="2"/>
  <c r="Y80" i="2"/>
  <c r="D88" i="2"/>
  <c r="H88" i="2"/>
  <c r="L88" i="2"/>
  <c r="S89" i="2"/>
  <c r="W89" i="2"/>
  <c r="AO89" i="2"/>
  <c r="J98" i="2"/>
  <c r="R99" i="2"/>
  <c r="AN99" i="2"/>
  <c r="H110" i="2"/>
  <c r="H49" i="2" s="1"/>
  <c r="H17" i="2" s="1"/>
  <c r="H37" i="2" s="1"/>
  <c r="L110" i="2"/>
  <c r="L49" i="2" s="1"/>
  <c r="L17" i="2" s="1"/>
  <c r="O111" i="2"/>
  <c r="L112" i="2"/>
  <c r="L51" i="2" s="1"/>
  <c r="P112" i="2"/>
  <c r="S113" i="2"/>
  <c r="W113" i="2"/>
  <c r="AO113" i="2"/>
  <c r="N114" i="2"/>
  <c r="N53" i="2" s="1"/>
  <c r="AN114" i="2"/>
  <c r="P159" i="2"/>
  <c r="P167" i="2" s="1"/>
  <c r="P191" i="2" s="1"/>
  <c r="Q156" i="2"/>
  <c r="Q172" i="2" s="1"/>
  <c r="Q180" i="2" s="1"/>
  <c r="U156" i="2"/>
  <c r="U172" i="2" s="1"/>
  <c r="U180" i="2" s="1"/>
  <c r="Y156" i="2"/>
  <c r="Y172" i="2" s="1"/>
  <c r="Y180" i="2" s="1"/>
  <c r="S157" i="2"/>
  <c r="R160" i="2"/>
  <c r="R176" i="2" s="1"/>
  <c r="R184" i="2" s="1"/>
  <c r="W160" i="2"/>
  <c r="W168" i="2" s="1"/>
  <c r="W192" i="2" s="1"/>
  <c r="Q161" i="2"/>
  <c r="W161" i="2"/>
  <c r="W177" i="2" s="1"/>
  <c r="W185" i="2" s="1"/>
  <c r="J228" i="2"/>
  <c r="K204" i="2"/>
  <c r="L204" i="2" s="1"/>
  <c r="M204" i="2" s="1"/>
  <c r="N204" i="2" s="1"/>
  <c r="O204" i="2" s="1"/>
  <c r="P204" i="2" s="1"/>
  <c r="Q204" i="2" s="1"/>
  <c r="R204" i="2" s="1"/>
  <c r="S204" i="2" s="1"/>
  <c r="T204" i="2" s="1"/>
  <c r="U204" i="2" s="1"/>
  <c r="V204" i="2" s="1"/>
  <c r="W204" i="2" s="1"/>
  <c r="X204" i="2" s="1"/>
  <c r="Y204" i="2" s="1"/>
  <c r="C264" i="2"/>
  <c r="G264" i="2"/>
  <c r="K264" i="2"/>
  <c r="O264" i="2"/>
  <c r="S264" i="2"/>
  <c r="W264" i="2"/>
  <c r="C265" i="2"/>
  <c r="G265" i="2"/>
  <c r="K265" i="2"/>
  <c r="O265" i="2"/>
  <c r="S265" i="2"/>
  <c r="W265" i="2"/>
  <c r="M268" i="2"/>
  <c r="D264" i="2"/>
  <c r="H264" i="2"/>
  <c r="L264" i="2"/>
  <c r="P264" i="2"/>
  <c r="T264" i="2"/>
  <c r="X264" i="2"/>
  <c r="D265" i="2"/>
  <c r="H265" i="2"/>
  <c r="L265" i="2"/>
  <c r="P265" i="2"/>
  <c r="T265" i="2"/>
  <c r="X265" i="2"/>
  <c r="M270" i="2"/>
  <c r="B249" i="2"/>
  <c r="B236" i="2"/>
  <c r="E264" i="2"/>
  <c r="I264" i="2"/>
  <c r="M264" i="2"/>
  <c r="Q264" i="2"/>
  <c r="U264" i="2"/>
  <c r="Y264" i="2"/>
  <c r="E265" i="2"/>
  <c r="I265" i="2"/>
  <c r="M265" i="2"/>
  <c r="Q265" i="2"/>
  <c r="U265" i="2"/>
  <c r="Y265" i="2"/>
  <c r="N270" i="2"/>
  <c r="M271" i="2"/>
  <c r="AL256" i="2"/>
  <c r="D200" i="2"/>
  <c r="B264" i="2"/>
  <c r="AJ250" i="2"/>
  <c r="F264" i="2"/>
  <c r="AK250" i="2"/>
  <c r="J264" i="2"/>
  <c r="AL250" i="2"/>
  <c r="N264" i="2"/>
  <c r="AM250" i="2"/>
  <c r="R264" i="2"/>
  <c r="AN250" i="2"/>
  <c r="V264" i="2"/>
  <c r="AO250" i="2"/>
  <c r="B265" i="2"/>
  <c r="AJ251" i="2"/>
  <c r="F265" i="2"/>
  <c r="AK251" i="2"/>
  <c r="J265" i="2"/>
  <c r="AL251" i="2"/>
  <c r="N265" i="2"/>
  <c r="AM251" i="2"/>
  <c r="R265" i="2"/>
  <c r="AN251" i="2"/>
  <c r="V265" i="2"/>
  <c r="AO251" i="2"/>
  <c r="M241" i="2"/>
  <c r="P243" i="2"/>
  <c r="L254" i="2"/>
  <c r="D270" i="2"/>
  <c r="H270" i="2"/>
  <c r="L270" i="2"/>
  <c r="K271" i="2"/>
  <c r="X272" i="2"/>
  <c r="AO258" i="2"/>
  <c r="AO245" i="2" s="1"/>
  <c r="M243" i="2"/>
  <c r="Q243" i="2"/>
  <c r="M244" i="2"/>
  <c r="D267" i="2"/>
  <c r="E270" i="2"/>
  <c r="I270" i="2"/>
  <c r="L271" i="2"/>
  <c r="Y272" i="2"/>
  <c r="N243" i="2"/>
  <c r="E267" i="2"/>
  <c r="B270" i="2"/>
  <c r="F270" i="2"/>
  <c r="J270" i="2"/>
  <c r="AJ256" i="2"/>
  <c r="O243" i="2"/>
  <c r="AJ253" i="2"/>
  <c r="C270" i="2"/>
  <c r="K270" i="2"/>
  <c r="AK256" i="2"/>
  <c r="J271" i="2"/>
  <c r="AL257" i="2"/>
  <c r="AO295" i="2"/>
  <c r="AO330" i="2"/>
  <c r="AM333" i="2"/>
  <c r="AM338" i="2"/>
  <c r="P303" i="2"/>
  <c r="P279" i="2" s="1"/>
  <c r="AL334" i="2"/>
  <c r="AK327" i="2"/>
  <c r="AK364" i="2" s="1"/>
  <c r="AN336" i="2"/>
  <c r="AM331" i="2"/>
  <c r="AO335" i="2"/>
  <c r="V303" i="2"/>
  <c r="V279" i="2" s="1"/>
  <c r="AM337" i="2"/>
  <c r="W52" i="2" l="1"/>
  <c r="S52" i="2"/>
  <c r="V95" i="2"/>
  <c r="Q95" i="2"/>
  <c r="O142" i="2"/>
  <c r="O371" i="2" s="1"/>
  <c r="L230" i="2"/>
  <c r="G266" i="2"/>
  <c r="R140" i="2"/>
  <c r="R369" i="2" s="1"/>
  <c r="G17" i="2"/>
  <c r="G37" i="2" s="1"/>
  <c r="Y140" i="2"/>
  <c r="Y369" i="2" s="1"/>
  <c r="C38" i="2"/>
  <c r="X95" i="2"/>
  <c r="H95" i="2"/>
  <c r="R164" i="2"/>
  <c r="R188" i="2" s="1"/>
  <c r="F95" i="2"/>
  <c r="AJ107" i="2"/>
  <c r="AJ73" i="2" s="1"/>
  <c r="AK93" i="2" s="1"/>
  <c r="AG33" i="2"/>
  <c r="S173" i="2"/>
  <c r="S181" i="2" s="1"/>
  <c r="B267" i="2"/>
  <c r="AL51" i="2"/>
  <c r="O166" i="2"/>
  <c r="O190" i="2" s="1"/>
  <c r="O254" i="2" s="1"/>
  <c r="O95" i="2"/>
  <c r="M228" i="2"/>
  <c r="K57" i="2"/>
  <c r="K35" i="2"/>
  <c r="K34" i="2"/>
  <c r="AG37" i="2"/>
  <c r="AG36" i="2"/>
  <c r="AB285" i="2"/>
  <c r="AJ108" i="2"/>
  <c r="AJ74" i="2" s="1"/>
  <c r="AJ15" i="2"/>
  <c r="AJ25" i="2" s="1"/>
  <c r="L228" i="2"/>
  <c r="O49" i="2"/>
  <c r="N228" i="2"/>
  <c r="AG35" i="2"/>
  <c r="AG38" i="2"/>
  <c r="BL41" i="1"/>
  <c r="F41" i="1"/>
  <c r="G227" i="1"/>
  <c r="L188" i="1"/>
  <c r="O190" i="1"/>
  <c r="I188" i="1"/>
  <c r="M209" i="1"/>
  <c r="K227" i="1"/>
  <c r="Q227" i="1"/>
  <c r="Q190" i="1"/>
  <c r="I209" i="1"/>
  <c r="M227" i="1"/>
  <c r="Y176" i="2"/>
  <c r="Y184" i="2" s="1"/>
  <c r="Y144" i="2"/>
  <c r="Y373" i="2" s="1"/>
  <c r="J171" i="1"/>
  <c r="J60" i="1"/>
  <c r="J52" i="1" s="1"/>
  <c r="BQ18" i="1"/>
  <c r="O53" i="2"/>
  <c r="R232" i="2"/>
  <c r="R114" i="2"/>
  <c r="R100" i="2"/>
  <c r="AO97" i="2"/>
  <c r="X77" i="2"/>
  <c r="W77" i="2"/>
  <c r="Y77" i="2"/>
  <c r="O239" i="2"/>
  <c r="H242" i="2"/>
  <c r="H255" i="2"/>
  <c r="H269" i="2" s="1"/>
  <c r="B252" i="2"/>
  <c r="B239" i="2"/>
  <c r="AM334" i="2"/>
  <c r="AN331" i="2"/>
  <c r="AL327" i="2"/>
  <c r="AL360" i="2" s="1"/>
  <c r="C267" i="2"/>
  <c r="AO265" i="2"/>
  <c r="AO238" i="2"/>
  <c r="AO226" i="2"/>
  <c r="AO202" i="2" s="1"/>
  <c r="AM265" i="2"/>
  <c r="AM238" i="2"/>
  <c r="AM226" i="2"/>
  <c r="AM202" i="2" s="1"/>
  <c r="AK265" i="2"/>
  <c r="AK238" i="2"/>
  <c r="AK226" i="2"/>
  <c r="AK202" i="2" s="1"/>
  <c r="AO264" i="2"/>
  <c r="AO237" i="2"/>
  <c r="AO225" i="2"/>
  <c r="AO201" i="2" s="1"/>
  <c r="AM264" i="2"/>
  <c r="AM237" i="2"/>
  <c r="AM225" i="2"/>
  <c r="AM201" i="2" s="1"/>
  <c r="AK264" i="2"/>
  <c r="AK237" i="2"/>
  <c r="AK225" i="2"/>
  <c r="AK201" i="2" s="1"/>
  <c r="D224" i="2"/>
  <c r="E200" i="2"/>
  <c r="J253" i="2"/>
  <c r="J240" i="2"/>
  <c r="R174" i="2"/>
  <c r="R182" i="2" s="1"/>
  <c r="R142" i="2"/>
  <c r="R371" i="2" s="1"/>
  <c r="P175" i="2"/>
  <c r="P183" i="2" s="1"/>
  <c r="O50" i="2"/>
  <c r="O57" i="2" s="1"/>
  <c r="Y232" i="2"/>
  <c r="Y114" i="2"/>
  <c r="Y100" i="2"/>
  <c r="Q244" i="2"/>
  <c r="U177" i="2"/>
  <c r="U185" i="2" s="1"/>
  <c r="U145" i="2"/>
  <c r="U374" i="2" s="1"/>
  <c r="Q175" i="2"/>
  <c r="Q183" i="2" s="1"/>
  <c r="Q173" i="2"/>
  <c r="Q181" i="2" s="1"/>
  <c r="Q141" i="2"/>
  <c r="Q370" i="2" s="1"/>
  <c r="N57" i="2"/>
  <c r="T176" i="2"/>
  <c r="T184" i="2" s="1"/>
  <c r="T144" i="2"/>
  <c r="T373" i="2" s="1"/>
  <c r="U174" i="2"/>
  <c r="U182" i="2" s="1"/>
  <c r="U142" i="2"/>
  <c r="U371" i="2" s="1"/>
  <c r="O172" i="2"/>
  <c r="O180" i="2" s="1"/>
  <c r="O140" i="2"/>
  <c r="O369" i="2" s="1"/>
  <c r="R161" i="2"/>
  <c r="S48" i="2"/>
  <c r="S95" i="2"/>
  <c r="S244" i="2"/>
  <c r="P230" i="2"/>
  <c r="S176" i="2"/>
  <c r="S184" i="2" s="1"/>
  <c r="S144" i="2"/>
  <c r="S373" i="2" s="1"/>
  <c r="V232" i="2"/>
  <c r="V169" i="2"/>
  <c r="V193" i="2" s="1"/>
  <c r="V114" i="2"/>
  <c r="V53" i="2" s="1"/>
  <c r="V100" i="2"/>
  <c r="AN112" i="2"/>
  <c r="AN98" i="2"/>
  <c r="AO78" i="2"/>
  <c r="T78" i="2"/>
  <c r="S78" i="2"/>
  <c r="U78" i="2"/>
  <c r="F269" i="2"/>
  <c r="AK255" i="2"/>
  <c r="O164" i="2"/>
  <c r="O188" i="2" s="1"/>
  <c r="O252" i="2" s="1"/>
  <c r="P142" i="2"/>
  <c r="P371" i="2" s="1"/>
  <c r="T166" i="2"/>
  <c r="T190" i="2" s="1"/>
  <c r="L253" i="2"/>
  <c r="L267" i="2" s="1"/>
  <c r="L240" i="2"/>
  <c r="Q164" i="2"/>
  <c r="Q188" i="2" s="1"/>
  <c r="M252" i="2"/>
  <c r="M266" i="2" s="1"/>
  <c r="M239" i="2"/>
  <c r="V145" i="2"/>
  <c r="V374" i="2" s="1"/>
  <c r="S142" i="2"/>
  <c r="S371" i="2" s="1"/>
  <c r="T177" i="2"/>
  <c r="T185" i="2" s="1"/>
  <c r="T145" i="2"/>
  <c r="T374" i="2" s="1"/>
  <c r="P244" i="2"/>
  <c r="T168" i="2"/>
  <c r="T192" i="2" s="1"/>
  <c r="X172" i="2"/>
  <c r="X180" i="2" s="1"/>
  <c r="X140" i="2"/>
  <c r="X369" i="2" s="1"/>
  <c r="T48" i="2"/>
  <c r="P95" i="2"/>
  <c r="P239" i="2"/>
  <c r="D44" i="2"/>
  <c r="D16" i="2"/>
  <c r="D36" i="2" s="1"/>
  <c r="T169" i="2"/>
  <c r="T193" i="2" s="1"/>
  <c r="I17" i="2"/>
  <c r="I37" i="2" s="1"/>
  <c r="X53" i="2"/>
  <c r="Q230" i="2"/>
  <c r="U166" i="2"/>
  <c r="U190" i="2" s="1"/>
  <c r="V164" i="2"/>
  <c r="V188" i="2" s="1"/>
  <c r="N252" i="2"/>
  <c r="N239" i="2"/>
  <c r="B44" i="2"/>
  <c r="B16" i="2"/>
  <c r="B36" i="2" s="1"/>
  <c r="K44" i="2"/>
  <c r="AM72" i="2"/>
  <c r="AK72" i="2"/>
  <c r="AK25" i="2"/>
  <c r="AI263" i="2"/>
  <c r="AM25" i="2"/>
  <c r="AK23" i="2"/>
  <c r="U228" i="2"/>
  <c r="U165" i="2"/>
  <c r="U189" i="2" s="1"/>
  <c r="U96" i="2"/>
  <c r="U110" i="2"/>
  <c r="U88" i="2"/>
  <c r="V76" i="2"/>
  <c r="T228" i="2"/>
  <c r="T165" i="2"/>
  <c r="T189" i="2" s="1"/>
  <c r="T110" i="2"/>
  <c r="T49" i="2" s="1"/>
  <c r="T88" i="2"/>
  <c r="T96" i="2"/>
  <c r="E177" i="1"/>
  <c r="C180" i="1"/>
  <c r="D177" i="1"/>
  <c r="D182" i="1" s="1"/>
  <c r="R190" i="1"/>
  <c r="P188" i="1"/>
  <c r="H188" i="1"/>
  <c r="G190" i="1"/>
  <c r="T246" i="1"/>
  <c r="T224" i="1"/>
  <c r="T103" i="1"/>
  <c r="U145" i="1"/>
  <c r="T147" i="1"/>
  <c r="S189" i="1"/>
  <c r="S187" i="1"/>
  <c r="S179" i="1"/>
  <c r="S181" i="1"/>
  <c r="M171" i="1"/>
  <c r="M60" i="1"/>
  <c r="M52" i="1" s="1"/>
  <c r="H57" i="1"/>
  <c r="J5" i="2"/>
  <c r="BK75" i="1"/>
  <c r="J6" i="2" s="1"/>
  <c r="AF5" i="2"/>
  <c r="L75" i="1"/>
  <c r="AF6" i="2" s="1"/>
  <c r="H284" i="2"/>
  <c r="H303" i="2"/>
  <c r="H302" i="2" s="1"/>
  <c r="BK84" i="1"/>
  <c r="BK69" i="1"/>
  <c r="BK20" i="1"/>
  <c r="BK13" i="1"/>
  <c r="J196" i="2" s="1"/>
  <c r="AU84" i="1"/>
  <c r="AU69" i="1"/>
  <c r="AU20" i="1"/>
  <c r="AU13" i="1"/>
  <c r="AE84" i="1"/>
  <c r="AE69" i="1"/>
  <c r="AE20" i="1"/>
  <c r="AE13" i="1"/>
  <c r="I84" i="1"/>
  <c r="I69" i="1"/>
  <c r="I20" i="1"/>
  <c r="I13" i="1"/>
  <c r="J41" i="1"/>
  <c r="H327" i="2"/>
  <c r="H326" i="2" s="1"/>
  <c r="H285" i="2"/>
  <c r="K303" i="2"/>
  <c r="K284" i="2"/>
  <c r="C303" i="2"/>
  <c r="C284" i="2"/>
  <c r="AB288" i="2"/>
  <c r="AB283" i="2"/>
  <c r="BB84" i="1"/>
  <c r="BB69" i="1"/>
  <c r="BB20" i="1"/>
  <c r="BB13" i="1"/>
  <c r="AL84" i="1"/>
  <c r="AL69" i="1"/>
  <c r="AL20" i="1"/>
  <c r="AL13" i="1"/>
  <c r="L69" i="1"/>
  <c r="L84" i="1"/>
  <c r="L38" i="1"/>
  <c r="L204" i="1" s="1"/>
  <c r="L213" i="1" s="1"/>
  <c r="L20" i="1"/>
  <c r="L13" i="1"/>
  <c r="AF196" i="2" s="1"/>
  <c r="O22" i="2"/>
  <c r="G22" i="2"/>
  <c r="G20" i="2"/>
  <c r="G171" i="1"/>
  <c r="G60" i="1"/>
  <c r="G52" i="1" s="1"/>
  <c r="L5" i="2"/>
  <c r="BM75" i="1"/>
  <c r="L6" i="2" s="1"/>
  <c r="AD5" i="2"/>
  <c r="J75" i="1"/>
  <c r="AD6" i="2" s="1"/>
  <c r="O327" i="2"/>
  <c r="O285" i="2"/>
  <c r="G327" i="2"/>
  <c r="G326" i="2" s="1"/>
  <c r="G285" i="2"/>
  <c r="J303" i="2"/>
  <c r="J284" i="2"/>
  <c r="B303" i="2"/>
  <c r="B284" i="2"/>
  <c r="AC303" i="2"/>
  <c r="AC284" i="2"/>
  <c r="H283" i="2"/>
  <c r="AG57" i="2"/>
  <c r="AG22" i="2"/>
  <c r="AG20" i="2"/>
  <c r="I75" i="1"/>
  <c r="F213" i="1"/>
  <c r="AD285" i="2"/>
  <c r="AF303" i="2"/>
  <c r="AF312" i="2" s="1"/>
  <c r="AF284" i="2"/>
  <c r="AH283" i="2"/>
  <c r="AH288" i="2"/>
  <c r="I57" i="2"/>
  <c r="I22" i="2"/>
  <c r="AF57" i="2"/>
  <c r="AF20" i="2"/>
  <c r="D196" i="1"/>
  <c r="BK41" i="1"/>
  <c r="AR73" i="1"/>
  <c r="AR70" i="1"/>
  <c r="AR85" i="1"/>
  <c r="AR32" i="1"/>
  <c r="AR45" i="1"/>
  <c r="BJ41" i="1"/>
  <c r="BP86" i="1"/>
  <c r="BP73" i="1"/>
  <c r="BP70" i="1"/>
  <c r="BP85" i="1"/>
  <c r="BP32" i="1"/>
  <c r="BP45" i="1"/>
  <c r="BM41" i="1"/>
  <c r="BE86" i="1"/>
  <c r="BE70" i="1"/>
  <c r="BE85" i="1"/>
  <c r="BE73" i="1"/>
  <c r="BE32" i="1"/>
  <c r="BE45" i="1"/>
  <c r="AO70" i="1"/>
  <c r="AO85" i="1"/>
  <c r="AO73" i="1"/>
  <c r="AO32" i="1"/>
  <c r="AO45" i="1"/>
  <c r="Y85" i="1"/>
  <c r="Y32" i="1"/>
  <c r="Y45" i="1"/>
  <c r="N84" i="1"/>
  <c r="N69" i="1"/>
  <c r="N20" i="1"/>
  <c r="N13" i="1"/>
  <c r="AH196" i="2" s="1"/>
  <c r="AJ73" i="1"/>
  <c r="AJ85" i="1"/>
  <c r="AJ32" i="1"/>
  <c r="AJ45" i="1"/>
  <c r="V174" i="2"/>
  <c r="V182" i="2" s="1"/>
  <c r="V142" i="2"/>
  <c r="V371" i="2" s="1"/>
  <c r="O168" i="2"/>
  <c r="O192" i="2" s="1"/>
  <c r="O176" i="2"/>
  <c r="O184" i="2" s="1"/>
  <c r="O144" i="2"/>
  <c r="O373" i="2" s="1"/>
  <c r="C263" i="2"/>
  <c r="T241" i="2"/>
  <c r="T254" i="2"/>
  <c r="Y252" i="2"/>
  <c r="Y239" i="2"/>
  <c r="Q252" i="2"/>
  <c r="Q239" i="2"/>
  <c r="R252" i="2"/>
  <c r="R239" i="2"/>
  <c r="AO72" i="2"/>
  <c r="C44" i="2"/>
  <c r="AN72" i="2"/>
  <c r="AO24" i="2"/>
  <c r="AH263" i="2"/>
  <c r="AN24" i="2"/>
  <c r="X76" i="2"/>
  <c r="AO110" i="2"/>
  <c r="AO96" i="2"/>
  <c r="AO88" i="2"/>
  <c r="Y76" i="2"/>
  <c r="W76" i="2"/>
  <c r="AL25" i="2"/>
  <c r="AF263" i="2"/>
  <c r="Q177" i="1"/>
  <c r="T216" i="1"/>
  <c r="U178" i="1"/>
  <c r="O180" i="1"/>
  <c r="P177" i="1"/>
  <c r="P182" i="1" s="1"/>
  <c r="M190" i="1"/>
  <c r="S103" i="1"/>
  <c r="T218" i="1"/>
  <c r="U135" i="1"/>
  <c r="I171" i="1"/>
  <c r="I60" i="1"/>
  <c r="I52" i="1" s="1"/>
  <c r="M327" i="2"/>
  <c r="M285" i="2"/>
  <c r="E327" i="2"/>
  <c r="E285" i="2"/>
  <c r="AI303" i="2"/>
  <c r="AI284" i="2"/>
  <c r="N288" i="2"/>
  <c r="N283" i="2"/>
  <c r="F288" i="2"/>
  <c r="F287" i="2" s="1"/>
  <c r="F283" i="2"/>
  <c r="AG288" i="2"/>
  <c r="AG283" i="2"/>
  <c r="BG84" i="1"/>
  <c r="BG69" i="1"/>
  <c r="BG20" i="1"/>
  <c r="BG13" i="1"/>
  <c r="F196" i="2" s="1"/>
  <c r="AQ84" i="1"/>
  <c r="AQ69" i="1"/>
  <c r="AQ20" i="1"/>
  <c r="AQ13" i="1"/>
  <c r="AA84" i="1"/>
  <c r="AA69" i="1"/>
  <c r="AA20" i="1"/>
  <c r="AA13" i="1"/>
  <c r="E84" i="1"/>
  <c r="E69" i="1"/>
  <c r="E20" i="1"/>
  <c r="E13" i="1"/>
  <c r="H22" i="2"/>
  <c r="L171" i="1"/>
  <c r="L60" i="1"/>
  <c r="L52" i="1" s="1"/>
  <c r="M5" i="2"/>
  <c r="BN75" i="1"/>
  <c r="M6" i="2" s="1"/>
  <c r="AD284" i="2"/>
  <c r="AD303" i="2"/>
  <c r="AD314" i="2" s="1"/>
  <c r="BN84" i="1"/>
  <c r="BN69" i="1"/>
  <c r="BN20" i="1"/>
  <c r="BN13" i="1"/>
  <c r="M196" i="2" s="1"/>
  <c r="AX84" i="1"/>
  <c r="AX69" i="1"/>
  <c r="AX20" i="1"/>
  <c r="AX13" i="1"/>
  <c r="AH84" i="1"/>
  <c r="AH69" i="1"/>
  <c r="AH20" i="1"/>
  <c r="AH13" i="1"/>
  <c r="H69" i="1"/>
  <c r="H84" i="1"/>
  <c r="H20" i="1"/>
  <c r="H13" i="1"/>
  <c r="H5" i="2"/>
  <c r="BI75" i="1"/>
  <c r="H6" i="2" s="1"/>
  <c r="AE327" i="2"/>
  <c r="AE285" i="2"/>
  <c r="AI288" i="2"/>
  <c r="AI295" i="2" s="1"/>
  <c r="AI283" i="2"/>
  <c r="N22" i="2"/>
  <c r="F57" i="2"/>
  <c r="F22" i="2"/>
  <c r="M196" i="1"/>
  <c r="AG9" i="2" s="1"/>
  <c r="F171" i="1"/>
  <c r="F60" i="1"/>
  <c r="F52" i="1" s="1"/>
  <c r="J327" i="2"/>
  <c r="J285" i="2"/>
  <c r="B327" i="2"/>
  <c r="B285" i="2"/>
  <c r="K288" i="2"/>
  <c r="K283" i="2"/>
  <c r="C288" i="2"/>
  <c r="C283" i="2"/>
  <c r="C287" i="2"/>
  <c r="BD86" i="1"/>
  <c r="BD73" i="1"/>
  <c r="BD70" i="1"/>
  <c r="BD85" i="1"/>
  <c r="BD32" i="1"/>
  <c r="BD45" i="1"/>
  <c r="BG41" i="1"/>
  <c r="AB73" i="1"/>
  <c r="AB85" i="1"/>
  <c r="AB32" i="1"/>
  <c r="AB45" i="1"/>
  <c r="BF41" i="1"/>
  <c r="G85" i="1"/>
  <c r="G32" i="1"/>
  <c r="G45" i="1"/>
  <c r="AZ86" i="1"/>
  <c r="AZ73" i="1"/>
  <c r="AZ70" i="1"/>
  <c r="AZ85" i="1"/>
  <c r="AZ32" i="1"/>
  <c r="AZ45" i="1"/>
  <c r="BI41" i="1"/>
  <c r="BA86" i="1"/>
  <c r="BA70" i="1"/>
  <c r="BA85" i="1"/>
  <c r="BA73" i="1"/>
  <c r="BA32" i="1"/>
  <c r="BA45" i="1"/>
  <c r="AK70" i="1"/>
  <c r="AK85" i="1"/>
  <c r="AK73" i="1"/>
  <c r="AK32" i="1"/>
  <c r="AK45" i="1"/>
  <c r="J84" i="1"/>
  <c r="J69" i="1"/>
  <c r="J20" i="1"/>
  <c r="J13" i="1"/>
  <c r="AK363" i="2"/>
  <c r="AK359" i="2"/>
  <c r="AK355" i="2"/>
  <c r="AK356" i="2"/>
  <c r="AK361" i="2"/>
  <c r="AK357" i="2"/>
  <c r="AK362" i="2"/>
  <c r="AK358" i="2"/>
  <c r="AK354" i="2"/>
  <c r="L37" i="2"/>
  <c r="L27" i="2"/>
  <c r="O48" i="2"/>
  <c r="W169" i="2"/>
  <c r="W193" i="2" s="1"/>
  <c r="W53" i="2" s="1"/>
  <c r="W18" i="2" s="1"/>
  <c r="L242" i="2"/>
  <c r="L255" i="2"/>
  <c r="L269" i="2" s="1"/>
  <c r="O230" i="2"/>
  <c r="O112" i="2"/>
  <c r="O98" i="2"/>
  <c r="W252" i="2"/>
  <c r="W239" i="2"/>
  <c r="V144" i="2"/>
  <c r="V373" i="2" s="1"/>
  <c r="U239" i="2"/>
  <c r="P177" i="2"/>
  <c r="P185" i="2" s="1"/>
  <c r="P145" i="2"/>
  <c r="P374" i="2" s="1"/>
  <c r="D252" i="2"/>
  <c r="D266" i="2" s="1"/>
  <c r="D239" i="2"/>
  <c r="T257" i="2"/>
  <c r="T244" i="2"/>
  <c r="P166" i="2"/>
  <c r="P190" i="2" s="1"/>
  <c r="I253" i="2"/>
  <c r="I267" i="2" s="1"/>
  <c r="I240" i="2"/>
  <c r="U254" i="2"/>
  <c r="U241" i="2"/>
  <c r="AL24" i="2"/>
  <c r="AL271" i="2"/>
  <c r="AL244" i="2"/>
  <c r="AN265" i="2"/>
  <c r="AN238" i="2"/>
  <c r="AN226" i="2"/>
  <c r="AN202" i="2" s="1"/>
  <c r="AN214" i="2" s="1"/>
  <c r="AJ265" i="2"/>
  <c r="AJ238" i="2"/>
  <c r="AJ226" i="2"/>
  <c r="AJ202" i="2" s="1"/>
  <c r="AJ264" i="2"/>
  <c r="AJ225" i="2"/>
  <c r="AJ237" i="2"/>
  <c r="Q177" i="2"/>
  <c r="Q185" i="2" s="1"/>
  <c r="Q145" i="2"/>
  <c r="Q374" i="2" s="1"/>
  <c r="R175" i="2"/>
  <c r="R183" i="2" s="1"/>
  <c r="R143" i="2"/>
  <c r="R372" i="2" s="1"/>
  <c r="N18" i="2"/>
  <c r="U244" i="2"/>
  <c r="U257" i="2"/>
  <c r="U271" i="2" s="1"/>
  <c r="U168" i="2"/>
  <c r="U192" i="2" s="1"/>
  <c r="U52" i="2" s="1"/>
  <c r="U18" i="2" s="1"/>
  <c r="I269" i="2"/>
  <c r="P176" i="2"/>
  <c r="P184" i="2" s="1"/>
  <c r="P168" i="2"/>
  <c r="P192" i="2" s="1"/>
  <c r="P144" i="2"/>
  <c r="P373" i="2" s="1"/>
  <c r="Q174" i="2"/>
  <c r="Q182" i="2" s="1"/>
  <c r="Q142" i="2"/>
  <c r="Q371" i="2" s="1"/>
  <c r="K36" i="2"/>
  <c r="K26" i="2"/>
  <c r="O257" i="2"/>
  <c r="O271" i="2" s="1"/>
  <c r="O244" i="2"/>
  <c r="R144" i="2"/>
  <c r="R373" i="2" s="1"/>
  <c r="S141" i="2"/>
  <c r="S370" i="2" s="1"/>
  <c r="T50" i="2"/>
  <c r="Q228" i="2"/>
  <c r="Q165" i="2"/>
  <c r="Q189" i="2" s="1"/>
  <c r="Q96" i="2"/>
  <c r="Q110" i="2"/>
  <c r="Q88" i="2"/>
  <c r="R76" i="2"/>
  <c r="P228" i="2"/>
  <c r="P110" i="2"/>
  <c r="P88" i="2"/>
  <c r="P96" i="2"/>
  <c r="U164" i="2"/>
  <c r="U188" i="2" s="1"/>
  <c r="U252" i="2" s="1"/>
  <c r="M95" i="2"/>
  <c r="I44" i="2"/>
  <c r="I16" i="2"/>
  <c r="E252" i="2"/>
  <c r="E266" i="2" s="1"/>
  <c r="E239" i="2"/>
  <c r="Q140" i="2"/>
  <c r="Q369" i="2" s="1"/>
  <c r="Q368" i="2" s="1"/>
  <c r="Q377" i="2" s="1"/>
  <c r="Q379" i="2" s="1"/>
  <c r="T52" i="2"/>
  <c r="N230" i="2"/>
  <c r="N98" i="2"/>
  <c r="N112" i="2"/>
  <c r="N51" i="2" s="1"/>
  <c r="Q50" i="2"/>
  <c r="Q254" i="2"/>
  <c r="Q268" i="2" s="1"/>
  <c r="Q241" i="2"/>
  <c r="AL49" i="2"/>
  <c r="K17" i="2"/>
  <c r="X252" i="2"/>
  <c r="X239" i="2"/>
  <c r="P172" i="2"/>
  <c r="P180" i="2" s="1"/>
  <c r="P140" i="2"/>
  <c r="P369" i="2" s="1"/>
  <c r="L44" i="2"/>
  <c r="L16" i="2"/>
  <c r="H252" i="2"/>
  <c r="H266" i="2" s="1"/>
  <c r="H239" i="2"/>
  <c r="T53" i="2"/>
  <c r="X256" i="2"/>
  <c r="X243" i="2"/>
  <c r="P241" i="2"/>
  <c r="P254" i="2"/>
  <c r="N253" i="2"/>
  <c r="N240" i="2"/>
  <c r="C252" i="2"/>
  <c r="C266" i="2" s="1"/>
  <c r="C239" i="2"/>
  <c r="R230" i="2"/>
  <c r="R167" i="2"/>
  <c r="R191" i="2" s="1"/>
  <c r="R98" i="2"/>
  <c r="R112" i="2"/>
  <c r="V229" i="2"/>
  <c r="V166" i="2"/>
  <c r="V190" i="2" s="1"/>
  <c r="V111" i="2"/>
  <c r="V97" i="2"/>
  <c r="N95" i="2"/>
  <c r="J44" i="2"/>
  <c r="AL48" i="2"/>
  <c r="J16" i="2"/>
  <c r="F252" i="2"/>
  <c r="F239" i="2"/>
  <c r="AL72" i="2"/>
  <c r="AM23" i="2"/>
  <c r="AK24" i="2"/>
  <c r="AG263" i="2"/>
  <c r="AN23" i="2"/>
  <c r="L180" i="1"/>
  <c r="M177" i="1"/>
  <c r="S223" i="1"/>
  <c r="T151" i="1"/>
  <c r="K180" i="1"/>
  <c r="L177" i="1"/>
  <c r="L182" i="1" s="1"/>
  <c r="S225" i="1"/>
  <c r="T150" i="1"/>
  <c r="J190" i="1"/>
  <c r="S147" i="1"/>
  <c r="S224" i="1"/>
  <c r="E188" i="1"/>
  <c r="E171" i="1"/>
  <c r="E60" i="1"/>
  <c r="E52" i="1" s="1"/>
  <c r="I213" i="1"/>
  <c r="L284" i="2"/>
  <c r="L303" i="2"/>
  <c r="D284" i="2"/>
  <c r="D303" i="2"/>
  <c r="BC84" i="1"/>
  <c r="BC69" i="1"/>
  <c r="BC20" i="1"/>
  <c r="BC13" i="1"/>
  <c r="B196" i="2" s="1"/>
  <c r="AM84" i="1"/>
  <c r="AM69" i="1"/>
  <c r="AM20" i="1"/>
  <c r="AM13" i="1"/>
  <c r="W84" i="1"/>
  <c r="W20" i="1"/>
  <c r="W13" i="1"/>
  <c r="H171" i="1"/>
  <c r="H60" i="1"/>
  <c r="H52" i="1" s="1"/>
  <c r="I5" i="2"/>
  <c r="BJ75" i="1"/>
  <c r="I6" i="2" s="1"/>
  <c r="AE5" i="2"/>
  <c r="K75" i="1"/>
  <c r="AE6" i="2" s="1"/>
  <c r="L327" i="2"/>
  <c r="L285" i="2"/>
  <c r="D327" i="2"/>
  <c r="D285" i="2"/>
  <c r="O303" i="2"/>
  <c r="O284" i="2"/>
  <c r="G303" i="2"/>
  <c r="G302" i="2" s="1"/>
  <c r="G284" i="2"/>
  <c r="AF288" i="2"/>
  <c r="AF283" i="2"/>
  <c r="BJ84" i="1"/>
  <c r="BJ69" i="1"/>
  <c r="BJ20" i="1"/>
  <c r="BJ13" i="1"/>
  <c r="I196" i="2" s="1"/>
  <c r="AT84" i="1"/>
  <c r="AT69" i="1"/>
  <c r="AT20" i="1"/>
  <c r="AT13" i="1"/>
  <c r="AD84" i="1"/>
  <c r="AD69" i="1"/>
  <c r="AD20" i="1"/>
  <c r="AD13" i="1"/>
  <c r="D69" i="1"/>
  <c r="D84" i="1"/>
  <c r="D20" i="1"/>
  <c r="D13" i="1"/>
  <c r="K22" i="2"/>
  <c r="K20" i="2"/>
  <c r="C20" i="2"/>
  <c r="N202" i="1"/>
  <c r="N121" i="1"/>
  <c r="N192" i="1"/>
  <c r="N77" i="1"/>
  <c r="N67" i="1"/>
  <c r="O4" i="1"/>
  <c r="N51" i="1"/>
  <c r="N58" i="1" s="1"/>
  <c r="N59" i="1" s="1"/>
  <c r="N29" i="1"/>
  <c r="N207" i="1" s="1"/>
  <c r="N50" i="1"/>
  <c r="N27" i="1"/>
  <c r="N208" i="1" s="1"/>
  <c r="N5" i="1"/>
  <c r="K327" i="2"/>
  <c r="K285" i="2"/>
  <c r="C327" i="2"/>
  <c r="C326" i="2" s="1"/>
  <c r="C285" i="2"/>
  <c r="N303" i="2"/>
  <c r="N284" i="2"/>
  <c r="F303" i="2"/>
  <c r="F284" i="2"/>
  <c r="AG303" i="2"/>
  <c r="AG284" i="2"/>
  <c r="L288" i="2"/>
  <c r="L283" i="2"/>
  <c r="D287" i="2"/>
  <c r="D288" i="2"/>
  <c r="D283" i="2"/>
  <c r="I196" i="1"/>
  <c r="O5" i="2"/>
  <c r="BP75" i="1"/>
  <c r="O6" i="2" s="1"/>
  <c r="J213" i="1"/>
  <c r="AH327" i="2"/>
  <c r="AH285" i="2"/>
  <c r="M303" i="2"/>
  <c r="M284" i="2"/>
  <c r="E303" i="2"/>
  <c r="E302" i="2" s="1"/>
  <c r="E284" i="2"/>
  <c r="AB303" i="2"/>
  <c r="AB284" i="2"/>
  <c r="AD288" i="2"/>
  <c r="AD283" i="2"/>
  <c r="M22" i="2"/>
  <c r="E57" i="2"/>
  <c r="L196" i="1"/>
  <c r="AF9" i="2" s="1"/>
  <c r="K213" i="1"/>
  <c r="AF73" i="1"/>
  <c r="AF85" i="1"/>
  <c r="AF32" i="1"/>
  <c r="AF45" i="1"/>
  <c r="BC41" i="1"/>
  <c r="M50" i="1"/>
  <c r="O85" i="1"/>
  <c r="O32" i="1"/>
  <c r="O45" i="1"/>
  <c r="K51" i="1"/>
  <c r="K58" i="1" s="1"/>
  <c r="K59" i="1" s="1"/>
  <c r="AN73" i="1"/>
  <c r="AN70" i="1"/>
  <c r="AN85" i="1"/>
  <c r="AN32" i="1"/>
  <c r="AN45" i="1"/>
  <c r="BE41" i="1"/>
  <c r="BM86" i="1"/>
  <c r="BM70" i="1"/>
  <c r="BM85" i="1"/>
  <c r="BM73" i="1"/>
  <c r="BM32" i="1"/>
  <c r="BM45" i="1"/>
  <c r="AW86" i="1"/>
  <c r="AW70" i="1"/>
  <c r="AW85" i="1"/>
  <c r="AW73" i="1"/>
  <c r="AW32" i="1"/>
  <c r="AW45" i="1"/>
  <c r="AG85" i="1"/>
  <c r="AG73" i="1"/>
  <c r="AG32" i="1"/>
  <c r="AG45" i="1"/>
  <c r="F84" i="1"/>
  <c r="F69" i="1"/>
  <c r="F20" i="1"/>
  <c r="G73" i="1" s="1"/>
  <c r="F13" i="1"/>
  <c r="BL86" i="1"/>
  <c r="BL73" i="1"/>
  <c r="BL70" i="1"/>
  <c r="BL85" i="1"/>
  <c r="BL32" i="1"/>
  <c r="BL45" i="1"/>
  <c r="AK360" i="2"/>
  <c r="Y231" i="2"/>
  <c r="Y168" i="2"/>
  <c r="Y192" i="2" s="1"/>
  <c r="Y99" i="2"/>
  <c r="Y113" i="2"/>
  <c r="Y89" i="2"/>
  <c r="N268" i="2"/>
  <c r="AM254" i="2"/>
  <c r="W256" i="2"/>
  <c r="W270" i="2" s="1"/>
  <c r="W243" i="2"/>
  <c r="V231" i="2"/>
  <c r="V168" i="2"/>
  <c r="V192" i="2" s="1"/>
  <c r="V99" i="2"/>
  <c r="V113" i="2"/>
  <c r="V89" i="2"/>
  <c r="M253" i="2"/>
  <c r="M267" i="2" s="1"/>
  <c r="M240" i="2"/>
  <c r="E44" i="2"/>
  <c r="E16" i="2"/>
  <c r="E36" i="2" s="1"/>
  <c r="T256" i="2"/>
  <c r="T270" i="2" s="1"/>
  <c r="T243" i="2"/>
  <c r="AK49" i="2"/>
  <c r="F17" i="2"/>
  <c r="T172" i="2"/>
  <c r="T180" i="2" s="1"/>
  <c r="T140" i="2"/>
  <c r="T369" i="2" s="1"/>
  <c r="H44" i="2"/>
  <c r="H16" i="2"/>
  <c r="U50" i="2"/>
  <c r="V252" i="2"/>
  <c r="V239" i="2"/>
  <c r="F44" i="2"/>
  <c r="AK48" i="2"/>
  <c r="F16" i="2"/>
  <c r="F20" i="2" s="1"/>
  <c r="G44" i="2"/>
  <c r="AN337" i="2"/>
  <c r="AO336" i="2"/>
  <c r="AN333" i="2"/>
  <c r="G270" i="2"/>
  <c r="AL265" i="2"/>
  <c r="AL238" i="2"/>
  <c r="AL226" i="2"/>
  <c r="AL202" i="2" s="1"/>
  <c r="AL214" i="2" s="1"/>
  <c r="AN264" i="2"/>
  <c r="AN225" i="2"/>
  <c r="AN201" i="2" s="1"/>
  <c r="AN213" i="2" s="1"/>
  <c r="AN237" i="2"/>
  <c r="AL264" i="2"/>
  <c r="AL237" i="2"/>
  <c r="AL225" i="2"/>
  <c r="AL201" i="2" s="1"/>
  <c r="AL213" i="2" s="1"/>
  <c r="B263" i="2"/>
  <c r="P51" i="2"/>
  <c r="AM190" i="2"/>
  <c r="U173" i="2"/>
  <c r="U181" i="2" s="1"/>
  <c r="U141" i="2"/>
  <c r="U370" i="2" s="1"/>
  <c r="AK51" i="2"/>
  <c r="W257" i="2"/>
  <c r="W271" i="2" s="1"/>
  <c r="W244" i="2"/>
  <c r="T173" i="2"/>
  <c r="T181" i="2" s="1"/>
  <c r="T141" i="2"/>
  <c r="T370" i="2" s="1"/>
  <c r="M37" i="2"/>
  <c r="M27" i="2"/>
  <c r="R168" i="2"/>
  <c r="R192" i="2" s="1"/>
  <c r="AN192" i="2" s="1"/>
  <c r="K230" i="2"/>
  <c r="S229" i="2"/>
  <c r="S111" i="2"/>
  <c r="S166" i="2"/>
  <c r="S190" i="2" s="1"/>
  <c r="S97" i="2"/>
  <c r="W145" i="2"/>
  <c r="W374" i="2" s="1"/>
  <c r="P143" i="2"/>
  <c r="P372" i="2" s="1"/>
  <c r="BW18" i="1"/>
  <c r="AN338" i="2"/>
  <c r="L268" i="2"/>
  <c r="AL254" i="2"/>
  <c r="Q256" i="2"/>
  <c r="Q270" i="2" s="1"/>
  <c r="W176" i="2"/>
  <c r="W184" i="2" s="1"/>
  <c r="W144" i="2"/>
  <c r="W373" i="2" s="1"/>
  <c r="Q169" i="2"/>
  <c r="Q193" i="2" s="1"/>
  <c r="Q53" i="2" s="1"/>
  <c r="Q18" i="2" s="1"/>
  <c r="U256" i="2"/>
  <c r="U243" i="2"/>
  <c r="J255" i="2"/>
  <c r="J242" i="2"/>
  <c r="Y161" i="2"/>
  <c r="Y169" i="2" s="1"/>
  <c r="Y193" i="2" s="1"/>
  <c r="O159" i="2"/>
  <c r="P157" i="2"/>
  <c r="W48" i="2"/>
  <c r="G36" i="2"/>
  <c r="G26" i="2"/>
  <c r="W95" i="2"/>
  <c r="G95" i="2"/>
  <c r="S169" i="2"/>
  <c r="S193" i="2" s="1"/>
  <c r="S53" i="2" s="1"/>
  <c r="S18" i="2" s="1"/>
  <c r="S256" i="2"/>
  <c r="S270" i="2" s="1"/>
  <c r="S243" i="2"/>
  <c r="G269" i="2"/>
  <c r="X176" i="2"/>
  <c r="X184" i="2" s="1"/>
  <c r="X144" i="2"/>
  <c r="X373" i="2" s="1"/>
  <c r="O173" i="2"/>
  <c r="O181" i="2" s="1"/>
  <c r="N271" i="2"/>
  <c r="R256" i="2"/>
  <c r="R243" i="2"/>
  <c r="H267" i="2"/>
  <c r="S252" i="2"/>
  <c r="S266" i="2" s="1"/>
  <c r="S239" i="2"/>
  <c r="K266" i="2"/>
  <c r="S145" i="2"/>
  <c r="S374" i="2" s="1"/>
  <c r="T142" i="2"/>
  <c r="T371" i="2" s="1"/>
  <c r="O141" i="2"/>
  <c r="O370" i="2" s="1"/>
  <c r="G253" i="2"/>
  <c r="G267" i="2" s="1"/>
  <c r="G240" i="2"/>
  <c r="Y48" i="2"/>
  <c r="U95" i="2"/>
  <c r="Q48" i="2"/>
  <c r="M44" i="2"/>
  <c r="M16" i="2"/>
  <c r="M20" i="2" s="1"/>
  <c r="I252" i="2"/>
  <c r="I266" i="2" s="1"/>
  <c r="I239" i="2"/>
  <c r="U144" i="2"/>
  <c r="U373" i="2" s="1"/>
  <c r="X177" i="2"/>
  <c r="X185" i="2" s="1"/>
  <c r="X145" i="2"/>
  <c r="X374" i="2" s="1"/>
  <c r="P169" i="2"/>
  <c r="P193" i="2" s="1"/>
  <c r="P257" i="2" s="1"/>
  <c r="AL52" i="2"/>
  <c r="AL243" i="2" s="1"/>
  <c r="K18" i="2"/>
  <c r="M230" i="2"/>
  <c r="R229" i="2"/>
  <c r="R166" i="2"/>
  <c r="R190" i="2" s="1"/>
  <c r="R111" i="2"/>
  <c r="R50" i="2" s="1"/>
  <c r="R97" i="2"/>
  <c r="O228" i="2"/>
  <c r="K228" i="2"/>
  <c r="F253" i="2"/>
  <c r="F240" i="2"/>
  <c r="X48" i="2"/>
  <c r="T95" i="2"/>
  <c r="T252" i="2"/>
  <c r="T266" i="2" s="1"/>
  <c r="T239" i="2"/>
  <c r="P164" i="2"/>
  <c r="P188" i="2" s="1"/>
  <c r="L252" i="2"/>
  <c r="L266" i="2" s="1"/>
  <c r="L239" i="2"/>
  <c r="X52" i="2"/>
  <c r="X18" i="2" s="1"/>
  <c r="P50" i="2"/>
  <c r="AJ92" i="2"/>
  <c r="AJ84" i="2"/>
  <c r="D72" i="2"/>
  <c r="D84" i="2" s="1"/>
  <c r="C72" i="2"/>
  <c r="C84" i="2" s="1"/>
  <c r="B72" i="2"/>
  <c r="B84" i="2" s="1"/>
  <c r="E72" i="2"/>
  <c r="E84" i="2" s="1"/>
  <c r="X257" i="2"/>
  <c r="X271" i="2" s="1"/>
  <c r="X244" i="2"/>
  <c r="Q167" i="2"/>
  <c r="Q191" i="2" s="1"/>
  <c r="Q51" i="2" s="1"/>
  <c r="V48" i="2"/>
  <c r="R48" i="2"/>
  <c r="N44" i="2"/>
  <c r="N16" i="2"/>
  <c r="J252" i="2"/>
  <c r="J239" i="2"/>
  <c r="AJ201" i="2"/>
  <c r="AJ93" i="2"/>
  <c r="AJ85" i="2"/>
  <c r="AO25" i="2"/>
  <c r="AK52" i="2"/>
  <c r="H33" i="2"/>
  <c r="AK18" i="2"/>
  <c r="AN25" i="2"/>
  <c r="AL23" i="2"/>
  <c r="AO23" i="2"/>
  <c r="S228" i="2"/>
  <c r="S165" i="2"/>
  <c r="S189" i="2" s="1"/>
  <c r="S110" i="2"/>
  <c r="S88" i="2"/>
  <c r="S96" i="2"/>
  <c r="I177" i="1"/>
  <c r="G180" i="1"/>
  <c r="H177" i="1"/>
  <c r="H182" i="1" s="1"/>
  <c r="L257" i="1"/>
  <c r="E209" i="1"/>
  <c r="E213" i="1" s="1"/>
  <c r="S246" i="1"/>
  <c r="L57" i="1"/>
  <c r="N5" i="2"/>
  <c r="BO75" i="1"/>
  <c r="N6" i="2" s="1"/>
  <c r="I327" i="2"/>
  <c r="I285" i="2"/>
  <c r="AG327" i="2"/>
  <c r="AG285" i="2"/>
  <c r="AE303" i="2"/>
  <c r="AE284" i="2"/>
  <c r="J288" i="2"/>
  <c r="J283" i="2"/>
  <c r="B288" i="2"/>
  <c r="B283" i="2"/>
  <c r="B287" i="2"/>
  <c r="AC288" i="2"/>
  <c r="AC295" i="2" s="1"/>
  <c r="AC283" i="2"/>
  <c r="BO84" i="1"/>
  <c r="BO69" i="1"/>
  <c r="BO20" i="1"/>
  <c r="BO13" i="1"/>
  <c r="AY84" i="1"/>
  <c r="AY69" i="1"/>
  <c r="AY20" i="1"/>
  <c r="AY13" i="1"/>
  <c r="AI84" i="1"/>
  <c r="AI69" i="1"/>
  <c r="AI20" i="1"/>
  <c r="AI13" i="1"/>
  <c r="M84" i="1"/>
  <c r="M69" i="1"/>
  <c r="M20" i="1"/>
  <c r="M13" i="1"/>
  <c r="AG196" i="2" s="1"/>
  <c r="M38" i="1"/>
  <c r="M204" i="1" s="1"/>
  <c r="M213" i="1" s="1"/>
  <c r="L22" i="2"/>
  <c r="L20" i="2"/>
  <c r="D20" i="2"/>
  <c r="AI57" i="2"/>
  <c r="AI22" i="2"/>
  <c r="AI20" i="2"/>
  <c r="C196" i="1"/>
  <c r="N41" i="1"/>
  <c r="AF285" i="2"/>
  <c r="AF327" i="2"/>
  <c r="AH284" i="2"/>
  <c r="AH303" i="2"/>
  <c r="M283" i="2"/>
  <c r="M288" i="2"/>
  <c r="E287" i="2"/>
  <c r="E283" i="2"/>
  <c r="E288" i="2"/>
  <c r="BF84" i="1"/>
  <c r="BF69" i="1"/>
  <c r="BF20" i="1"/>
  <c r="BF13" i="1"/>
  <c r="E196" i="2" s="1"/>
  <c r="AP84" i="1"/>
  <c r="AP69" i="1"/>
  <c r="AP20" i="1"/>
  <c r="AP13" i="1"/>
  <c r="Z84" i="1"/>
  <c r="Z69" i="1"/>
  <c r="Z20" i="1"/>
  <c r="Z13" i="1"/>
  <c r="AH57" i="2"/>
  <c r="AH22" i="2"/>
  <c r="AH20" i="2"/>
  <c r="J57" i="1"/>
  <c r="G213" i="1"/>
  <c r="AI327" i="2"/>
  <c r="AI285" i="2"/>
  <c r="AE288" i="2"/>
  <c r="AE295" i="2" s="1"/>
  <c r="AE283" i="2"/>
  <c r="J57" i="2"/>
  <c r="J22" i="2"/>
  <c r="J20" i="2"/>
  <c r="B57" i="2"/>
  <c r="B20" i="2"/>
  <c r="E196" i="1"/>
  <c r="I57" i="1"/>
  <c r="K5" i="2"/>
  <c r="BL75" i="1"/>
  <c r="K6" i="2" s="1"/>
  <c r="N327" i="2"/>
  <c r="N285" i="2"/>
  <c r="F327" i="2"/>
  <c r="F326" i="2" s="1"/>
  <c r="F285" i="2"/>
  <c r="O288" i="2"/>
  <c r="O283" i="2"/>
  <c r="G288" i="2"/>
  <c r="G287" i="2" s="1"/>
  <c r="G283" i="2"/>
  <c r="H196" i="1"/>
  <c r="BO41" i="1"/>
  <c r="C73" i="1"/>
  <c r="C85" i="1"/>
  <c r="C32" i="1"/>
  <c r="C45" i="1"/>
  <c r="BH86" i="1"/>
  <c r="BH73" i="1"/>
  <c r="BH70" i="1"/>
  <c r="BH85" i="1"/>
  <c r="BH32" i="1"/>
  <c r="BH45" i="1"/>
  <c r="BN41" i="1"/>
  <c r="K85" i="1"/>
  <c r="K32" i="1"/>
  <c r="K45" i="1"/>
  <c r="O235" i="2"/>
  <c r="O196" i="2"/>
  <c r="X85" i="1"/>
  <c r="X32" i="1"/>
  <c r="X45" i="1"/>
  <c r="BI86" i="1"/>
  <c r="BI70" i="1"/>
  <c r="BI85" i="1"/>
  <c r="BI73" i="1"/>
  <c r="BI32" i="1"/>
  <c r="BI45" i="1"/>
  <c r="AS86" i="1"/>
  <c r="AS70" i="1"/>
  <c r="AS85" i="1"/>
  <c r="AS73" i="1"/>
  <c r="AS32" i="1"/>
  <c r="AS45" i="1"/>
  <c r="AC85" i="1"/>
  <c r="AC73" i="1"/>
  <c r="AC32" i="1"/>
  <c r="AC45" i="1"/>
  <c r="AV73" i="1"/>
  <c r="AV70" i="1"/>
  <c r="AV86" i="1"/>
  <c r="AV85" i="1"/>
  <c r="AV32" i="1"/>
  <c r="AV45" i="1"/>
  <c r="S50" i="2" l="1"/>
  <c r="AK94" i="2"/>
  <c r="AJ86" i="2"/>
  <c r="AJ94" i="2"/>
  <c r="AN190" i="2"/>
  <c r="O266" i="2"/>
  <c r="N213" i="1"/>
  <c r="P180" i="1"/>
  <c r="M259" i="2"/>
  <c r="M273" i="2" s="1"/>
  <c r="M40" i="2"/>
  <c r="Q20" i="2"/>
  <c r="U28" i="2"/>
  <c r="F259" i="2"/>
  <c r="F40" i="2"/>
  <c r="F30" i="2"/>
  <c r="W28" i="2"/>
  <c r="AV87" i="1"/>
  <c r="AV74" i="1"/>
  <c r="AV48" i="1"/>
  <c r="AC87" i="1"/>
  <c r="AC74" i="1"/>
  <c r="AC48" i="1"/>
  <c r="AC86" i="1" s="1"/>
  <c r="AS87" i="1"/>
  <c r="AS74" i="1"/>
  <c r="AS48" i="1"/>
  <c r="X87" i="1"/>
  <c r="X48" i="1"/>
  <c r="X86" i="1" s="1"/>
  <c r="C31" i="1"/>
  <c r="C34" i="1"/>
  <c r="AH259" i="2"/>
  <c r="AH40" i="2"/>
  <c r="AH32" i="2" s="1"/>
  <c r="AH30" i="2"/>
  <c r="Z85" i="1"/>
  <c r="Z73" i="1"/>
  <c r="Z45" i="1"/>
  <c r="Z32" i="1"/>
  <c r="D259" i="2"/>
  <c r="D273" i="2" s="1"/>
  <c r="D40" i="2"/>
  <c r="D32" i="2" s="1"/>
  <c r="BO85" i="1"/>
  <c r="BO86" i="1"/>
  <c r="BO73" i="1"/>
  <c r="BO70" i="1"/>
  <c r="BO32" i="1"/>
  <c r="BO45" i="1"/>
  <c r="AE314" i="2"/>
  <c r="AE312" i="2"/>
  <c r="I182" i="1"/>
  <c r="I180" i="1"/>
  <c r="X16" i="2"/>
  <c r="O253" i="2"/>
  <c r="O267" i="2" s="1"/>
  <c r="O240" i="2"/>
  <c r="R254" i="2"/>
  <c r="R241" i="2"/>
  <c r="Q16" i="2"/>
  <c r="AN256" i="2"/>
  <c r="O175" i="2"/>
  <c r="O183" i="2" s="1"/>
  <c r="O143" i="2"/>
  <c r="O372" i="2" s="1"/>
  <c r="AO333" i="2"/>
  <c r="AO337" i="2"/>
  <c r="AK44" i="2"/>
  <c r="Y52" i="2"/>
  <c r="BL31" i="1"/>
  <c r="BL34" i="1"/>
  <c r="BM87" i="1"/>
  <c r="L8" i="2" s="1"/>
  <c r="BM74" i="1"/>
  <c r="BM48" i="1"/>
  <c r="AN31" i="1"/>
  <c r="AN34" i="1"/>
  <c r="K171" i="1"/>
  <c r="K60" i="1"/>
  <c r="K52" i="1" s="1"/>
  <c r="AF31" i="1"/>
  <c r="AF34" i="1"/>
  <c r="AH5" i="2"/>
  <c r="N75" i="1"/>
  <c r="AH6" i="2" s="1"/>
  <c r="N57" i="1"/>
  <c r="BJ86" i="1"/>
  <c r="BJ85" i="1"/>
  <c r="BJ73" i="1"/>
  <c r="BJ70" i="1"/>
  <c r="BJ45" i="1"/>
  <c r="BJ32" i="1"/>
  <c r="AL84" i="2"/>
  <c r="AL92" i="2"/>
  <c r="L72" i="2"/>
  <c r="L84" i="2" s="1"/>
  <c r="K72" i="2"/>
  <c r="K84" i="2" s="1"/>
  <c r="J72" i="2"/>
  <c r="J84" i="2" s="1"/>
  <c r="M72" i="2"/>
  <c r="M84" i="2" s="1"/>
  <c r="J36" i="2"/>
  <c r="J26" i="2"/>
  <c r="AL16" i="2"/>
  <c r="R51" i="2"/>
  <c r="P268" i="2"/>
  <c r="L36" i="2"/>
  <c r="L26" i="2"/>
  <c r="P53" i="2"/>
  <c r="AM53" i="2" s="1"/>
  <c r="I36" i="2"/>
  <c r="I26" i="2"/>
  <c r="P240" i="2"/>
  <c r="O167" i="2"/>
  <c r="O191" i="2" s="1"/>
  <c r="AM191" i="2" s="1"/>
  <c r="AK353" i="2"/>
  <c r="J85" i="1"/>
  <c r="J32" i="1"/>
  <c r="J45" i="1"/>
  <c r="AK31" i="1"/>
  <c r="AK34" i="1"/>
  <c r="BA87" i="1"/>
  <c r="BA74" i="1"/>
  <c r="BA48" i="1"/>
  <c r="AZ31" i="1"/>
  <c r="AZ34" i="1"/>
  <c r="BD31" i="1"/>
  <c r="BD34" i="1"/>
  <c r="AX86" i="1"/>
  <c r="AX85" i="1"/>
  <c r="AX73" i="1"/>
  <c r="AX70" i="1"/>
  <c r="AX45" i="1"/>
  <c r="AX32" i="1"/>
  <c r="AQ85" i="1"/>
  <c r="AQ73" i="1"/>
  <c r="AQ70" i="1"/>
  <c r="AQ32" i="1"/>
  <c r="AQ45" i="1"/>
  <c r="AI314" i="2"/>
  <c r="AI312" i="2"/>
  <c r="Q180" i="1"/>
  <c r="Q182" i="1"/>
  <c r="X228" i="2"/>
  <c r="X110" i="2"/>
  <c r="X88" i="2"/>
  <c r="X96" i="2"/>
  <c r="X157" i="2"/>
  <c r="AN92" i="2"/>
  <c r="AN84" i="2"/>
  <c r="T72" i="2"/>
  <c r="T84" i="2" s="1"/>
  <c r="S72" i="2"/>
  <c r="S84" i="2" s="1"/>
  <c r="R72" i="2"/>
  <c r="R84" i="2" s="1"/>
  <c r="U72" i="2"/>
  <c r="U84" i="2" s="1"/>
  <c r="T268" i="2"/>
  <c r="AR87" i="1"/>
  <c r="AR74" i="1"/>
  <c r="AR48" i="1"/>
  <c r="AR86" i="1" s="1"/>
  <c r="AH295" i="2"/>
  <c r="AG259" i="2"/>
  <c r="AG40" i="2"/>
  <c r="AG32" i="2" s="1"/>
  <c r="AG30" i="2"/>
  <c r="G259" i="2"/>
  <c r="G273" i="2" s="1"/>
  <c r="G40" i="2"/>
  <c r="G32" i="2" s="1"/>
  <c r="G30" i="2"/>
  <c r="BB86" i="1"/>
  <c r="BB85" i="1"/>
  <c r="BB73" i="1"/>
  <c r="BB70" i="1"/>
  <c r="BB45" i="1"/>
  <c r="BB32" i="1"/>
  <c r="AU85" i="1"/>
  <c r="AU73" i="1"/>
  <c r="AU70" i="1"/>
  <c r="AU86" i="1"/>
  <c r="AU32" i="1"/>
  <c r="AU45" i="1"/>
  <c r="S47" i="1"/>
  <c r="S133" i="1"/>
  <c r="U246" i="1"/>
  <c r="U224" i="1"/>
  <c r="U147" i="1"/>
  <c r="U103" i="1"/>
  <c r="D180" i="1"/>
  <c r="T253" i="2"/>
  <c r="T267" i="2" s="1"/>
  <c r="T240" i="2"/>
  <c r="AO188" i="2"/>
  <c r="T16" i="2"/>
  <c r="AK269" i="2"/>
  <c r="AK242" i="2"/>
  <c r="AK230" i="2"/>
  <c r="AK206" i="2" s="1"/>
  <c r="T230" i="2"/>
  <c r="T112" i="2"/>
  <c r="T167" i="2"/>
  <c r="T191" i="2" s="1"/>
  <c r="T187" i="2" s="1"/>
  <c r="T98" i="2"/>
  <c r="T159" i="2"/>
  <c r="V257" i="2"/>
  <c r="V244" i="2"/>
  <c r="J267" i="2"/>
  <c r="AK214" i="2"/>
  <c r="AO331" i="2"/>
  <c r="P48" i="2"/>
  <c r="X229" i="2"/>
  <c r="X97" i="2"/>
  <c r="X111" i="2"/>
  <c r="X158" i="2"/>
  <c r="X166" i="2" s="1"/>
  <c r="X190" i="2" s="1"/>
  <c r="AC31" i="1"/>
  <c r="AC34" i="1"/>
  <c r="AS31" i="1"/>
  <c r="AS34" i="1"/>
  <c r="X31" i="1"/>
  <c r="X34" i="1"/>
  <c r="K87" i="1"/>
  <c r="AE8" i="2" s="1"/>
  <c r="K74" i="1"/>
  <c r="K70" i="1"/>
  <c r="K48" i="1"/>
  <c r="BH87" i="1"/>
  <c r="G8" i="2" s="1"/>
  <c r="BH74" i="1"/>
  <c r="BH48" i="1"/>
  <c r="B259" i="2"/>
  <c r="B40" i="2"/>
  <c r="B32" i="2" s="1"/>
  <c r="AI340" i="2"/>
  <c r="AI364" i="2"/>
  <c r="AI363" i="2"/>
  <c r="AI362" i="2"/>
  <c r="AI361" i="2"/>
  <c r="AI360" i="2"/>
  <c r="AI359" i="2"/>
  <c r="AI358" i="2"/>
  <c r="AI357" i="2"/>
  <c r="AI356" i="2"/>
  <c r="AI355" i="2"/>
  <c r="AI354" i="2"/>
  <c r="AP85" i="1"/>
  <c r="AP73" i="1"/>
  <c r="AP70" i="1"/>
  <c r="AP45" i="1"/>
  <c r="AP32" i="1"/>
  <c r="AF364" i="2"/>
  <c r="AF363" i="2"/>
  <c r="AF362" i="2"/>
  <c r="AF361" i="2"/>
  <c r="AF360" i="2"/>
  <c r="AF359" i="2"/>
  <c r="AF358" i="2"/>
  <c r="AF357" i="2"/>
  <c r="AF356" i="2"/>
  <c r="AF355" i="2"/>
  <c r="AF354" i="2"/>
  <c r="AI259" i="2"/>
  <c r="AI40" i="2"/>
  <c r="AI32" i="2" s="1"/>
  <c r="AI30" i="2"/>
  <c r="L259" i="2"/>
  <c r="L273" i="2" s="1"/>
  <c r="L40" i="2"/>
  <c r="P20" i="2"/>
  <c r="H180" i="1"/>
  <c r="S253" i="2"/>
  <c r="S240" i="2"/>
  <c r="J266" i="2"/>
  <c r="AL252" i="2"/>
  <c r="R16" i="2"/>
  <c r="M255" i="2"/>
  <c r="M269" i="2" s="1"/>
  <c r="M242" i="2"/>
  <c r="Y177" i="2"/>
  <c r="Y185" i="2" s="1"/>
  <c r="Y145" i="2"/>
  <c r="Y374" i="2" s="1"/>
  <c r="U270" i="2"/>
  <c r="AO338" i="2"/>
  <c r="S254" i="2"/>
  <c r="S268" i="2" s="1"/>
  <c r="S241" i="2"/>
  <c r="H36" i="2"/>
  <c r="H26" i="2"/>
  <c r="F37" i="2"/>
  <c r="AK17" i="2"/>
  <c r="J27" i="2"/>
  <c r="AO192" i="2"/>
  <c r="AM229" i="2"/>
  <c r="AM205" i="2" s="1"/>
  <c r="BM31" i="1"/>
  <c r="BM34" i="1"/>
  <c r="O87" i="1"/>
  <c r="AI8" i="2" s="1"/>
  <c r="O48" i="1"/>
  <c r="AG5" i="2"/>
  <c r="M75" i="1"/>
  <c r="AG6" i="2" s="1"/>
  <c r="M57" i="1"/>
  <c r="E20" i="2"/>
  <c r="AG312" i="2"/>
  <c r="AG323" i="2" s="1"/>
  <c r="AG314" i="2"/>
  <c r="C259" i="2"/>
  <c r="C273" i="2" s="1"/>
  <c r="C40" i="2"/>
  <c r="C32" i="2" s="1"/>
  <c r="AF295" i="2"/>
  <c r="W85" i="1"/>
  <c r="W32" i="1"/>
  <c r="W45" i="1"/>
  <c r="AM85" i="1"/>
  <c r="AM73" i="1"/>
  <c r="AM70" i="1"/>
  <c r="AM32" i="1"/>
  <c r="AM45" i="1"/>
  <c r="T225" i="1"/>
  <c r="U150" i="1"/>
  <c r="M180" i="1"/>
  <c r="M182" i="1"/>
  <c r="AL44" i="2"/>
  <c r="V50" i="2"/>
  <c r="X266" i="2"/>
  <c r="R228" i="2"/>
  <c r="R96" i="2"/>
  <c r="R110" i="2"/>
  <c r="R88" i="2"/>
  <c r="R157" i="2"/>
  <c r="N38" i="2"/>
  <c r="W266" i="2"/>
  <c r="O255" i="2"/>
  <c r="O242" i="2"/>
  <c r="O16" i="2"/>
  <c r="BA31" i="1"/>
  <c r="BA34" i="1"/>
  <c r="G87" i="1"/>
  <c r="G48" i="1"/>
  <c r="G86" i="1" s="1"/>
  <c r="AE364" i="2"/>
  <c r="AE363" i="2"/>
  <c r="AE362" i="2"/>
  <c r="AE361" i="2"/>
  <c r="AE360" i="2"/>
  <c r="AE359" i="2"/>
  <c r="AE358" i="2"/>
  <c r="AE357" i="2"/>
  <c r="AE356" i="2"/>
  <c r="AE355" i="2"/>
  <c r="AE354" i="2"/>
  <c r="BN86" i="1"/>
  <c r="BN85" i="1"/>
  <c r="BN73" i="1"/>
  <c r="BN70" i="1"/>
  <c r="BN45" i="1"/>
  <c r="BN32" i="1"/>
  <c r="BG85" i="1"/>
  <c r="BG73" i="1"/>
  <c r="BG70" i="1"/>
  <c r="BG86" i="1"/>
  <c r="BG32" i="1"/>
  <c r="BG45" i="1"/>
  <c r="U216" i="1"/>
  <c r="R266" i="2"/>
  <c r="AN252" i="2"/>
  <c r="Q266" i="2"/>
  <c r="AJ87" i="1"/>
  <c r="AJ74" i="1"/>
  <c r="AJ48" i="1"/>
  <c r="AJ86" i="1" s="1"/>
  <c r="AO87" i="1"/>
  <c r="AO74" i="1"/>
  <c r="AO48" i="1"/>
  <c r="AO86" i="1" s="1"/>
  <c r="BP87" i="1"/>
  <c r="O8" i="2" s="1"/>
  <c r="BP74" i="1"/>
  <c r="AR31" i="1"/>
  <c r="AR34" i="1"/>
  <c r="AC314" i="2"/>
  <c r="BK85" i="1"/>
  <c r="BK73" i="1"/>
  <c r="BK86" i="1"/>
  <c r="BK70" i="1"/>
  <c r="BK32" i="1"/>
  <c r="BK45" i="1"/>
  <c r="S134" i="1"/>
  <c r="S132" i="1" s="1"/>
  <c r="T185" i="1"/>
  <c r="V228" i="2"/>
  <c r="V96" i="2"/>
  <c r="V110" i="2"/>
  <c r="V88" i="2"/>
  <c r="V157" i="2"/>
  <c r="AM92" i="2"/>
  <c r="AM84" i="2"/>
  <c r="P72" i="2"/>
  <c r="P84" i="2" s="1"/>
  <c r="P92" i="2" s="1"/>
  <c r="O72" i="2"/>
  <c r="O84" i="2" s="1"/>
  <c r="O92" i="2" s="1"/>
  <c r="N72" i="2"/>
  <c r="N84" i="2" s="1"/>
  <c r="N92" i="2" s="1"/>
  <c r="Q72" i="2"/>
  <c r="Q84" i="2" s="1"/>
  <c r="Q92" i="2" s="1"/>
  <c r="N266" i="2"/>
  <c r="AO112" i="2"/>
  <c r="AO98" i="2"/>
  <c r="X78" i="2"/>
  <c r="W78" i="2"/>
  <c r="Y78" i="2"/>
  <c r="P242" i="2"/>
  <c r="P255" i="2"/>
  <c r="P269" i="2" s="1"/>
  <c r="S16" i="2"/>
  <c r="AM50" i="2"/>
  <c r="AM268" i="2" s="1"/>
  <c r="Q257" i="2"/>
  <c r="Q271" i="2" s="1"/>
  <c r="Y257" i="2"/>
  <c r="Y244" i="2"/>
  <c r="E224" i="2"/>
  <c r="F200" i="2"/>
  <c r="AO213" i="2"/>
  <c r="B266" i="2"/>
  <c r="AJ252" i="2"/>
  <c r="AM193" i="2"/>
  <c r="M241" i="1"/>
  <c r="M243" i="1" s="1"/>
  <c r="M85" i="1"/>
  <c r="M32" i="1"/>
  <c r="M45" i="1"/>
  <c r="N36" i="2"/>
  <c r="N26" i="2"/>
  <c r="AO48" i="2"/>
  <c r="V16" i="2"/>
  <c r="F267" i="2"/>
  <c r="AK253" i="2"/>
  <c r="AN50" i="2"/>
  <c r="K38" i="2"/>
  <c r="AL18" i="2"/>
  <c r="M36" i="2"/>
  <c r="M32" i="2" s="1"/>
  <c r="M26" i="2"/>
  <c r="Y16" i="2"/>
  <c r="W16" i="2"/>
  <c r="AL241" i="2"/>
  <c r="AL229" i="2"/>
  <c r="AL205" i="2" s="1"/>
  <c r="AL217" i="2" s="1"/>
  <c r="K255" i="2"/>
  <c r="K269" i="2" s="1"/>
  <c r="K242" i="2"/>
  <c r="V256" i="2"/>
  <c r="V243" i="2"/>
  <c r="AG87" i="1"/>
  <c r="AG74" i="1"/>
  <c r="AG48" i="1"/>
  <c r="AG86" i="1" s="1"/>
  <c r="AW87" i="1"/>
  <c r="AW74" i="1"/>
  <c r="AW48" i="1"/>
  <c r="O34" i="1"/>
  <c r="AD295" i="2"/>
  <c r="AH340" i="2"/>
  <c r="AH364" i="2"/>
  <c r="AH363" i="2"/>
  <c r="AH362" i="2"/>
  <c r="AH361" i="2"/>
  <c r="AH360" i="2"/>
  <c r="AH359" i="2"/>
  <c r="AH358" i="2"/>
  <c r="AH357" i="2"/>
  <c r="AH356" i="2"/>
  <c r="AH355" i="2"/>
  <c r="AH354" i="2"/>
  <c r="N171" i="1"/>
  <c r="N60" i="1"/>
  <c r="N52" i="1" s="1"/>
  <c r="K259" i="2"/>
  <c r="K273" i="2" s="1"/>
  <c r="K40" i="2"/>
  <c r="D85" i="1"/>
  <c r="D73" i="1"/>
  <c r="D45" i="1"/>
  <c r="D32" i="1"/>
  <c r="AD85" i="1"/>
  <c r="AD73" i="1"/>
  <c r="AD45" i="1"/>
  <c r="AD32" i="1"/>
  <c r="BC86" i="1"/>
  <c r="BC85" i="1"/>
  <c r="BC73" i="1"/>
  <c r="BC70" i="1"/>
  <c r="BC32" i="1"/>
  <c r="BC45" i="1"/>
  <c r="D302" i="2"/>
  <c r="K37" i="2"/>
  <c r="K32" i="2" s="1"/>
  <c r="K27" i="2"/>
  <c r="AL17" i="2"/>
  <c r="N255" i="2"/>
  <c r="N242" i="2"/>
  <c r="Q253" i="2"/>
  <c r="Q240" i="2"/>
  <c r="U268" i="2"/>
  <c r="G31" i="1"/>
  <c r="G34" i="1"/>
  <c r="AB87" i="1"/>
  <c r="AB74" i="1"/>
  <c r="AB48" i="1"/>
  <c r="AB86" i="1" s="1"/>
  <c r="AG295" i="2"/>
  <c r="E326" i="2"/>
  <c r="W228" i="2"/>
  <c r="W110" i="2"/>
  <c r="W88" i="2"/>
  <c r="W96" i="2"/>
  <c r="W157" i="2"/>
  <c r="W165" i="2" s="1"/>
  <c r="W189" i="2" s="1"/>
  <c r="AO92" i="2"/>
  <c r="AO84" i="2"/>
  <c r="X72" i="2"/>
  <c r="X84" i="2" s="1"/>
  <c r="X92" i="2" s="1"/>
  <c r="W72" i="2"/>
  <c r="W84" i="2" s="1"/>
  <c r="W92" i="2" s="1"/>
  <c r="V72" i="2"/>
  <c r="V84" i="2" s="1"/>
  <c r="V92" i="2" s="1"/>
  <c r="Y72" i="2"/>
  <c r="Y84" i="2" s="1"/>
  <c r="Y92" i="2" s="1"/>
  <c r="C260" i="2"/>
  <c r="AM192" i="2"/>
  <c r="O52" i="2"/>
  <c r="O256" i="2"/>
  <c r="AJ31" i="1"/>
  <c r="AJ34" i="1"/>
  <c r="Y87" i="1"/>
  <c r="Y48" i="1"/>
  <c r="Y86" i="1" s="1"/>
  <c r="AO31" i="1"/>
  <c r="AO34" i="1"/>
  <c r="BE87" i="1"/>
  <c r="D8" i="2" s="1"/>
  <c r="BE74" i="1"/>
  <c r="BE48" i="1"/>
  <c r="BP31" i="1"/>
  <c r="BP34" i="1"/>
  <c r="I20" i="2"/>
  <c r="L241" i="1"/>
  <c r="L243" i="1" s="1"/>
  <c r="L85" i="1"/>
  <c r="L45" i="1"/>
  <c r="L32" i="1"/>
  <c r="T177" i="1"/>
  <c r="S131" i="1"/>
  <c r="U253" i="2"/>
  <c r="U240" i="2"/>
  <c r="Q255" i="2"/>
  <c r="Q269" i="2" s="1"/>
  <c r="Q242" i="2"/>
  <c r="P252" i="2"/>
  <c r="P266" i="2" s="1"/>
  <c r="Q187" i="2"/>
  <c r="AM188" i="2"/>
  <c r="O187" i="2"/>
  <c r="U230" i="2"/>
  <c r="V78" i="2"/>
  <c r="U98" i="2"/>
  <c r="U112" i="2"/>
  <c r="U159" i="2"/>
  <c r="S257" i="2"/>
  <c r="S271" i="2" s="1"/>
  <c r="R177" i="2"/>
  <c r="R185" i="2" s="1"/>
  <c r="R145" i="2"/>
  <c r="R374" i="2" s="1"/>
  <c r="D249" i="2"/>
  <c r="D236" i="2"/>
  <c r="AM213" i="2"/>
  <c r="AO214" i="2"/>
  <c r="Y229" i="2"/>
  <c r="Y97" i="2"/>
  <c r="Y111" i="2"/>
  <c r="Y158" i="2"/>
  <c r="Y166" i="2" s="1"/>
  <c r="Y190" i="2" s="1"/>
  <c r="R169" i="2"/>
  <c r="R193" i="2" s="1"/>
  <c r="AN193" i="2" s="1"/>
  <c r="O268" i="2"/>
  <c r="BI87" i="1"/>
  <c r="H8" i="2" s="1"/>
  <c r="BI74" i="1"/>
  <c r="BI48" i="1"/>
  <c r="K31" i="1"/>
  <c r="K34" i="1"/>
  <c r="BH31" i="1"/>
  <c r="BH34" i="1"/>
  <c r="BF86" i="1"/>
  <c r="BF85" i="1"/>
  <c r="BF73" i="1"/>
  <c r="BF70" i="1"/>
  <c r="BF45" i="1"/>
  <c r="BF32" i="1"/>
  <c r="AI85" i="1"/>
  <c r="AI73" i="1"/>
  <c r="AI32" i="1"/>
  <c r="AI45" i="1"/>
  <c r="AG340" i="2"/>
  <c r="AG362" i="2"/>
  <c r="AG358" i="2"/>
  <c r="AG354" i="2"/>
  <c r="AG363" i="2"/>
  <c r="AG359" i="2"/>
  <c r="AG355" i="2"/>
  <c r="AG364" i="2"/>
  <c r="AG360" i="2"/>
  <c r="AG356" i="2"/>
  <c r="AG361" i="2"/>
  <c r="AG357" i="2"/>
  <c r="AV31" i="1"/>
  <c r="AV34" i="1"/>
  <c r="BI31" i="1"/>
  <c r="BI34" i="1"/>
  <c r="C87" i="1"/>
  <c r="C74" i="1"/>
  <c r="C70" i="1"/>
  <c r="C48" i="1"/>
  <c r="C86" i="1" s="1"/>
  <c r="J259" i="2"/>
  <c r="J40" i="2"/>
  <c r="AL20" i="2"/>
  <c r="AH312" i="2"/>
  <c r="AH323" i="2" s="1"/>
  <c r="AH314" i="2"/>
  <c r="AY85" i="1"/>
  <c r="AY86" i="1"/>
  <c r="AY73" i="1"/>
  <c r="AY70" i="1"/>
  <c r="AY32" i="1"/>
  <c r="AY45" i="1"/>
  <c r="N235" i="2"/>
  <c r="N196" i="2"/>
  <c r="S49" i="2"/>
  <c r="K253" i="2"/>
  <c r="K267" i="2" s="1"/>
  <c r="K240" i="2"/>
  <c r="P173" i="2"/>
  <c r="P181" i="2" s="1"/>
  <c r="P141" i="2"/>
  <c r="P370" i="2" s="1"/>
  <c r="P368" i="2" s="1"/>
  <c r="P377" i="2" s="1"/>
  <c r="P379" i="2" s="1"/>
  <c r="J269" i="2"/>
  <c r="AL255" i="2"/>
  <c r="F36" i="2"/>
  <c r="F32" i="2" s="1"/>
  <c r="F26" i="2"/>
  <c r="AK16" i="2"/>
  <c r="V266" i="2"/>
  <c r="AO252" i="2"/>
  <c r="V52" i="2"/>
  <c r="Y256" i="2"/>
  <c r="Y270" i="2" s="1"/>
  <c r="Y243" i="2"/>
  <c r="BL87" i="1"/>
  <c r="K8" i="2" s="1"/>
  <c r="BL74" i="1"/>
  <c r="BL48" i="1"/>
  <c r="F73" i="1"/>
  <c r="F85" i="1"/>
  <c r="F32" i="1"/>
  <c r="F45" i="1"/>
  <c r="G74" i="1" s="1"/>
  <c r="AG31" i="1"/>
  <c r="AG34" i="1"/>
  <c r="AW31" i="1"/>
  <c r="AW34" i="1"/>
  <c r="AN87" i="1"/>
  <c r="AN74" i="1"/>
  <c r="AN48" i="1"/>
  <c r="AN86" i="1" s="1"/>
  <c r="AF87" i="1"/>
  <c r="AF74" i="1"/>
  <c r="AF48" i="1"/>
  <c r="AF86" i="1" s="1"/>
  <c r="I303" i="2"/>
  <c r="F302" i="2"/>
  <c r="O202" i="1"/>
  <c r="O121" i="1"/>
  <c r="O67" i="1"/>
  <c r="O77" i="1"/>
  <c r="O51" i="1"/>
  <c r="O58" i="1" s="1"/>
  <c r="O59" i="1" s="1"/>
  <c r="O29" i="1"/>
  <c r="O50" i="1"/>
  <c r="O27" i="1"/>
  <c r="O208" i="1" s="1"/>
  <c r="O5" i="1"/>
  <c r="P4" i="1"/>
  <c r="AT86" i="1"/>
  <c r="AT85" i="1"/>
  <c r="AT73" i="1"/>
  <c r="AT70" i="1"/>
  <c r="AT45" i="1"/>
  <c r="AT32" i="1"/>
  <c r="D326" i="2"/>
  <c r="T223" i="1"/>
  <c r="U151" i="1"/>
  <c r="F266" i="2"/>
  <c r="AK252" i="2"/>
  <c r="V254" i="2"/>
  <c r="V241" i="2"/>
  <c r="R255" i="2"/>
  <c r="R242" i="2"/>
  <c r="N267" i="2"/>
  <c r="X270" i="2"/>
  <c r="T18" i="2"/>
  <c r="X28" i="2" s="1"/>
  <c r="P165" i="2"/>
  <c r="P189" i="2" s="1"/>
  <c r="AM189" i="2" s="1"/>
  <c r="Q49" i="2"/>
  <c r="Q17" i="2" s="1"/>
  <c r="P52" i="2"/>
  <c r="P18" i="2" s="1"/>
  <c r="P256" i="2"/>
  <c r="T271" i="2"/>
  <c r="O51" i="2"/>
  <c r="O17" i="2" s="1"/>
  <c r="AK87" i="1"/>
  <c r="AK74" i="1"/>
  <c r="AK48" i="1"/>
  <c r="AK86" i="1" s="1"/>
  <c r="AZ87" i="1"/>
  <c r="AZ74" i="1"/>
  <c r="AZ48" i="1"/>
  <c r="AB31" i="1"/>
  <c r="AB34" i="1"/>
  <c r="BD87" i="1"/>
  <c r="C8" i="2" s="1"/>
  <c r="BD74" i="1"/>
  <c r="BD48" i="1"/>
  <c r="B326" i="2"/>
  <c r="H85" i="1"/>
  <c r="H73" i="1"/>
  <c r="H45" i="1"/>
  <c r="H32" i="1"/>
  <c r="AH85" i="1"/>
  <c r="AH73" i="1"/>
  <c r="AH45" i="1"/>
  <c r="AH32" i="1"/>
  <c r="H20" i="2"/>
  <c r="AK20" i="2" s="1"/>
  <c r="E85" i="1"/>
  <c r="E73" i="1"/>
  <c r="E32" i="1"/>
  <c r="E45" i="1"/>
  <c r="AA85" i="1"/>
  <c r="AA73" i="1"/>
  <c r="AA32" i="1"/>
  <c r="AA45" i="1"/>
  <c r="U218" i="1"/>
  <c r="T220" i="1"/>
  <c r="Y228" i="2"/>
  <c r="Y96" i="2"/>
  <c r="Y110" i="2"/>
  <c r="Y88" i="2"/>
  <c r="Y157" i="2"/>
  <c r="Y266" i="2"/>
  <c r="N241" i="1"/>
  <c r="N243" i="1" s="1"/>
  <c r="N85" i="1"/>
  <c r="N32" i="1"/>
  <c r="N45" i="1"/>
  <c r="O70" i="1" s="1"/>
  <c r="Y31" i="1"/>
  <c r="Y34" i="1"/>
  <c r="BE31" i="1"/>
  <c r="BE34" i="1"/>
  <c r="AF259" i="2"/>
  <c r="AF40" i="2"/>
  <c r="AF32" i="2" s="1"/>
  <c r="B302" i="2"/>
  <c r="AL85" i="1"/>
  <c r="AL73" i="1"/>
  <c r="AL70" i="1"/>
  <c r="AL45" i="1"/>
  <c r="AL32" i="1"/>
  <c r="C302" i="2"/>
  <c r="I85" i="1"/>
  <c r="I32" i="1"/>
  <c r="I45" i="1"/>
  <c r="AE85" i="1"/>
  <c r="AE73" i="1"/>
  <c r="AE32" i="1"/>
  <c r="AE45" i="1"/>
  <c r="S46" i="1"/>
  <c r="S130" i="1"/>
  <c r="E180" i="1"/>
  <c r="E182" i="1"/>
  <c r="U49" i="2"/>
  <c r="AK92" i="2"/>
  <c r="AK84" i="2"/>
  <c r="H72" i="2"/>
  <c r="H84" i="2" s="1"/>
  <c r="H92" i="2" s="1"/>
  <c r="G72" i="2"/>
  <c r="G84" i="2" s="1"/>
  <c r="G92" i="2" s="1"/>
  <c r="F72" i="2"/>
  <c r="F84" i="2" s="1"/>
  <c r="F92" i="2" s="1"/>
  <c r="I72" i="2"/>
  <c r="I84" i="2" s="1"/>
  <c r="I92" i="2" s="1"/>
  <c r="AN188" i="2"/>
  <c r="N17" i="2"/>
  <c r="N20" i="2" s="1"/>
  <c r="U48" i="2"/>
  <c r="AN48" i="2" s="1"/>
  <c r="S230" i="2"/>
  <c r="S112" i="2"/>
  <c r="S98" i="2"/>
  <c r="S159" i="2"/>
  <c r="S167" i="2" s="1"/>
  <c r="S191" i="2" s="1"/>
  <c r="AO193" i="2"/>
  <c r="O368" i="2"/>
  <c r="O377" i="2" s="1"/>
  <c r="O379" i="2" s="1"/>
  <c r="Y53" i="2"/>
  <c r="AO53" i="2" s="1"/>
  <c r="AK213" i="2"/>
  <c r="AM214" i="2"/>
  <c r="AL340" i="2"/>
  <c r="AL358" i="2"/>
  <c r="AL355" i="2"/>
  <c r="AL354" i="2"/>
  <c r="AL359" i="2"/>
  <c r="AL357" i="2"/>
  <c r="AL363" i="2"/>
  <c r="AL356" i="2"/>
  <c r="AL364" i="2"/>
  <c r="AL361" i="2"/>
  <c r="AL362" i="2"/>
  <c r="AN334" i="2"/>
  <c r="AM360" i="2"/>
  <c r="AM327" i="2"/>
  <c r="W229" i="2"/>
  <c r="W111" i="2"/>
  <c r="W97" i="2"/>
  <c r="W158" i="2"/>
  <c r="W166" i="2" s="1"/>
  <c r="W190" i="2" s="1"/>
  <c r="AO190" i="2" s="1"/>
  <c r="R257" i="2"/>
  <c r="R244" i="2"/>
  <c r="R52" i="2"/>
  <c r="W50" i="2" l="1"/>
  <c r="N259" i="2"/>
  <c r="N40" i="2"/>
  <c r="R20" i="2"/>
  <c r="S187" i="2"/>
  <c r="S206" i="1"/>
  <c r="BP46" i="1"/>
  <c r="BO46" i="1"/>
  <c r="BR46" i="1"/>
  <c r="BQ46" i="1"/>
  <c r="AO334" i="2"/>
  <c r="AE87" i="1"/>
  <c r="AE74" i="1"/>
  <c r="AE48" i="1"/>
  <c r="AE86" i="1" s="1"/>
  <c r="AN52" i="2"/>
  <c r="AM340" i="2"/>
  <c r="AM358" i="2"/>
  <c r="AM355" i="2"/>
  <c r="AM354" i="2"/>
  <c r="Q327" i="2"/>
  <c r="Q280" i="2" s="1"/>
  <c r="P327" i="2"/>
  <c r="P280" i="2" s="1"/>
  <c r="AM362" i="2"/>
  <c r="AM361" i="2"/>
  <c r="AM356" i="2"/>
  <c r="AM357" i="2"/>
  <c r="AM363" i="2"/>
  <c r="AM359" i="2"/>
  <c r="AM364" i="2"/>
  <c r="Y240" i="2"/>
  <c r="AH87" i="1"/>
  <c r="AH74" i="1"/>
  <c r="AH48" i="1"/>
  <c r="AH86" i="1" s="1"/>
  <c r="H87" i="1"/>
  <c r="H74" i="1"/>
  <c r="H70" i="1"/>
  <c r="H48" i="1"/>
  <c r="H86" i="1" s="1"/>
  <c r="Q27" i="2"/>
  <c r="AK266" i="2"/>
  <c r="AK239" i="2"/>
  <c r="AK227" i="2"/>
  <c r="AK203" i="2" s="1"/>
  <c r="AT87" i="1"/>
  <c r="AT74" i="1"/>
  <c r="AT48" i="1"/>
  <c r="AI5" i="2"/>
  <c r="O75" i="1"/>
  <c r="AI6" i="2" s="1"/>
  <c r="O57" i="1"/>
  <c r="F31" i="1"/>
  <c r="F34" i="1"/>
  <c r="AO52" i="2"/>
  <c r="AO83" i="2" s="1"/>
  <c r="V18" i="2"/>
  <c r="AK26" i="2"/>
  <c r="AK12" i="2"/>
  <c r="J273" i="2"/>
  <c r="AL259" i="2"/>
  <c r="U175" i="2"/>
  <c r="U183" i="2" s="1"/>
  <c r="U143" i="2"/>
  <c r="U372" i="2" s="1"/>
  <c r="U368" i="2" s="1"/>
  <c r="U377" i="2" s="1"/>
  <c r="U379" i="2" s="1"/>
  <c r="BV37" i="1" s="1"/>
  <c r="U167" i="2"/>
  <c r="U191" i="2" s="1"/>
  <c r="U187" i="2" s="1"/>
  <c r="S137" i="1"/>
  <c r="S129" i="1"/>
  <c r="W253" i="2"/>
  <c r="W240" i="2"/>
  <c r="U266" i="2"/>
  <c r="P49" i="2"/>
  <c r="AD31" i="1"/>
  <c r="AD34" i="1"/>
  <c r="D31" i="1"/>
  <c r="D34" i="1"/>
  <c r="AH353" i="2"/>
  <c r="M31" i="1"/>
  <c r="M34" i="1"/>
  <c r="Y271" i="2"/>
  <c r="S26" i="2"/>
  <c r="Y230" i="2"/>
  <c r="Y98" i="2"/>
  <c r="Y112" i="2"/>
  <c r="Y159" i="2"/>
  <c r="V240" i="2"/>
  <c r="BK31" i="1"/>
  <c r="BK34" i="1"/>
  <c r="BG87" i="1"/>
  <c r="F8" i="2" s="1"/>
  <c r="BG74" i="1"/>
  <c r="BG48" i="1"/>
  <c r="AE353" i="2"/>
  <c r="G70" i="1"/>
  <c r="O269" i="2"/>
  <c r="R173" i="2"/>
  <c r="R181" i="2" s="1"/>
  <c r="R141" i="2"/>
  <c r="R370" i="2" s="1"/>
  <c r="R368" i="2" s="1"/>
  <c r="R377" i="2" s="1"/>
  <c r="R379" i="2" s="1"/>
  <c r="BS37" i="1" s="1"/>
  <c r="AM31" i="1"/>
  <c r="AM34" i="1"/>
  <c r="W87" i="1"/>
  <c r="W48" i="1"/>
  <c r="W86" i="1" s="1"/>
  <c r="E259" i="2"/>
  <c r="E273" i="2" s="1"/>
  <c r="E40" i="2"/>
  <c r="E32" i="2" s="1"/>
  <c r="O86" i="1"/>
  <c r="R26" i="2"/>
  <c r="B273" i="2"/>
  <c r="B260" i="2"/>
  <c r="K86" i="1"/>
  <c r="AN327" i="2"/>
  <c r="AN360" i="2" s="1"/>
  <c r="AL253" i="2"/>
  <c r="T175" i="2"/>
  <c r="T183" i="2" s="1"/>
  <c r="T143" i="2"/>
  <c r="T372" i="2" s="1"/>
  <c r="T368" i="2" s="1"/>
  <c r="T377" i="2" s="1"/>
  <c r="T379" i="2" s="1"/>
  <c r="BU37" i="1" s="1"/>
  <c r="T242" i="2"/>
  <c r="T255" i="2"/>
  <c r="AU31" i="1"/>
  <c r="AU34" i="1"/>
  <c r="AG273" i="2"/>
  <c r="AG260" i="2"/>
  <c r="S92" i="2"/>
  <c r="X173" i="2"/>
  <c r="X181" i="2" s="1"/>
  <c r="X141" i="2"/>
  <c r="X370" i="2" s="1"/>
  <c r="X165" i="2"/>
  <c r="X189" i="2" s="1"/>
  <c r="AI323" i="2"/>
  <c r="AX87" i="1"/>
  <c r="AX74" i="1"/>
  <c r="AX48" i="1"/>
  <c r="P253" i="2"/>
  <c r="AM51" i="2"/>
  <c r="AL36" i="2"/>
  <c r="AL26" i="2"/>
  <c r="AL12" i="2"/>
  <c r="L92" i="2"/>
  <c r="BJ87" i="1"/>
  <c r="I8" i="2" s="1"/>
  <c r="BJ74" i="1"/>
  <c r="BJ48" i="1"/>
  <c r="Q44" i="2"/>
  <c r="BO87" i="1"/>
  <c r="N8" i="2" s="1"/>
  <c r="BO74" i="1"/>
  <c r="Z31" i="1"/>
  <c r="Z34" i="1"/>
  <c r="Q259" i="2"/>
  <c r="Q273" i="2" s="1"/>
  <c r="U20" i="2"/>
  <c r="AF273" i="2"/>
  <c r="AF260" i="2"/>
  <c r="P270" i="2"/>
  <c r="R269" i="2"/>
  <c r="P202" i="1"/>
  <c r="P121" i="1"/>
  <c r="P67" i="1"/>
  <c r="P77" i="1"/>
  <c r="P50" i="1"/>
  <c r="P39" i="1"/>
  <c r="P36" i="1"/>
  <c r="P28" i="1"/>
  <c r="P27" i="1"/>
  <c r="P208" i="1" s="1"/>
  <c r="P19" i="1"/>
  <c r="P17" i="1"/>
  <c r="P8" i="1"/>
  <c r="P10" i="1" s="1"/>
  <c r="P5" i="1"/>
  <c r="P38" i="1"/>
  <c r="P37" i="1"/>
  <c r="P205" i="1" s="1"/>
  <c r="P26" i="1"/>
  <c r="P25" i="1"/>
  <c r="P104" i="1" s="1"/>
  <c r="P105" i="1" s="1"/>
  <c r="P24" i="1"/>
  <c r="Q4" i="1"/>
  <c r="P51" i="1"/>
  <c r="P30" i="1"/>
  <c r="P29" i="1"/>
  <c r="P207" i="1" s="1"/>
  <c r="P18" i="1"/>
  <c r="P16" i="1"/>
  <c r="P7" i="1"/>
  <c r="O207" i="1"/>
  <c r="O213" i="1" s="1"/>
  <c r="O241" i="1"/>
  <c r="O243" i="1" s="1"/>
  <c r="AG353" i="2"/>
  <c r="AI87" i="1"/>
  <c r="AI74" i="1"/>
  <c r="AI48" i="1"/>
  <c r="AI86" i="1" s="1"/>
  <c r="BF31" i="1"/>
  <c r="BF34" i="1"/>
  <c r="Y174" i="2"/>
  <c r="Y182" i="2" s="1"/>
  <c r="Y142" i="2"/>
  <c r="Y371" i="2" s="1"/>
  <c r="Y254" i="2"/>
  <c r="Y241" i="2"/>
  <c r="U51" i="2"/>
  <c r="U17" i="2" s="1"/>
  <c r="U255" i="2"/>
  <c r="U269" i="2" s="1"/>
  <c r="U242" i="2"/>
  <c r="U267" i="2"/>
  <c r="T179" i="1"/>
  <c r="T46" i="1" s="1"/>
  <c r="C274" i="2"/>
  <c r="C197" i="2"/>
  <c r="C7" i="2" s="1"/>
  <c r="AD87" i="1"/>
  <c r="AD74" i="1"/>
  <c r="AD48" i="1"/>
  <c r="AD86" i="1" s="1"/>
  <c r="D87" i="1"/>
  <c r="D74" i="1"/>
  <c r="D70" i="1"/>
  <c r="D48" i="1"/>
  <c r="D86" i="1" s="1"/>
  <c r="F224" i="2"/>
  <c r="G200" i="2"/>
  <c r="W230" i="2"/>
  <c r="W167" i="2"/>
  <c r="W191" i="2" s="1"/>
  <c r="W187" i="2" s="1"/>
  <c r="W112" i="2"/>
  <c r="W98" i="2"/>
  <c r="W159" i="2"/>
  <c r="T187" i="1"/>
  <c r="T47" i="1" s="1"/>
  <c r="BG31" i="1"/>
  <c r="BG34" i="1"/>
  <c r="O44" i="2"/>
  <c r="R240" i="2"/>
  <c r="U225" i="1"/>
  <c r="W31" i="1"/>
  <c r="W34" i="1"/>
  <c r="P259" i="2"/>
  <c r="P273" i="2" s="1"/>
  <c r="T20" i="2"/>
  <c r="AO327" i="2"/>
  <c r="T133" i="1"/>
  <c r="BB31" i="1"/>
  <c r="BB34" i="1"/>
  <c r="T92" i="2"/>
  <c r="X253" i="2"/>
  <c r="X240" i="2"/>
  <c r="M92" i="2"/>
  <c r="AN270" i="2"/>
  <c r="AN231" i="2"/>
  <c r="AN207" i="2" s="1"/>
  <c r="AN243" i="2"/>
  <c r="X26" i="2"/>
  <c r="BO31" i="1"/>
  <c r="BO34" i="1"/>
  <c r="Z87" i="1"/>
  <c r="Z74" i="1"/>
  <c r="Z48" i="1"/>
  <c r="Z86" i="1" s="1"/>
  <c r="AM257" i="2"/>
  <c r="S255" i="2"/>
  <c r="AN255" i="2" s="1"/>
  <c r="S242" i="2"/>
  <c r="AN257" i="2"/>
  <c r="I87" i="1"/>
  <c r="I70" i="1"/>
  <c r="I74" i="1"/>
  <c r="I48" i="1"/>
  <c r="N87" i="1"/>
  <c r="AH8" i="2" s="1"/>
  <c r="N74" i="1"/>
  <c r="N70" i="1"/>
  <c r="N48" i="1"/>
  <c r="H259" i="2"/>
  <c r="H273" i="2" s="1"/>
  <c r="H40" i="2"/>
  <c r="H32" i="2" s="1"/>
  <c r="U223" i="1"/>
  <c r="O171" i="1"/>
  <c r="O60" i="1"/>
  <c r="O52" i="1" s="1"/>
  <c r="AO266" i="2"/>
  <c r="AO227" i="2"/>
  <c r="AO203" i="2" s="1"/>
  <c r="AY87" i="1"/>
  <c r="AY74" i="1"/>
  <c r="AY48" i="1"/>
  <c r="AL40" i="2"/>
  <c r="AL30" i="2"/>
  <c r="AI31" i="1"/>
  <c r="AI34" i="1"/>
  <c r="BF87" i="1"/>
  <c r="E8" i="2" s="1"/>
  <c r="BF74" i="1"/>
  <c r="BF48" i="1"/>
  <c r="Y50" i="2"/>
  <c r="L31" i="1"/>
  <c r="L34" i="1"/>
  <c r="I259" i="2"/>
  <c r="I273" i="2" s="1"/>
  <c r="I40" i="2"/>
  <c r="I32" i="2" s="1"/>
  <c r="O270" i="2"/>
  <c r="AM256" i="2"/>
  <c r="N269" i="2"/>
  <c r="AM255" i="2"/>
  <c r="BC87" i="1"/>
  <c r="B8" i="2" s="1"/>
  <c r="BC74" i="1"/>
  <c r="BC48" i="1"/>
  <c r="O31" i="1"/>
  <c r="V270" i="2"/>
  <c r="AO256" i="2"/>
  <c r="W26" i="2"/>
  <c r="R53" i="2"/>
  <c r="AJ266" i="2"/>
  <c r="AJ227" i="2"/>
  <c r="AJ203" i="2" s="1"/>
  <c r="AJ239" i="2"/>
  <c r="E249" i="2"/>
  <c r="E236" i="2"/>
  <c r="X230" i="2"/>
  <c r="X112" i="2"/>
  <c r="X98" i="2"/>
  <c r="X159" i="2"/>
  <c r="X167" i="2" s="1"/>
  <c r="X191" i="2" s="1"/>
  <c r="AN266" i="2"/>
  <c r="AN227" i="2"/>
  <c r="AN203" i="2" s="1"/>
  <c r="BN31" i="1"/>
  <c r="BN34" i="1"/>
  <c r="O36" i="2"/>
  <c r="O26" i="2"/>
  <c r="O74" i="1"/>
  <c r="AM217" i="2"/>
  <c r="S267" i="2"/>
  <c r="AI273" i="2"/>
  <c r="AI260" i="2"/>
  <c r="AP31" i="1"/>
  <c r="AP34" i="1"/>
  <c r="X174" i="2"/>
  <c r="X182" i="2" s="1"/>
  <c r="X142" i="2"/>
  <c r="X371" i="2" s="1"/>
  <c r="X241" i="2"/>
  <c r="X254" i="2"/>
  <c r="BR47" i="1"/>
  <c r="BQ47" i="1"/>
  <c r="BP47" i="1"/>
  <c r="BO47" i="1"/>
  <c r="BO48" i="1" s="1"/>
  <c r="BB87" i="1"/>
  <c r="BB74" i="1"/>
  <c r="BB48" i="1"/>
  <c r="U92" i="2"/>
  <c r="AQ87" i="1"/>
  <c r="AQ74" i="1"/>
  <c r="AQ48" i="1"/>
  <c r="AQ86" i="1" s="1"/>
  <c r="J87" i="1"/>
  <c r="AD8" i="2" s="1"/>
  <c r="J74" i="1"/>
  <c r="J70" i="1"/>
  <c r="J48" i="1"/>
  <c r="L32" i="2"/>
  <c r="J32" i="2"/>
  <c r="J92" i="2"/>
  <c r="AO363" i="2"/>
  <c r="R270" i="2"/>
  <c r="R268" i="2"/>
  <c r="AN254" i="2"/>
  <c r="AH273" i="2"/>
  <c r="AH260" i="2"/>
  <c r="P271" i="2"/>
  <c r="S175" i="2"/>
  <c r="S183" i="2" s="1"/>
  <c r="S143" i="2"/>
  <c r="S372" i="2" s="1"/>
  <c r="S368" i="2" s="1"/>
  <c r="S377" i="2" s="1"/>
  <c r="S379" i="2" s="1"/>
  <c r="BT37" i="1" s="1"/>
  <c r="AL353" i="2"/>
  <c r="U44" i="2"/>
  <c r="U16" i="2"/>
  <c r="AL31" i="1"/>
  <c r="AL34" i="1"/>
  <c r="AA87" i="1"/>
  <c r="AA74" i="1"/>
  <c r="AA48" i="1"/>
  <c r="AA86" i="1" s="1"/>
  <c r="E87" i="1"/>
  <c r="E70" i="1"/>
  <c r="E74" i="1"/>
  <c r="E48" i="1"/>
  <c r="E86" i="1" s="1"/>
  <c r="W174" i="2"/>
  <c r="W182" i="2" s="1"/>
  <c r="W142" i="2"/>
  <c r="W371" i="2" s="1"/>
  <c r="W254" i="2"/>
  <c r="W268" i="2" s="1"/>
  <c r="W241" i="2"/>
  <c r="S51" i="2"/>
  <c r="N37" i="2"/>
  <c r="N32" i="2" s="1"/>
  <c r="N27" i="2"/>
  <c r="AE31" i="1"/>
  <c r="AE34" i="1"/>
  <c r="I31" i="1"/>
  <c r="I34" i="1"/>
  <c r="AL87" i="1"/>
  <c r="AL74" i="1"/>
  <c r="AL48" i="1"/>
  <c r="AL86" i="1" s="1"/>
  <c r="N31" i="1"/>
  <c r="N34" i="1"/>
  <c r="Y173" i="2"/>
  <c r="Y181" i="2" s="1"/>
  <c r="Y141" i="2"/>
  <c r="Y370" i="2" s="1"/>
  <c r="Y165" i="2"/>
  <c r="Y189" i="2" s="1"/>
  <c r="Y253" i="2" s="1"/>
  <c r="AA31" i="1"/>
  <c r="AA34" i="1"/>
  <c r="E31" i="1"/>
  <c r="E34" i="1"/>
  <c r="AH31" i="1"/>
  <c r="AH34" i="1"/>
  <c r="H31" i="1"/>
  <c r="H34" i="1"/>
  <c r="O37" i="2"/>
  <c r="O27" i="2"/>
  <c r="T28" i="2"/>
  <c r="V268" i="2"/>
  <c r="AT31" i="1"/>
  <c r="AT34" i="1"/>
  <c r="F87" i="1"/>
  <c r="F74" i="1"/>
  <c r="F70" i="1"/>
  <c r="F48" i="1"/>
  <c r="F86" i="1" s="1"/>
  <c r="AL269" i="2"/>
  <c r="AL242" i="2"/>
  <c r="AL230" i="2"/>
  <c r="AL206" i="2" s="1"/>
  <c r="AL218" i="2" s="1"/>
  <c r="S17" i="2"/>
  <c r="AY31" i="1"/>
  <c r="AY34" i="1"/>
  <c r="D260" i="2"/>
  <c r="D263" i="2"/>
  <c r="AJ249" i="2"/>
  <c r="V230" i="2"/>
  <c r="V98" i="2"/>
  <c r="V112" i="2"/>
  <c r="V159" i="2"/>
  <c r="V167" i="2" s="1"/>
  <c r="V191" i="2" s="1"/>
  <c r="L87" i="1"/>
  <c r="AF8" i="2" s="1"/>
  <c r="L74" i="1"/>
  <c r="L70" i="1"/>
  <c r="L48" i="1"/>
  <c r="AM52" i="2"/>
  <c r="AM83" i="2" s="1"/>
  <c r="O18" i="2"/>
  <c r="O20" i="2" s="1"/>
  <c r="W173" i="2"/>
  <c r="W181" i="2" s="1"/>
  <c r="W141" i="2"/>
  <c r="W370" i="2" s="1"/>
  <c r="W49" i="2"/>
  <c r="Q267" i="2"/>
  <c r="AL37" i="2"/>
  <c r="AL27" i="2"/>
  <c r="BC31" i="1"/>
  <c r="P31" i="1" s="1"/>
  <c r="BC34" i="1"/>
  <c r="Y26" i="2"/>
  <c r="AL38" i="2"/>
  <c r="AK267" i="2"/>
  <c r="AK240" i="2"/>
  <c r="AK228" i="2"/>
  <c r="AK204" i="2" s="1"/>
  <c r="V26" i="2"/>
  <c r="AO16" i="2"/>
  <c r="M87" i="1"/>
  <c r="AG8" i="2" s="1"/>
  <c r="M70" i="1"/>
  <c r="M74" i="1"/>
  <c r="M48" i="1"/>
  <c r="S44" i="2"/>
  <c r="AM252" i="2"/>
  <c r="V173" i="2"/>
  <c r="V181" i="2" s="1"/>
  <c r="V141" i="2"/>
  <c r="V370" i="2" s="1"/>
  <c r="V165" i="2"/>
  <c r="V189" i="2" s="1"/>
  <c r="V49" i="2" s="1"/>
  <c r="BK87" i="1"/>
  <c r="J8" i="2" s="1"/>
  <c r="BK74" i="1"/>
  <c r="BK48" i="1"/>
  <c r="U220" i="1"/>
  <c r="BN87" i="1"/>
  <c r="M8" i="2" s="1"/>
  <c r="BN74" i="1"/>
  <c r="BN48" i="1"/>
  <c r="R165" i="2"/>
  <c r="R189" i="2" s="1"/>
  <c r="AO50" i="2"/>
  <c r="AM87" i="1"/>
  <c r="AM74" i="1"/>
  <c r="AM48" i="1"/>
  <c r="AM86" i="1" s="1"/>
  <c r="AM241" i="2"/>
  <c r="AK37" i="2"/>
  <c r="AL266" i="2"/>
  <c r="AL227" i="2"/>
  <c r="AL203" i="2" s="1"/>
  <c r="AL215" i="2" s="1"/>
  <c r="AL239" i="2"/>
  <c r="AF353" i="2"/>
  <c r="AP87" i="1"/>
  <c r="AP74" i="1"/>
  <c r="AP48" i="1"/>
  <c r="AP86" i="1" s="1"/>
  <c r="AI353" i="2"/>
  <c r="X50" i="2"/>
  <c r="P44" i="2"/>
  <c r="P16" i="2"/>
  <c r="AM48" i="2"/>
  <c r="V271" i="2"/>
  <c r="AO257" i="2"/>
  <c r="T51" i="2"/>
  <c r="AU87" i="1"/>
  <c r="AU74" i="1"/>
  <c r="AU48" i="1"/>
  <c r="R92" i="2"/>
  <c r="X49" i="2"/>
  <c r="AQ31" i="1"/>
  <c r="AQ34" i="1"/>
  <c r="AX31" i="1"/>
  <c r="AX34" i="1"/>
  <c r="J31" i="1"/>
  <c r="J34" i="1"/>
  <c r="K92" i="2"/>
  <c r="BJ31" i="1"/>
  <c r="BJ34" i="1"/>
  <c r="Y18" i="2"/>
  <c r="Q36" i="2"/>
  <c r="Q26" i="2"/>
  <c r="Q12" i="2"/>
  <c r="Q40" i="2" s="1"/>
  <c r="P187" i="2"/>
  <c r="AM187" i="2" s="1"/>
  <c r="F273" i="2"/>
  <c r="AK259" i="2"/>
  <c r="AN51" i="2" l="1"/>
  <c r="AJ259" i="2"/>
  <c r="AN269" i="2"/>
  <c r="AN230" i="2"/>
  <c r="AN206" i="2" s="1"/>
  <c r="AN242" i="2"/>
  <c r="O259" i="2"/>
  <c r="O273" i="2" s="1"/>
  <c r="O40" i="2"/>
  <c r="S20" i="2"/>
  <c r="S12" i="2" s="1"/>
  <c r="S37" i="2" s="1"/>
  <c r="AM20" i="2"/>
  <c r="U27" i="2"/>
  <c r="D274" i="2"/>
  <c r="D197" i="2"/>
  <c r="D7" i="2" s="1"/>
  <c r="U26" i="2"/>
  <c r="U12" i="2"/>
  <c r="U37" i="2" s="1"/>
  <c r="AI274" i="2"/>
  <c r="AI197" i="2"/>
  <c r="AI7" i="2" s="1"/>
  <c r="X51" i="2"/>
  <c r="N86" i="1"/>
  <c r="N73" i="1"/>
  <c r="I86" i="1"/>
  <c r="I73" i="1"/>
  <c r="AN232" i="2"/>
  <c r="AN208" i="2" s="1"/>
  <c r="AM271" i="2"/>
  <c r="AM244" i="2"/>
  <c r="AM232" i="2"/>
  <c r="AM208" i="2" s="1"/>
  <c r="V327" i="2"/>
  <c r="V280" i="2" s="1"/>
  <c r="Y327" i="2"/>
  <c r="Y280" i="2" s="1"/>
  <c r="AO340" i="2"/>
  <c r="X327" i="2"/>
  <c r="X280" i="2" s="1"/>
  <c r="AO358" i="2"/>
  <c r="AO354" i="2"/>
  <c r="W327" i="2"/>
  <c r="W280" i="2" s="1"/>
  <c r="AO355" i="2"/>
  <c r="AO356" i="2"/>
  <c r="AO361" i="2"/>
  <c r="AO362" i="2"/>
  <c r="Y268" i="2"/>
  <c r="P80" i="1"/>
  <c r="P15" i="1"/>
  <c r="P79" i="1" s="1"/>
  <c r="P165" i="1"/>
  <c r="P164" i="1"/>
  <c r="AJ5" i="2"/>
  <c r="P75" i="1"/>
  <c r="AJ6" i="2" s="1"/>
  <c r="Y49" i="2"/>
  <c r="X187" i="2"/>
  <c r="AG274" i="2"/>
  <c r="AG197" i="2"/>
  <c r="AG7" i="2" s="1"/>
  <c r="O73" i="1"/>
  <c r="Y175" i="2"/>
  <c r="Y183" i="2" s="1"/>
  <c r="Y143" i="2"/>
  <c r="Y372" i="2" s="1"/>
  <c r="Y368" i="2" s="1"/>
  <c r="Y377" i="2" s="1"/>
  <c r="Y379" i="2" s="1"/>
  <c r="BZ37" i="1" s="1"/>
  <c r="Y242" i="2"/>
  <c r="P17" i="2"/>
  <c r="AM49" i="2"/>
  <c r="AM82" i="2" s="1"/>
  <c r="AO18" i="2"/>
  <c r="Q285" i="2"/>
  <c r="BR19" i="1"/>
  <c r="AO360" i="2"/>
  <c r="AN191" i="2"/>
  <c r="R259" i="2"/>
  <c r="AN20" i="2"/>
  <c r="V20" i="2"/>
  <c r="Y28" i="2"/>
  <c r="AO271" i="2"/>
  <c r="AO244" i="2"/>
  <c r="AO232" i="2"/>
  <c r="AO208" i="2" s="1"/>
  <c r="AO220" i="2" s="1"/>
  <c r="Q22" i="2"/>
  <c r="BR7" i="1"/>
  <c r="Q33" i="2"/>
  <c r="Q34" i="2"/>
  <c r="Q35" i="2"/>
  <c r="Q283" i="2"/>
  <c r="Q284" i="2"/>
  <c r="Q38" i="2"/>
  <c r="Q57" i="2"/>
  <c r="AN189" i="2"/>
  <c r="R187" i="2"/>
  <c r="AN187" i="2" s="1"/>
  <c r="L86" i="1"/>
  <c r="L73" i="1"/>
  <c r="V175" i="2"/>
  <c r="V183" i="2" s="1"/>
  <c r="V143" i="2"/>
  <c r="V372" i="2" s="1"/>
  <c r="V368" i="2" s="1"/>
  <c r="V377" i="2" s="1"/>
  <c r="V379" i="2" s="1"/>
  <c r="BW37" i="1" s="1"/>
  <c r="V255" i="2"/>
  <c r="V242" i="2"/>
  <c r="AO254" i="2"/>
  <c r="R49" i="2"/>
  <c r="E263" i="2"/>
  <c r="E260" i="2"/>
  <c r="AN53" i="2"/>
  <c r="AN244" i="2" s="1"/>
  <c r="AO270" i="2"/>
  <c r="AO243" i="2"/>
  <c r="AO231" i="2"/>
  <c r="AO207" i="2" s="1"/>
  <c r="AO219" i="2" s="1"/>
  <c r="AO215" i="2"/>
  <c r="R271" i="2"/>
  <c r="AO357" i="2"/>
  <c r="AO364" i="2"/>
  <c r="W175" i="2"/>
  <c r="W183" i="2" s="1"/>
  <c r="W143" i="2"/>
  <c r="W372" i="2" s="1"/>
  <c r="W368" i="2" s="1"/>
  <c r="W377" i="2" s="1"/>
  <c r="W379" i="2" s="1"/>
  <c r="BX37" i="1" s="1"/>
  <c r="W255" i="2"/>
  <c r="W242" i="2"/>
  <c r="T206" i="1"/>
  <c r="BT46" i="1"/>
  <c r="BS46" i="1"/>
  <c r="BV46" i="1"/>
  <c r="BU46" i="1"/>
  <c r="AJ279" i="2"/>
  <c r="P82" i="1"/>
  <c r="Q202" i="1"/>
  <c r="Q121" i="1"/>
  <c r="Q67" i="1"/>
  <c r="Q77" i="1"/>
  <c r="Q27" i="1"/>
  <c r="Q208" i="1" s="1"/>
  <c r="Q19" i="1"/>
  <c r="Q17" i="1"/>
  <c r="Q8" i="1"/>
  <c r="Q10" i="1" s="1"/>
  <c r="Q5" i="1"/>
  <c r="Q38" i="1"/>
  <c r="Q37" i="1"/>
  <c r="Q205" i="1" s="1"/>
  <c r="Q26" i="1"/>
  <c r="Q25" i="1"/>
  <c r="Q104" i="1" s="1"/>
  <c r="Q24" i="1"/>
  <c r="R4" i="1"/>
  <c r="Q51" i="1"/>
  <c r="Q30" i="1"/>
  <c r="Q29" i="1"/>
  <c r="Q18" i="1"/>
  <c r="Q16" i="1"/>
  <c r="Q7" i="1"/>
  <c r="Q50" i="1"/>
  <c r="Q39" i="1"/>
  <c r="Q36" i="1"/>
  <c r="Q31" i="1"/>
  <c r="Q28" i="1"/>
  <c r="AJ278" i="2"/>
  <c r="P81" i="1"/>
  <c r="AF274" i="2"/>
  <c r="AF197" i="2"/>
  <c r="AF7" i="2" s="1"/>
  <c r="AO359" i="2"/>
  <c r="T269" i="2"/>
  <c r="AL267" i="2"/>
  <c r="AL228" i="2"/>
  <c r="AL204" i="2" s="1"/>
  <c r="AL216" i="2" s="1"/>
  <c r="AL240" i="2"/>
  <c r="B274" i="2"/>
  <c r="AJ260" i="2"/>
  <c r="B197" i="2"/>
  <c r="B7" i="2" s="1"/>
  <c r="AN16" i="2"/>
  <c r="AO26" i="2" s="1"/>
  <c r="AK57" i="2"/>
  <c r="AK34" i="2"/>
  <c r="AK35" i="2"/>
  <c r="AK33" i="2"/>
  <c r="AK38" i="2"/>
  <c r="AM353" i="2"/>
  <c r="R18" i="2"/>
  <c r="V28" i="2" s="1"/>
  <c r="BP48" i="1"/>
  <c r="AK273" i="2"/>
  <c r="AK246" i="2"/>
  <c r="X17" i="2"/>
  <c r="X44" i="2"/>
  <c r="AM44" i="2"/>
  <c r="AM266" i="2"/>
  <c r="AM227" i="2"/>
  <c r="AM203" i="2" s="1"/>
  <c r="AM215" i="2" s="1"/>
  <c r="M86" i="1"/>
  <c r="M73" i="1"/>
  <c r="V51" i="2"/>
  <c r="V44" i="2" s="1"/>
  <c r="AJ263" i="2"/>
  <c r="AJ236" i="2"/>
  <c r="AJ224" i="2"/>
  <c r="AJ200" i="2" s="1"/>
  <c r="AN268" i="2"/>
  <c r="AN229" i="2"/>
  <c r="AN205" i="2" s="1"/>
  <c r="AN217" i="2" s="1"/>
  <c r="AN241" i="2"/>
  <c r="J86" i="1"/>
  <c r="J73" i="1"/>
  <c r="X268" i="2"/>
  <c r="X175" i="2"/>
  <c r="X183" i="2" s="1"/>
  <c r="X143" i="2"/>
  <c r="X372" i="2" s="1"/>
  <c r="X368" i="2" s="1"/>
  <c r="X377" i="2" s="1"/>
  <c r="X379" i="2" s="1"/>
  <c r="BY37" i="1" s="1"/>
  <c r="X242" i="2"/>
  <c r="X255" i="2"/>
  <c r="X269" i="2" s="1"/>
  <c r="AO239" i="2"/>
  <c r="T259" i="2"/>
  <c r="T273" i="2" s="1"/>
  <c r="X20" i="2"/>
  <c r="BV47" i="1"/>
  <c r="BU47" i="1"/>
  <c r="BT47" i="1"/>
  <c r="BS47" i="1"/>
  <c r="G224" i="2"/>
  <c r="H200" i="2"/>
  <c r="T181" i="1"/>
  <c r="P109" i="1"/>
  <c r="P110" i="1" s="1"/>
  <c r="P23" i="1"/>
  <c r="P32" i="1"/>
  <c r="AJ280" i="2"/>
  <c r="P83" i="1"/>
  <c r="AL22" i="2"/>
  <c r="AL35" i="2"/>
  <c r="AL57" i="2"/>
  <c r="AL33" i="2"/>
  <c r="AL34" i="2"/>
  <c r="AN358" i="2"/>
  <c r="R327" i="2"/>
  <c r="R280" i="2" s="1"/>
  <c r="U327" i="2"/>
  <c r="U280" i="2" s="1"/>
  <c r="T327" i="2"/>
  <c r="T280" i="2" s="1"/>
  <c r="AN340" i="2"/>
  <c r="S327" i="2"/>
  <c r="S280" i="2" s="1"/>
  <c r="AN361" i="2"/>
  <c r="AN356" i="2"/>
  <c r="AN354" i="2"/>
  <c r="AN355" i="2"/>
  <c r="AN362" i="2"/>
  <c r="AN363" i="2"/>
  <c r="AN357" i="2"/>
  <c r="AN364" i="2"/>
  <c r="AN359" i="2"/>
  <c r="AK215" i="2"/>
  <c r="Q37" i="2"/>
  <c r="T130" i="1"/>
  <c r="AN83" i="2"/>
  <c r="T17" i="2"/>
  <c r="T44" i="2"/>
  <c r="P26" i="2"/>
  <c r="P12" i="2"/>
  <c r="P36" i="2" s="1"/>
  <c r="AM16" i="2"/>
  <c r="AM239" i="2" s="1"/>
  <c r="AO189" i="2"/>
  <c r="V187" i="2"/>
  <c r="O38" i="2"/>
  <c r="O32" i="2" s="1"/>
  <c r="S28" i="2"/>
  <c r="AM18" i="2"/>
  <c r="S27" i="2"/>
  <c r="AH274" i="2"/>
  <c r="AH197" i="2"/>
  <c r="AH7" i="2" s="1"/>
  <c r="AM269" i="2"/>
  <c r="AM242" i="2"/>
  <c r="AM230" i="2"/>
  <c r="AM206" i="2" s="1"/>
  <c r="AM218" i="2" s="1"/>
  <c r="AM243" i="2"/>
  <c r="AM231" i="2"/>
  <c r="AM207" i="2" s="1"/>
  <c r="AN219" i="2" s="1"/>
  <c r="S269" i="2"/>
  <c r="X267" i="2"/>
  <c r="R253" i="2"/>
  <c r="T189" i="1"/>
  <c r="W51" i="2"/>
  <c r="W17" i="2" s="1"/>
  <c r="F249" i="2"/>
  <c r="F236" i="2"/>
  <c r="AJ12" i="2"/>
  <c r="P199" i="1"/>
  <c r="P193" i="1"/>
  <c r="P163" i="1"/>
  <c r="P166" i="1" s="1"/>
  <c r="P68" i="1"/>
  <c r="P12" i="1"/>
  <c r="P167" i="1"/>
  <c r="P169" i="1"/>
  <c r="P168" i="1"/>
  <c r="AJ10" i="2"/>
  <c r="P183" i="1"/>
  <c r="U259" i="2"/>
  <c r="U273" i="2" s="1"/>
  <c r="U40" i="2"/>
  <c r="Y20" i="2"/>
  <c r="P267" i="2"/>
  <c r="AM253" i="2"/>
  <c r="T26" i="2"/>
  <c r="K73" i="1"/>
  <c r="V253" i="2"/>
  <c r="Y167" i="2"/>
  <c r="Y191" i="2" s="1"/>
  <c r="Y51" i="2" s="1"/>
  <c r="W267" i="2"/>
  <c r="AL273" i="2"/>
  <c r="AL246" i="2"/>
  <c r="AK36" i="2"/>
  <c r="P285" i="2"/>
  <c r="BQ19" i="1"/>
  <c r="AK40" i="2"/>
  <c r="N273" i="2"/>
  <c r="AM259" i="2"/>
  <c r="U36" i="2" l="1"/>
  <c r="AL32" i="2"/>
  <c r="BR83" i="1"/>
  <c r="W27" i="2"/>
  <c r="V267" i="2"/>
  <c r="AO253" i="2"/>
  <c r="Y259" i="2"/>
  <c r="Y273" i="2" s="1"/>
  <c r="P69" i="1"/>
  <c r="P84" i="1"/>
  <c r="P20" i="1"/>
  <c r="P13" i="1"/>
  <c r="AJ196" i="2" s="1"/>
  <c r="Y187" i="2"/>
  <c r="P22" i="2"/>
  <c r="BQ7" i="1"/>
  <c r="P283" i="2"/>
  <c r="P35" i="2"/>
  <c r="P34" i="2"/>
  <c r="P33" i="2"/>
  <c r="P284" i="2"/>
  <c r="P57" i="2"/>
  <c r="P40" i="2"/>
  <c r="P38" i="2"/>
  <c r="T37" i="2"/>
  <c r="T27" i="2"/>
  <c r="T12" i="2"/>
  <c r="BU19" i="1"/>
  <c r="X259" i="2"/>
  <c r="X273" i="2" s="1"/>
  <c r="AN26" i="2"/>
  <c r="AN239" i="2"/>
  <c r="Q80" i="1"/>
  <c r="Q15" i="1"/>
  <c r="Q79" i="1" s="1"/>
  <c r="Q165" i="1"/>
  <c r="Q164" i="1"/>
  <c r="E274" i="2"/>
  <c r="E197" i="2"/>
  <c r="E7" i="2" s="1"/>
  <c r="V269" i="2"/>
  <c r="BR68" i="1"/>
  <c r="BR16" i="1"/>
  <c r="BR15" i="1" s="1"/>
  <c r="BR79" i="1" s="1"/>
  <c r="BR81" i="1"/>
  <c r="BR82" i="1"/>
  <c r="AN30" i="2"/>
  <c r="AO353" i="2"/>
  <c r="BZ19" i="1"/>
  <c r="AN271" i="2"/>
  <c r="S259" i="2"/>
  <c r="S273" i="2" s="1"/>
  <c r="S40" i="2"/>
  <c r="W20" i="2"/>
  <c r="W12" i="2" s="1"/>
  <c r="AJ57" i="2"/>
  <c r="AJ22" i="2"/>
  <c r="AJ20" i="2"/>
  <c r="AJ33" i="2"/>
  <c r="AJ37" i="2"/>
  <c r="AJ34" i="2"/>
  <c r="AJ38" i="2"/>
  <c r="AJ35" i="2"/>
  <c r="AJ36" i="2"/>
  <c r="T134" i="1"/>
  <c r="T132" i="1" s="1"/>
  <c r="U185" i="1"/>
  <c r="R267" i="2"/>
  <c r="AN253" i="2"/>
  <c r="AO187" i="2"/>
  <c r="U285" i="2"/>
  <c r="BV19" i="1"/>
  <c r="AK32" i="2"/>
  <c r="AK22" i="2"/>
  <c r="AJ288" i="2"/>
  <c r="AJ283" i="2"/>
  <c r="AK279" i="2"/>
  <c r="AK284" i="2" s="1"/>
  <c r="Q82" i="1"/>
  <c r="R202" i="1"/>
  <c r="R121" i="1"/>
  <c r="R77" i="1"/>
  <c r="R67" i="1"/>
  <c r="R38" i="1"/>
  <c r="R37" i="1"/>
  <c r="R205" i="1" s="1"/>
  <c r="R26" i="1"/>
  <c r="R25" i="1"/>
  <c r="R104" i="1" s="1"/>
  <c r="R24" i="1"/>
  <c r="S4" i="1"/>
  <c r="R51" i="1"/>
  <c r="R30" i="1"/>
  <c r="R29" i="1"/>
  <c r="R18" i="1"/>
  <c r="R16" i="1"/>
  <c r="R7" i="1"/>
  <c r="R50" i="1"/>
  <c r="R39" i="1"/>
  <c r="R36" i="1"/>
  <c r="R31" i="1"/>
  <c r="R28" i="1"/>
  <c r="R27" i="1"/>
  <c r="R208" i="1" s="1"/>
  <c r="R19" i="1"/>
  <c r="R17" i="1"/>
  <c r="R8" i="1"/>
  <c r="R10" i="1" s="1"/>
  <c r="R5" i="1"/>
  <c r="AK278" i="2"/>
  <c r="AK283" i="2" s="1"/>
  <c r="Q81" i="1"/>
  <c r="AJ303" i="2"/>
  <c r="AJ284" i="2"/>
  <c r="Y255" i="2"/>
  <c r="Y269" i="2" s="1"/>
  <c r="Y17" i="2"/>
  <c r="Y44" i="2"/>
  <c r="AO191" i="2"/>
  <c r="Y267" i="2"/>
  <c r="S285" i="2"/>
  <c r="BT19" i="1"/>
  <c r="BS19" i="1"/>
  <c r="H224" i="2"/>
  <c r="I200" i="2"/>
  <c r="AO51" i="2"/>
  <c r="X27" i="2"/>
  <c r="X12" i="2"/>
  <c r="X40" i="2" s="1"/>
  <c r="R28" i="2"/>
  <c r="AN18" i="2"/>
  <c r="AJ274" i="2"/>
  <c r="AJ197" i="2"/>
  <c r="AJ7" i="2" s="1"/>
  <c r="AK5" i="2"/>
  <c r="Q75" i="1"/>
  <c r="AK6" i="2" s="1"/>
  <c r="Q207" i="1"/>
  <c r="Q109" i="1"/>
  <c r="Q32" i="1"/>
  <c r="Q23" i="1"/>
  <c r="AK280" i="2"/>
  <c r="AK285" i="2" s="1"/>
  <c r="Q83" i="1"/>
  <c r="W269" i="2"/>
  <c r="AN49" i="2"/>
  <c r="R17" i="2"/>
  <c r="R44" i="2"/>
  <c r="AO268" i="2"/>
  <c r="AO229" i="2"/>
  <c r="AO205" i="2" s="1"/>
  <c r="AO217" i="2" s="1"/>
  <c r="AO241" i="2"/>
  <c r="R273" i="2"/>
  <c r="AN259" i="2"/>
  <c r="BY19" i="1"/>
  <c r="BW19" i="1"/>
  <c r="AN215" i="2"/>
  <c r="W44" i="2"/>
  <c r="S283" i="2"/>
  <c r="S22" i="2"/>
  <c r="BT7" i="1"/>
  <c r="S284" i="2"/>
  <c r="S34" i="2"/>
  <c r="S33" i="2"/>
  <c r="S35" i="2"/>
  <c r="S57" i="2"/>
  <c r="S38" i="2"/>
  <c r="S36" i="2"/>
  <c r="V17" i="2"/>
  <c r="AM273" i="2"/>
  <c r="AM246" i="2"/>
  <c r="AM267" i="2"/>
  <c r="AM228" i="2"/>
  <c r="AM204" i="2" s="1"/>
  <c r="AM216" i="2" s="1"/>
  <c r="AM240" i="2"/>
  <c r="F263" i="2"/>
  <c r="F260" i="2"/>
  <c r="AM28" i="2"/>
  <c r="AM26" i="2"/>
  <c r="AN353" i="2"/>
  <c r="AJ327" i="2"/>
  <c r="AJ285" i="2"/>
  <c r="U177" i="1"/>
  <c r="T131" i="1"/>
  <c r="G249" i="2"/>
  <c r="G236" i="2"/>
  <c r="Q199" i="1"/>
  <c r="Q163" i="1"/>
  <c r="Q166" i="1" s="1"/>
  <c r="Q193" i="1"/>
  <c r="Q68" i="1"/>
  <c r="Q12" i="1"/>
  <c r="Q168" i="1"/>
  <c r="Q183" i="1"/>
  <c r="AK10" i="2"/>
  <c r="Q167" i="1"/>
  <c r="Q169" i="1"/>
  <c r="Q32" i="2"/>
  <c r="V259" i="2"/>
  <c r="AO20" i="2"/>
  <c r="AO28" i="2"/>
  <c r="P37" i="2"/>
  <c r="P27" i="2"/>
  <c r="AM17" i="2"/>
  <c r="AM12" i="2" s="1"/>
  <c r="BX19" i="1"/>
  <c r="AN220" i="2"/>
  <c r="U22" i="2"/>
  <c r="BV7" i="1"/>
  <c r="U283" i="2"/>
  <c r="U33" i="2"/>
  <c r="U34" i="2"/>
  <c r="U35" i="2"/>
  <c r="U284" i="2"/>
  <c r="U38" i="2"/>
  <c r="U57" i="2"/>
  <c r="AM30" i="2"/>
  <c r="AN218" i="2"/>
  <c r="AO49" i="2"/>
  <c r="X285" i="2" l="1"/>
  <c r="X37" i="2"/>
  <c r="AM22" i="2"/>
  <c r="AM34" i="2"/>
  <c r="AM35" i="2"/>
  <c r="AM33" i="2"/>
  <c r="AM57" i="2"/>
  <c r="AM36" i="2"/>
  <c r="AM38" i="2"/>
  <c r="AM40" i="2"/>
  <c r="W22" i="2"/>
  <c r="BX7" i="1"/>
  <c r="W33" i="2"/>
  <c r="W35" i="2"/>
  <c r="W34" i="2"/>
  <c r="W284" i="2"/>
  <c r="W283" i="2"/>
  <c r="W38" i="2"/>
  <c r="W57" i="2"/>
  <c r="W36" i="2"/>
  <c r="W37" i="2"/>
  <c r="W285" i="2"/>
  <c r="BV68" i="1"/>
  <c r="BV16" i="1"/>
  <c r="BV15" i="1" s="1"/>
  <c r="BV79" i="1" s="1"/>
  <c r="BV82" i="1"/>
  <c r="BV81" i="1"/>
  <c r="Q84" i="1"/>
  <c r="Q69" i="1"/>
  <c r="Q20" i="1"/>
  <c r="Q13" i="1"/>
  <c r="U179" i="1"/>
  <c r="I224" i="2"/>
  <c r="J200" i="2"/>
  <c r="BT83" i="1"/>
  <c r="Y27" i="2"/>
  <c r="Y12" i="2"/>
  <c r="Y37" i="2" s="1"/>
  <c r="AJ312" i="2"/>
  <c r="AJ314" i="2"/>
  <c r="AK314" i="2"/>
  <c r="R165" i="1"/>
  <c r="R164" i="1"/>
  <c r="AL5" i="2"/>
  <c r="R75" i="1"/>
  <c r="AL6" i="2" s="1"/>
  <c r="R207" i="1"/>
  <c r="R109" i="1"/>
  <c r="R32" i="1"/>
  <c r="R23" i="1"/>
  <c r="AJ295" i="2"/>
  <c r="AK295" i="2"/>
  <c r="U187" i="1"/>
  <c r="U189" i="1" s="1"/>
  <c r="AJ40" i="2"/>
  <c r="AJ30" i="2"/>
  <c r="AK30" i="2"/>
  <c r="AJ246" i="2"/>
  <c r="AJ273" i="2"/>
  <c r="T22" i="2"/>
  <c r="BU7" i="1"/>
  <c r="T283" i="2"/>
  <c r="T33" i="2"/>
  <c r="T35" i="2"/>
  <c r="T34" i="2"/>
  <c r="T284" i="2"/>
  <c r="T57" i="2"/>
  <c r="T36" i="2"/>
  <c r="T38" i="2"/>
  <c r="T40" i="2"/>
  <c r="P85" i="1"/>
  <c r="P45" i="1"/>
  <c r="P33" i="1"/>
  <c r="AO82" i="2"/>
  <c r="AO44" i="2"/>
  <c r="AM37" i="2"/>
  <c r="AM27" i="2"/>
  <c r="V273" i="2"/>
  <c r="R37" i="2"/>
  <c r="R27" i="2"/>
  <c r="AN17" i="2"/>
  <c r="R12" i="2"/>
  <c r="X283" i="2"/>
  <c r="X22" i="2"/>
  <c r="BY7" i="1"/>
  <c r="BY83" i="1" s="1"/>
  <c r="X284" i="2"/>
  <c r="X33" i="2"/>
  <c r="X35" i="2"/>
  <c r="X34" i="2"/>
  <c r="X38" i="2"/>
  <c r="X36" i="2"/>
  <c r="X57" i="2"/>
  <c r="H249" i="2"/>
  <c r="H236" i="2"/>
  <c r="AL278" i="2"/>
  <c r="AL283" i="2" s="1"/>
  <c r="R81" i="1"/>
  <c r="R199" i="1"/>
  <c r="R163" i="1"/>
  <c r="R193" i="1"/>
  <c r="R68" i="1"/>
  <c r="R12" i="1"/>
  <c r="R168" i="1"/>
  <c r="R169" i="1"/>
  <c r="AL10" i="2"/>
  <c r="R167" i="1"/>
  <c r="R183" i="1"/>
  <c r="AO255" i="2"/>
  <c r="AO267" i="2"/>
  <c r="AO240" i="2"/>
  <c r="AO228" i="2"/>
  <c r="AO204" i="2" s="1"/>
  <c r="AO30" i="2"/>
  <c r="S32" i="2"/>
  <c r="AN273" i="2"/>
  <c r="AN246" i="2"/>
  <c r="U32" i="2"/>
  <c r="G263" i="2"/>
  <c r="G260" i="2"/>
  <c r="AJ364" i="2"/>
  <c r="AJ363" i="2"/>
  <c r="AJ362" i="2"/>
  <c r="AJ361" i="2"/>
  <c r="AJ360" i="2"/>
  <c r="AJ359" i="2"/>
  <c r="AJ358" i="2"/>
  <c r="AJ357" i="2"/>
  <c r="AJ356" i="2"/>
  <c r="AJ355" i="2"/>
  <c r="AJ354" i="2"/>
  <c r="AJ340" i="2"/>
  <c r="AK340" i="2"/>
  <c r="F274" i="2"/>
  <c r="F197" i="2"/>
  <c r="F7" i="2" s="1"/>
  <c r="V27" i="2"/>
  <c r="AO17" i="2"/>
  <c r="V12" i="2"/>
  <c r="V37" i="2" s="1"/>
  <c r="BT68" i="1"/>
  <c r="BT16" i="1"/>
  <c r="BT15" i="1" s="1"/>
  <c r="BT79" i="1" s="1"/>
  <c r="BT81" i="1"/>
  <c r="BT82" i="1"/>
  <c r="AN82" i="2"/>
  <c r="AN44" i="2"/>
  <c r="AN28" i="2"/>
  <c r="AL280" i="2"/>
  <c r="AL285" i="2" s="1"/>
  <c r="R83" i="1"/>
  <c r="R80" i="1"/>
  <c r="R15" i="1"/>
  <c r="R79" i="1" s="1"/>
  <c r="AN267" i="2"/>
  <c r="AN240" i="2"/>
  <c r="AN228" i="2"/>
  <c r="AN204" i="2" s="1"/>
  <c r="AN216" i="2" s="1"/>
  <c r="BU83" i="1"/>
  <c r="BX83" i="1"/>
  <c r="T137" i="1"/>
  <c r="T129" i="1"/>
  <c r="AL279" i="2"/>
  <c r="AL284" i="2" s="1"/>
  <c r="R82" i="1"/>
  <c r="S202" i="1"/>
  <c r="S121" i="1"/>
  <c r="S67" i="1"/>
  <c r="S77" i="1"/>
  <c r="S30" i="1"/>
  <c r="S29" i="1"/>
  <c r="S18" i="1"/>
  <c r="S7" i="1"/>
  <c r="S39" i="1"/>
  <c r="S31" i="1"/>
  <c r="S28" i="1"/>
  <c r="S27" i="1"/>
  <c r="S208" i="1" s="1"/>
  <c r="S19" i="1"/>
  <c r="S17" i="1"/>
  <c r="S5" i="1"/>
  <c r="S38" i="1"/>
  <c r="S26" i="1"/>
  <c r="S25" i="1"/>
  <c r="S104" i="1" s="1"/>
  <c r="S24" i="1"/>
  <c r="T4" i="1"/>
  <c r="BV83" i="1"/>
  <c r="AJ32" i="2"/>
  <c r="W259" i="2"/>
  <c r="W273" i="2" s="1"/>
  <c r="W40" i="2"/>
  <c r="T285" i="2"/>
  <c r="P32" i="2"/>
  <c r="BQ68" i="1"/>
  <c r="BQ16" i="1"/>
  <c r="BQ15" i="1" s="1"/>
  <c r="BQ79" i="1" s="1"/>
  <c r="BQ81" i="1"/>
  <c r="BQ82" i="1"/>
  <c r="BQ83" i="1"/>
  <c r="T32" i="2" l="1"/>
  <c r="AJ353" i="2"/>
  <c r="R166" i="1"/>
  <c r="U134" i="1"/>
  <c r="T202" i="1"/>
  <c r="T121" i="1"/>
  <c r="T67" i="1"/>
  <c r="T77" i="1"/>
  <c r="T39" i="1"/>
  <c r="T31" i="1"/>
  <c r="T28" i="1"/>
  <c r="T27" i="1"/>
  <c r="T208" i="1" s="1"/>
  <c r="T19" i="1"/>
  <c r="T17" i="1"/>
  <c r="T5" i="1"/>
  <c r="T38" i="1"/>
  <c r="T37" i="1"/>
  <c r="T205" i="1" s="1"/>
  <c r="T26" i="1"/>
  <c r="T25" i="1"/>
  <c r="T104" i="1" s="1"/>
  <c r="T24" i="1"/>
  <c r="U4" i="1"/>
  <c r="T30" i="1"/>
  <c r="T29" i="1"/>
  <c r="T18" i="1"/>
  <c r="AM278" i="2"/>
  <c r="AM283" i="2" s="1"/>
  <c r="S81" i="1"/>
  <c r="S124" i="1"/>
  <c r="S68" i="1"/>
  <c r="S199" i="1"/>
  <c r="AM10" i="2"/>
  <c r="S183" i="1"/>
  <c r="V22" i="2"/>
  <c r="BW7" i="1"/>
  <c r="V35" i="2"/>
  <c r="V283" i="2"/>
  <c r="V33" i="2"/>
  <c r="V34" i="2"/>
  <c r="V284" i="2"/>
  <c r="V57" i="2"/>
  <c r="V36" i="2"/>
  <c r="V38" i="2"/>
  <c r="V285" i="2"/>
  <c r="V40" i="2"/>
  <c r="G274" i="2"/>
  <c r="G197" i="2"/>
  <c r="G7" i="2" s="1"/>
  <c r="AO216" i="2"/>
  <c r="I249" i="2"/>
  <c r="I236" i="2"/>
  <c r="AM32" i="2"/>
  <c r="S109" i="1"/>
  <c r="S32" i="1"/>
  <c r="S23" i="1"/>
  <c r="AM280" i="2"/>
  <c r="AM285" i="2" s="1"/>
  <c r="S83" i="1"/>
  <c r="S16" i="1"/>
  <c r="AO27" i="2"/>
  <c r="AO12" i="2"/>
  <c r="AO37" i="2" s="1"/>
  <c r="R84" i="1"/>
  <c r="R69" i="1"/>
  <c r="R20" i="1"/>
  <c r="R13" i="1"/>
  <c r="X32" i="2"/>
  <c r="U47" i="1"/>
  <c r="U133" i="1"/>
  <c r="W32" i="2"/>
  <c r="AM279" i="2"/>
  <c r="AM284" i="2" s="1"/>
  <c r="S82" i="1"/>
  <c r="R284" i="2"/>
  <c r="R22" i="2"/>
  <c r="BS7" i="1"/>
  <c r="R33" i="2"/>
  <c r="R34" i="2"/>
  <c r="R283" i="2"/>
  <c r="R35" i="2"/>
  <c r="R36" i="2"/>
  <c r="R57" i="2"/>
  <c r="R40" i="2"/>
  <c r="R38" i="2"/>
  <c r="R285" i="2"/>
  <c r="P88" i="1"/>
  <c r="P71" i="1"/>
  <c r="P40" i="1"/>
  <c r="P89" i="1"/>
  <c r="P34" i="1"/>
  <c r="AK323" i="2"/>
  <c r="AJ323" i="2"/>
  <c r="U46" i="1"/>
  <c r="U130" i="1"/>
  <c r="Q85" i="1"/>
  <c r="Q33" i="1"/>
  <c r="Q45" i="1"/>
  <c r="BX68" i="1"/>
  <c r="BX16" i="1"/>
  <c r="BX15" i="1" s="1"/>
  <c r="BX79" i="1" s="1"/>
  <c r="BX82" i="1"/>
  <c r="BX81" i="1"/>
  <c r="AO269" i="2"/>
  <c r="AO242" i="2"/>
  <c r="AO230" i="2"/>
  <c r="AO206" i="2" s="1"/>
  <c r="AO218" i="2" s="1"/>
  <c r="H260" i="2"/>
  <c r="H263" i="2"/>
  <c r="BY68" i="1"/>
  <c r="BY16" i="1"/>
  <c r="BY15" i="1" s="1"/>
  <c r="BY79" i="1" s="1"/>
  <c r="BY82" i="1"/>
  <c r="BY81" i="1"/>
  <c r="AN27" i="2"/>
  <c r="AN12" i="2"/>
  <c r="AO259" i="2"/>
  <c r="P87" i="1"/>
  <c r="AJ8" i="2" s="1"/>
  <c r="P74" i="1"/>
  <c r="P70" i="1"/>
  <c r="P48" i="1"/>
  <c r="BU68" i="1"/>
  <c r="BU16" i="1"/>
  <c r="BU15" i="1" s="1"/>
  <c r="BU79" i="1" s="1"/>
  <c r="BU81" i="1"/>
  <c r="BU82" i="1"/>
  <c r="Y22" i="2"/>
  <c r="BZ7" i="1"/>
  <c r="Y35" i="2"/>
  <c r="Y284" i="2"/>
  <c r="Y283" i="2"/>
  <c r="Y33" i="2"/>
  <c r="Y34" i="2"/>
  <c r="Y36" i="2"/>
  <c r="Y38" i="2"/>
  <c r="Y57" i="2"/>
  <c r="Y40" i="2"/>
  <c r="Y285" i="2"/>
  <c r="K200" i="2"/>
  <c r="J224" i="2"/>
  <c r="U181" i="1"/>
  <c r="AK249" i="2"/>
  <c r="P86" i="1" l="1"/>
  <c r="P73" i="1"/>
  <c r="AO273" i="2"/>
  <c r="AO246" i="2"/>
  <c r="Q87" i="1"/>
  <c r="AK8" i="2" s="1"/>
  <c r="Q70" i="1"/>
  <c r="Q74" i="1"/>
  <c r="Q48" i="1"/>
  <c r="AJ4" i="2"/>
  <c r="P204" i="1"/>
  <c r="P213" i="1" s="1"/>
  <c r="P197" i="1"/>
  <c r="P90" i="1"/>
  <c r="P195" i="1" s="1"/>
  <c r="P196" i="1" s="1"/>
  <c r="AJ9" i="2" s="1"/>
  <c r="P72" i="1"/>
  <c r="P63" i="1"/>
  <c r="P65" i="1" s="1"/>
  <c r="P58" i="1"/>
  <c r="P59" i="1" s="1"/>
  <c r="P57" i="1"/>
  <c r="J249" i="2"/>
  <c r="J236" i="2"/>
  <c r="L200" i="2"/>
  <c r="K224" i="2"/>
  <c r="Y32" i="2"/>
  <c r="BZ68" i="1"/>
  <c r="BZ16" i="1"/>
  <c r="BZ15" i="1" s="1"/>
  <c r="BZ79" i="1" s="1"/>
  <c r="BZ81" i="1"/>
  <c r="BZ82" i="1"/>
  <c r="BZ83" i="1"/>
  <c r="AN22" i="2"/>
  <c r="AN33" i="2"/>
  <c r="AN34" i="2"/>
  <c r="AN35" i="2"/>
  <c r="AN40" i="2"/>
  <c r="AN57" i="2"/>
  <c r="AN36" i="2"/>
  <c r="AN38" i="2"/>
  <c r="Q88" i="1"/>
  <c r="Q71" i="1"/>
  <c r="Q40" i="1"/>
  <c r="Q41" i="1" s="1"/>
  <c r="Q89" i="1"/>
  <c r="Q34" i="1"/>
  <c r="U206" i="1"/>
  <c r="BX46" i="1"/>
  <c r="BW46" i="1"/>
  <c r="BZ46" i="1"/>
  <c r="BY46" i="1"/>
  <c r="R32" i="2"/>
  <c r="BZ47" i="1"/>
  <c r="BY47" i="1"/>
  <c r="BX47" i="1"/>
  <c r="BW47" i="1"/>
  <c r="R85" i="1"/>
  <c r="R45" i="1"/>
  <c r="R33" i="1"/>
  <c r="BW68" i="1"/>
  <c r="BW16" i="1"/>
  <c r="BW15" i="1" s="1"/>
  <c r="BW79" i="1" s="1"/>
  <c r="BW81" i="1"/>
  <c r="BW82" i="1"/>
  <c r="BW83" i="1"/>
  <c r="AN279" i="2"/>
  <c r="AN284" i="2" s="1"/>
  <c r="U202" i="1"/>
  <c r="U121" i="1"/>
  <c r="U67" i="1"/>
  <c r="U77" i="1"/>
  <c r="U27" i="1"/>
  <c r="U208" i="1" s="1"/>
  <c r="U19" i="1"/>
  <c r="U17" i="1"/>
  <c r="U15" i="1"/>
  <c r="U5" i="1"/>
  <c r="U38" i="1"/>
  <c r="U37" i="1"/>
  <c r="U205" i="1" s="1"/>
  <c r="U26" i="1"/>
  <c r="U25" i="1"/>
  <c r="U104" i="1" s="1"/>
  <c r="U24" i="1"/>
  <c r="U30" i="1"/>
  <c r="U29" i="1"/>
  <c r="U18" i="1"/>
  <c r="U7" i="1"/>
  <c r="U39" i="1"/>
  <c r="U31" i="1"/>
  <c r="U28" i="1"/>
  <c r="AK263" i="2"/>
  <c r="AK224" i="2"/>
  <c r="AK200" i="2" s="1"/>
  <c r="AK212" i="2" s="1"/>
  <c r="AK236" i="2"/>
  <c r="H274" i="2"/>
  <c r="H197" i="2"/>
  <c r="H7" i="2" s="1"/>
  <c r="P249" i="1"/>
  <c r="P257" i="1" s="1"/>
  <c r="P241" i="1"/>
  <c r="P243" i="1" s="1"/>
  <c r="BS68" i="1"/>
  <c r="BS16" i="1"/>
  <c r="BS81" i="1"/>
  <c r="BS82" i="1"/>
  <c r="BS83" i="1"/>
  <c r="V32" i="2"/>
  <c r="T109" i="1"/>
  <c r="T23" i="1"/>
  <c r="T32" i="1"/>
  <c r="AN278" i="2"/>
  <c r="AN283" i="2" s="1"/>
  <c r="U132" i="1"/>
  <c r="U131" i="1"/>
  <c r="AN37" i="2"/>
  <c r="P41" i="1"/>
  <c r="AO22" i="2"/>
  <c r="AO39" i="2"/>
  <c r="AO34" i="2"/>
  <c r="AO35" i="2"/>
  <c r="AO33" i="2"/>
  <c r="AO57" i="2"/>
  <c r="AO36" i="2"/>
  <c r="AO38" i="2"/>
  <c r="AO40" i="2"/>
  <c r="S80" i="1"/>
  <c r="S15" i="1"/>
  <c r="S79" i="1" s="1"/>
  <c r="I263" i="2"/>
  <c r="I260" i="2"/>
  <c r="S167" i="1"/>
  <c r="S210" i="1"/>
  <c r="T7" i="1"/>
  <c r="T82" i="1" s="1"/>
  <c r="AN280" i="2"/>
  <c r="AN285" i="2" s="1"/>
  <c r="U16" i="1" l="1"/>
  <c r="U80" i="1" s="1"/>
  <c r="AO32" i="2"/>
  <c r="I274" i="2"/>
  <c r="I197" i="2"/>
  <c r="I7" i="2" s="1"/>
  <c r="BS15" i="1"/>
  <c r="T16" i="1"/>
  <c r="T80" i="1" s="1"/>
  <c r="U68" i="1"/>
  <c r="U183" i="1"/>
  <c r="AO10" i="2"/>
  <c r="U199" i="1"/>
  <c r="AO280" i="2"/>
  <c r="AO285" i="2" s="1"/>
  <c r="U83" i="1"/>
  <c r="L224" i="2"/>
  <c r="M200" i="2"/>
  <c r="P171" i="1"/>
  <c r="P60" i="1"/>
  <c r="P52" i="1" s="1"/>
  <c r="Q86" i="1"/>
  <c r="Q73" i="1"/>
  <c r="Q249" i="1"/>
  <c r="Q257" i="1" s="1"/>
  <c r="Q241" i="1"/>
  <c r="Q243" i="1" s="1"/>
  <c r="T83" i="1"/>
  <c r="AK260" i="2"/>
  <c r="T81" i="1"/>
  <c r="AO279" i="2"/>
  <c r="AO284" i="2" s="1"/>
  <c r="U82" i="1"/>
  <c r="U79" i="1"/>
  <c r="R88" i="1"/>
  <c r="R71" i="1"/>
  <c r="R40" i="1"/>
  <c r="R89" i="1"/>
  <c r="R34" i="1"/>
  <c r="AN32" i="2"/>
  <c r="J263" i="2"/>
  <c r="J260" i="2"/>
  <c r="T124" i="1"/>
  <c r="T68" i="1"/>
  <c r="T183" i="1"/>
  <c r="T199" i="1"/>
  <c r="AN10" i="2"/>
  <c r="U137" i="1"/>
  <c r="U129" i="1"/>
  <c r="U109" i="1"/>
  <c r="U32" i="1"/>
  <c r="U23" i="1"/>
  <c r="AO278" i="2"/>
  <c r="AO283" i="2" s="1"/>
  <c r="U81" i="1"/>
  <c r="R87" i="1"/>
  <c r="AL8" i="2" s="1"/>
  <c r="R74" i="1"/>
  <c r="R70" i="1"/>
  <c r="R48" i="1"/>
  <c r="AK4" i="2"/>
  <c r="Q204" i="1"/>
  <c r="Q213" i="1" s="1"/>
  <c r="Q197" i="1"/>
  <c r="Q90" i="1"/>
  <c r="Q195" i="1" s="1"/>
  <c r="Q196" i="1" s="1"/>
  <c r="AK9" i="2" s="1"/>
  <c r="Q72" i="1"/>
  <c r="Q63" i="1"/>
  <c r="Q65" i="1" s="1"/>
  <c r="Q58" i="1"/>
  <c r="Q59" i="1" s="1"/>
  <c r="Q57" i="1"/>
  <c r="Q56" i="1" s="1"/>
  <c r="K249" i="2"/>
  <c r="K236" i="2"/>
  <c r="R86" i="1" l="1"/>
  <c r="R73" i="1"/>
  <c r="T167" i="1"/>
  <c r="T210" i="1"/>
  <c r="M224" i="2"/>
  <c r="N200" i="2"/>
  <c r="BS79" i="1"/>
  <c r="T15" i="1"/>
  <c r="T79" i="1" s="1"/>
  <c r="Q171" i="1"/>
  <c r="Q60" i="1"/>
  <c r="Q52" i="1" s="1"/>
  <c r="R249" i="1"/>
  <c r="R257" i="1" s="1"/>
  <c r="R241" i="1"/>
  <c r="R243" i="1" s="1"/>
  <c r="L249" i="2"/>
  <c r="L236" i="2"/>
  <c r="K263" i="2"/>
  <c r="K260" i="2"/>
  <c r="AL4" i="2"/>
  <c r="R204" i="1"/>
  <c r="R213" i="1" s="1"/>
  <c r="R197" i="1"/>
  <c r="R90" i="1"/>
  <c r="R195" i="1" s="1"/>
  <c r="R196" i="1" s="1"/>
  <c r="AL9" i="2" s="1"/>
  <c r="R72" i="1"/>
  <c r="R63" i="1"/>
  <c r="R65" i="1" s="1"/>
  <c r="R58" i="1"/>
  <c r="R59" i="1" s="1"/>
  <c r="R57" i="1"/>
  <c r="R56" i="1" s="1"/>
  <c r="U124" i="1"/>
  <c r="J274" i="2"/>
  <c r="J197" i="2"/>
  <c r="J7" i="2" s="1"/>
  <c r="R41" i="1"/>
  <c r="AK274" i="2"/>
  <c r="AK197" i="2"/>
  <c r="AK7" i="2" s="1"/>
  <c r="U167" i="1" l="1"/>
  <c r="M249" i="2"/>
  <c r="M236" i="2"/>
  <c r="U210" i="1"/>
  <c r="L260" i="2"/>
  <c r="L263" i="2"/>
  <c r="R171" i="1"/>
  <c r="R60" i="1"/>
  <c r="R52" i="1" s="1"/>
  <c r="K274" i="2"/>
  <c r="K197" i="2"/>
  <c r="K7" i="2" s="1"/>
  <c r="N224" i="2"/>
  <c r="O200" i="2"/>
  <c r="L274" i="2" l="1"/>
  <c r="L197" i="2"/>
  <c r="L7" i="2" s="1"/>
  <c r="P200" i="2"/>
  <c r="O224" i="2"/>
  <c r="N249" i="2"/>
  <c r="N236" i="2"/>
  <c r="M263" i="2"/>
  <c r="M260" i="2"/>
  <c r="AL260" i="2" s="1"/>
  <c r="AL249" i="2"/>
  <c r="AL274" i="2" l="1"/>
  <c r="AL197" i="2"/>
  <c r="AL7" i="2" s="1"/>
  <c r="P224" i="2"/>
  <c r="Q200" i="2"/>
  <c r="AL263" i="2"/>
  <c r="AL224" i="2"/>
  <c r="AL200" i="2" s="1"/>
  <c r="AL212" i="2" s="1"/>
  <c r="AL236" i="2"/>
  <c r="N263" i="2"/>
  <c r="N260" i="2"/>
  <c r="M274" i="2"/>
  <c r="M197" i="2"/>
  <c r="M7" i="2" s="1"/>
  <c r="O249" i="2"/>
  <c r="O236" i="2"/>
  <c r="N274" i="2" l="1"/>
  <c r="N197" i="2"/>
  <c r="N7" i="2" s="1"/>
  <c r="O263" i="2"/>
  <c r="O260" i="2"/>
  <c r="Q224" i="2"/>
  <c r="R200" i="2"/>
  <c r="P249" i="2"/>
  <c r="P236" i="2"/>
  <c r="Q249" i="2" l="1"/>
  <c r="Q236" i="2"/>
  <c r="O274" i="2"/>
  <c r="O197" i="2"/>
  <c r="O7" i="2" s="1"/>
  <c r="P260" i="2"/>
  <c r="P263" i="2"/>
  <c r="S200" i="2"/>
  <c r="R224" i="2"/>
  <c r="Q263" i="2" l="1"/>
  <c r="Q260" i="2"/>
  <c r="AM260" i="2" s="1"/>
  <c r="P274" i="2"/>
  <c r="P197" i="2"/>
  <c r="P7" i="2" s="1"/>
  <c r="BQ12" i="1"/>
  <c r="R249" i="2"/>
  <c r="R236" i="2"/>
  <c r="T200" i="2"/>
  <c r="S224" i="2"/>
  <c r="AM249" i="2"/>
  <c r="AM263" i="2" l="1"/>
  <c r="AM236" i="2"/>
  <c r="AM224" i="2"/>
  <c r="AM200" i="2" s="1"/>
  <c r="AM212" i="2" s="1"/>
  <c r="R263" i="2"/>
  <c r="R260" i="2"/>
  <c r="S249" i="2"/>
  <c r="S236" i="2"/>
  <c r="AM274" i="2"/>
  <c r="AM197" i="2"/>
  <c r="AM7" i="2" s="1"/>
  <c r="Q274" i="2"/>
  <c r="Q197" i="2"/>
  <c r="Q7" i="2" s="1"/>
  <c r="BR12" i="1"/>
  <c r="T224" i="2"/>
  <c r="U200" i="2"/>
  <c r="BQ84" i="1"/>
  <c r="BQ69" i="1"/>
  <c r="BQ13" i="1"/>
  <c r="P235" i="2" s="1"/>
  <c r="BQ20" i="1"/>
  <c r="BQ8" i="1"/>
  <c r="U224" i="2" l="1"/>
  <c r="V200" i="2"/>
  <c r="BQ86" i="1"/>
  <c r="BQ70" i="1"/>
  <c r="BQ85" i="1"/>
  <c r="BQ73" i="1"/>
  <c r="BQ45" i="1"/>
  <c r="BQ33" i="1"/>
  <c r="S263" i="2"/>
  <c r="S260" i="2"/>
  <c r="T249" i="2"/>
  <c r="T236" i="2"/>
  <c r="BQ10" i="1"/>
  <c r="S8" i="1"/>
  <c r="S10" i="1" s="1"/>
  <c r="BR84" i="1"/>
  <c r="BR69" i="1"/>
  <c r="BR20" i="1"/>
  <c r="BR13" i="1"/>
  <c r="Q235" i="2" s="1"/>
  <c r="BR8" i="1"/>
  <c r="BR10" i="1" s="1"/>
  <c r="R274" i="2"/>
  <c r="R197" i="2"/>
  <c r="R7" i="2" s="1"/>
  <c r="BS12" i="1"/>
  <c r="S125" i="1" l="1"/>
  <c r="S140" i="1"/>
  <c r="S12" i="1"/>
  <c r="BQ88" i="1"/>
  <c r="BQ71" i="1"/>
  <c r="BQ36" i="1"/>
  <c r="BQ34" i="1"/>
  <c r="T260" i="2"/>
  <c r="T263" i="2"/>
  <c r="BQ87" i="1"/>
  <c r="P8" i="2" s="1"/>
  <c r="BQ74" i="1"/>
  <c r="BQ48" i="1"/>
  <c r="S274" i="2"/>
  <c r="S197" i="2"/>
  <c r="S7" i="2" s="1"/>
  <c r="BT12" i="1"/>
  <c r="V224" i="2"/>
  <c r="W200" i="2"/>
  <c r="BR86" i="1"/>
  <c r="BR85" i="1"/>
  <c r="BR73" i="1"/>
  <c r="BR70" i="1"/>
  <c r="BR45" i="1"/>
  <c r="BR33" i="1"/>
  <c r="BS84" i="1"/>
  <c r="BS69" i="1"/>
  <c r="BS20" i="1"/>
  <c r="BS13" i="1"/>
  <c r="R235" i="2" s="1"/>
  <c r="BS8" i="1"/>
  <c r="U249" i="2"/>
  <c r="AN249" i="2" s="1"/>
  <c r="U236" i="2"/>
  <c r="AN263" i="2" l="1"/>
  <c r="AN236" i="2"/>
  <c r="AN224" i="2"/>
  <c r="AN200" i="2" s="1"/>
  <c r="AN212" i="2" s="1"/>
  <c r="W224" i="2"/>
  <c r="X200" i="2"/>
  <c r="BS10" i="1"/>
  <c r="V249" i="2"/>
  <c r="V236" i="2"/>
  <c r="T274" i="2"/>
  <c r="T197" i="2"/>
  <c r="T7" i="2" s="1"/>
  <c r="BU12" i="1"/>
  <c r="S84" i="1"/>
  <c r="S69" i="1"/>
  <c r="S13" i="1"/>
  <c r="S20" i="1"/>
  <c r="S36" i="1"/>
  <c r="S212" i="1"/>
  <c r="S169" i="1"/>
  <c r="S143" i="1"/>
  <c r="S148" i="1" s="1"/>
  <c r="BR88" i="1"/>
  <c r="BR71" i="1"/>
  <c r="BR36" i="1"/>
  <c r="BR37" i="1" s="1"/>
  <c r="BR34" i="1"/>
  <c r="BT84" i="1"/>
  <c r="BT69" i="1"/>
  <c r="BT20" i="1"/>
  <c r="BT13" i="1"/>
  <c r="S235" i="2" s="1"/>
  <c r="BT8" i="1"/>
  <c r="BT10" i="1" s="1"/>
  <c r="U263" i="2"/>
  <c r="U260" i="2"/>
  <c r="AN260" i="2" s="1"/>
  <c r="BS86" i="1"/>
  <c r="BS85" i="1"/>
  <c r="BS73" i="1"/>
  <c r="BS70" i="1"/>
  <c r="BS33" i="1"/>
  <c r="BS45" i="1"/>
  <c r="BR87" i="1"/>
  <c r="Q8" i="2" s="1"/>
  <c r="BR74" i="1"/>
  <c r="BR48" i="1"/>
  <c r="BQ37" i="1"/>
  <c r="S168" i="1"/>
  <c r="S211" i="1"/>
  <c r="S209" i="1" s="1"/>
  <c r="AN274" i="2" l="1"/>
  <c r="AN197" i="2"/>
  <c r="AN7" i="2" s="1"/>
  <c r="BR43" i="1"/>
  <c r="BR40" i="1"/>
  <c r="BS87" i="1"/>
  <c r="R8" i="2" s="1"/>
  <c r="BS74" i="1"/>
  <c r="BS48" i="1"/>
  <c r="S85" i="1"/>
  <c r="S45" i="1"/>
  <c r="S33" i="1"/>
  <c r="X224" i="2"/>
  <c r="Y200" i="2"/>
  <c r="Y224" i="2" s="1"/>
  <c r="BQ43" i="1"/>
  <c r="S37" i="1"/>
  <c r="BQ40" i="1"/>
  <c r="BS88" i="1"/>
  <c r="BS71" i="1"/>
  <c r="BS36" i="1"/>
  <c r="BS40" i="1" s="1"/>
  <c r="U274" i="2"/>
  <c r="U197" i="2"/>
  <c r="U7" i="2" s="1"/>
  <c r="BV12" i="1"/>
  <c r="BT86" i="1"/>
  <c r="BT73" i="1"/>
  <c r="BT70" i="1"/>
  <c r="BT85" i="1"/>
  <c r="BT45" i="1"/>
  <c r="BT33" i="1"/>
  <c r="BU84" i="1"/>
  <c r="BU69" i="1"/>
  <c r="BU13" i="1"/>
  <c r="T235" i="2" s="1"/>
  <c r="BU20" i="1"/>
  <c r="BU8" i="1"/>
  <c r="BU10" i="1" s="1"/>
  <c r="V263" i="2"/>
  <c r="V260" i="2"/>
  <c r="W249" i="2"/>
  <c r="W236" i="2"/>
  <c r="R4" i="2" l="1"/>
  <c r="BS90" i="1"/>
  <c r="BS72" i="1"/>
  <c r="BS50" i="1"/>
  <c r="BS51" i="1"/>
  <c r="Q4" i="2"/>
  <c r="BR90" i="1"/>
  <c r="BR72" i="1"/>
  <c r="BR51" i="1"/>
  <c r="BR50" i="1"/>
  <c r="BV84" i="1"/>
  <c r="BV69" i="1"/>
  <c r="BV20" i="1"/>
  <c r="BV13" i="1"/>
  <c r="U235" i="2" s="1"/>
  <c r="BV8" i="1"/>
  <c r="BV10" i="1" s="1"/>
  <c r="BS41" i="1"/>
  <c r="P4" i="2"/>
  <c r="BQ90" i="1"/>
  <c r="BQ72" i="1"/>
  <c r="BQ51" i="1"/>
  <c r="S51" i="1" s="1"/>
  <c r="BQ50" i="1"/>
  <c r="X249" i="2"/>
  <c r="X236" i="2"/>
  <c r="T8" i="1"/>
  <c r="T10" i="1" s="1"/>
  <c r="Y249" i="2"/>
  <c r="Y236" i="2"/>
  <c r="W263" i="2"/>
  <c r="W260" i="2"/>
  <c r="BU86" i="1"/>
  <c r="BU70" i="1"/>
  <c r="BU85" i="1"/>
  <c r="BU73" i="1"/>
  <c r="BU45" i="1"/>
  <c r="BU33" i="1"/>
  <c r="S205" i="1"/>
  <c r="S156" i="1"/>
  <c r="T156" i="1" s="1"/>
  <c r="U156" i="1" s="1"/>
  <c r="S88" i="1"/>
  <c r="S71" i="1"/>
  <c r="S40" i="1"/>
  <c r="S34" i="1"/>
  <c r="S89" i="1"/>
  <c r="AO249" i="2"/>
  <c r="BT88" i="1"/>
  <c r="BT71" i="1"/>
  <c r="BT36" i="1"/>
  <c r="BT40" i="1" s="1"/>
  <c r="BQ41" i="1"/>
  <c r="V274" i="2"/>
  <c r="V197" i="2"/>
  <c r="V7" i="2" s="1"/>
  <c r="BW12" i="1"/>
  <c r="BT87" i="1"/>
  <c r="S8" i="2" s="1"/>
  <c r="BT74" i="1"/>
  <c r="BT48" i="1"/>
  <c r="BS43" i="1"/>
  <c r="S87" i="1"/>
  <c r="AM8" i="2" s="1"/>
  <c r="S74" i="1"/>
  <c r="S70" i="1"/>
  <c r="S48" i="1"/>
  <c r="BR41" i="1"/>
  <c r="S4" i="2" l="1"/>
  <c r="BT90" i="1"/>
  <c r="BT72" i="1"/>
  <c r="BT51" i="1"/>
  <c r="BT50" i="1"/>
  <c r="AO263" i="2"/>
  <c r="AO224" i="2"/>
  <c r="AO200" i="2" s="1"/>
  <c r="AO236" i="2"/>
  <c r="AM4" i="2"/>
  <c r="S204" i="1"/>
  <c r="S214" i="1" s="1"/>
  <c r="S90" i="1"/>
  <c r="S195" i="1" s="1"/>
  <c r="S72" i="1"/>
  <c r="S63" i="1"/>
  <c r="S64" i="1" s="1"/>
  <c r="S58" i="1"/>
  <c r="S59" i="1" s="1"/>
  <c r="S153" i="1"/>
  <c r="W274" i="2"/>
  <c r="W197" i="2"/>
  <c r="W7" i="2" s="1"/>
  <c r="BX12" i="1"/>
  <c r="T125" i="1"/>
  <c r="T140" i="1"/>
  <c r="T12" i="1"/>
  <c r="R5" i="2"/>
  <c r="BS75" i="1"/>
  <c r="R6" i="2" s="1"/>
  <c r="S86" i="1"/>
  <c r="S73" i="1"/>
  <c r="BW84" i="1"/>
  <c r="BW69" i="1"/>
  <c r="BW20" i="1"/>
  <c r="BW13" i="1"/>
  <c r="V235" i="2" s="1"/>
  <c r="BW8" i="1"/>
  <c r="BT41" i="1"/>
  <c r="S41" i="1"/>
  <c r="BT43" i="1"/>
  <c r="S249" i="1"/>
  <c r="S241" i="1"/>
  <c r="BU88" i="1"/>
  <c r="BU71" i="1"/>
  <c r="BU36" i="1"/>
  <c r="BU43" i="1"/>
  <c r="X260" i="2"/>
  <c r="X263" i="2"/>
  <c r="Q5" i="2"/>
  <c r="BR75" i="1"/>
  <c r="Q6" i="2" s="1"/>
  <c r="BU87" i="1"/>
  <c r="T8" i="2" s="1"/>
  <c r="BU74" i="1"/>
  <c r="BU48" i="1"/>
  <c r="Y263" i="2"/>
  <c r="Y260" i="2"/>
  <c r="P5" i="2"/>
  <c r="BQ75" i="1"/>
  <c r="P6" i="2" s="1"/>
  <c r="S50" i="1"/>
  <c r="S57" i="1" s="1"/>
  <c r="BV86" i="1"/>
  <c r="BV85" i="1"/>
  <c r="BV73" i="1"/>
  <c r="BV70" i="1"/>
  <c r="BV45" i="1"/>
  <c r="BV33" i="1"/>
  <c r="BV87" i="1" l="1"/>
  <c r="U8" i="2" s="1"/>
  <c r="BV74" i="1"/>
  <c r="BV48" i="1"/>
  <c r="Y274" i="2"/>
  <c r="Y197" i="2"/>
  <c r="Y7" i="2" s="1"/>
  <c r="BZ12" i="1"/>
  <c r="X274" i="2"/>
  <c r="X197" i="2"/>
  <c r="X7" i="2" s="1"/>
  <c r="BY12" i="1"/>
  <c r="AO260" i="2"/>
  <c r="T212" i="1"/>
  <c r="T169" i="1"/>
  <c r="T143" i="1"/>
  <c r="T148" i="1" s="1"/>
  <c r="AM5" i="2"/>
  <c r="S75" i="1"/>
  <c r="AM6" i="2" s="1"/>
  <c r="BW10" i="1"/>
  <c r="T168" i="1"/>
  <c r="T211" i="1"/>
  <c r="S60" i="1"/>
  <c r="S52" i="1" s="1"/>
  <c r="AO212" i="2"/>
  <c r="BX84" i="1"/>
  <c r="BX69" i="1"/>
  <c r="BX20" i="1"/>
  <c r="BX13" i="1"/>
  <c r="W235" i="2" s="1"/>
  <c r="BX8" i="1"/>
  <c r="BX10" i="1" s="1"/>
  <c r="S155" i="1"/>
  <c r="S171" i="1" s="1"/>
  <c r="S222" i="1"/>
  <c r="S228" i="1" s="1"/>
  <c r="S232" i="1" s="1"/>
  <c r="S55" i="1"/>
  <c r="S56" i="1"/>
  <c r="S200" i="1"/>
  <c r="BV88" i="1"/>
  <c r="BV71" i="1"/>
  <c r="BV36" i="1"/>
  <c r="BV40" i="1" s="1"/>
  <c r="BV43" i="1"/>
  <c r="BU40" i="1"/>
  <c r="BU41" i="1" s="1"/>
  <c r="BW85" i="1"/>
  <c r="BW73" i="1"/>
  <c r="BW70" i="1"/>
  <c r="BW86" i="1"/>
  <c r="BW33" i="1"/>
  <c r="BW45" i="1"/>
  <c r="T69" i="1"/>
  <c r="T84" i="1"/>
  <c r="T20" i="1"/>
  <c r="T13" i="1"/>
  <c r="S5" i="2"/>
  <c r="BT75" i="1"/>
  <c r="S6" i="2" s="1"/>
  <c r="T209" i="1" l="1"/>
  <c r="BV41" i="1"/>
  <c r="S236" i="1"/>
  <c r="S123" i="1"/>
  <c r="T85" i="1"/>
  <c r="T45" i="1"/>
  <c r="T33" i="1"/>
  <c r="U4" i="2"/>
  <c r="BV90" i="1"/>
  <c r="BV72" i="1"/>
  <c r="BV51" i="1"/>
  <c r="BV50" i="1"/>
  <c r="T4" i="2"/>
  <c r="BU90" i="1"/>
  <c r="BU72" i="1"/>
  <c r="BU51" i="1"/>
  <c r="BU50" i="1"/>
  <c r="S247" i="1"/>
  <c r="S248" i="1" s="1"/>
  <c r="S257" i="1" s="1"/>
  <c r="S157" i="1"/>
  <c r="BX86" i="1"/>
  <c r="BX73" i="1"/>
  <c r="BX70" i="1"/>
  <c r="BX85" i="1"/>
  <c r="BX45" i="1"/>
  <c r="BX33" i="1"/>
  <c r="AO274" i="2"/>
  <c r="AO197" i="2"/>
  <c r="AO7" i="2" s="1"/>
  <c r="BZ84" i="1"/>
  <c r="BZ69" i="1"/>
  <c r="BZ20" i="1"/>
  <c r="BZ13" i="1"/>
  <c r="Y235" i="2" s="1"/>
  <c r="BZ8" i="1"/>
  <c r="BZ10" i="1" s="1"/>
  <c r="BW87" i="1"/>
  <c r="V8" i="2" s="1"/>
  <c r="BW74" i="1"/>
  <c r="BW48" i="1"/>
  <c r="BY84" i="1"/>
  <c r="BY69" i="1"/>
  <c r="BY13" i="1"/>
  <c r="X235" i="2" s="1"/>
  <c r="BY20" i="1"/>
  <c r="BY8" i="1"/>
  <c r="BY10" i="1" s="1"/>
  <c r="BW88" i="1"/>
  <c r="BW71" i="1"/>
  <c r="BW40" i="1"/>
  <c r="BW41" i="1" s="1"/>
  <c r="BW36" i="1"/>
  <c r="BW43" i="1" s="1"/>
  <c r="T51" i="1" l="1"/>
  <c r="U8" i="1"/>
  <c r="U10" i="1" s="1"/>
  <c r="V4" i="2"/>
  <c r="BW90" i="1"/>
  <c r="BW72" i="1"/>
  <c r="BW50" i="1"/>
  <c r="BW51" i="1"/>
  <c r="BY86" i="1"/>
  <c r="BY70" i="1"/>
  <c r="BY85" i="1"/>
  <c r="BY73" i="1"/>
  <c r="BY45" i="1"/>
  <c r="BY33" i="1"/>
  <c r="BX88" i="1"/>
  <c r="BX71" i="1"/>
  <c r="BX36" i="1"/>
  <c r="BX43" i="1"/>
  <c r="T5" i="2"/>
  <c r="BU75" i="1"/>
  <c r="T6" i="2" s="1"/>
  <c r="T50" i="1"/>
  <c r="U5" i="2"/>
  <c r="BV75" i="1"/>
  <c r="U6" i="2" s="1"/>
  <c r="BZ86" i="1"/>
  <c r="BZ85" i="1"/>
  <c r="BZ73" i="1"/>
  <c r="BZ70" i="1"/>
  <c r="BZ45" i="1"/>
  <c r="BZ33" i="1"/>
  <c r="BX87" i="1"/>
  <c r="W8" i="2" s="1"/>
  <c r="BX74" i="1"/>
  <c r="BX48" i="1"/>
  <c r="T88" i="1"/>
  <c r="T71" i="1"/>
  <c r="T34" i="1"/>
  <c r="S234" i="1"/>
  <c r="S108" i="1"/>
  <c r="S173" i="1"/>
  <c r="S174" i="1" s="1"/>
  <c r="S242" i="1"/>
  <c r="S243" i="1" s="1"/>
  <c r="S158" i="1"/>
  <c r="T87" i="1"/>
  <c r="AN8" i="2" s="1"/>
  <c r="T74" i="1"/>
  <c r="T70" i="1"/>
  <c r="T48" i="1"/>
  <c r="S127" i="1" l="1"/>
  <c r="BZ88" i="1"/>
  <c r="BZ71" i="1"/>
  <c r="BZ36" i="1"/>
  <c r="T36" i="1" s="1"/>
  <c r="AN5" i="2"/>
  <c r="T75" i="1"/>
  <c r="AN6" i="2" s="1"/>
  <c r="BX40" i="1"/>
  <c r="V5" i="2"/>
  <c r="BW75" i="1"/>
  <c r="V6" i="2" s="1"/>
  <c r="U140" i="1"/>
  <c r="U125" i="1"/>
  <c r="U12" i="1"/>
  <c r="BZ87" i="1"/>
  <c r="Y8" i="2" s="1"/>
  <c r="BZ74" i="1"/>
  <c r="BZ48" i="1"/>
  <c r="BY88" i="1"/>
  <c r="BY71" i="1"/>
  <c r="BY36" i="1"/>
  <c r="U36" i="1" s="1"/>
  <c r="T86" i="1"/>
  <c r="T73" i="1"/>
  <c r="BY87" i="1"/>
  <c r="X8" i="2" s="1"/>
  <c r="BY74" i="1"/>
  <c r="BY48" i="1"/>
  <c r="U212" i="1" l="1"/>
  <c r="U169" i="1"/>
  <c r="U143" i="1"/>
  <c r="U148" i="1" s="1"/>
  <c r="W4" i="2"/>
  <c r="BX90" i="1"/>
  <c r="BX72" i="1"/>
  <c r="BX51" i="1"/>
  <c r="BX50" i="1"/>
  <c r="BY40" i="1"/>
  <c r="BZ40" i="1"/>
  <c r="S172" i="1"/>
  <c r="S138" i="1"/>
  <c r="S126" i="1"/>
  <c r="U84" i="1"/>
  <c r="U69" i="1"/>
  <c r="U20" i="1"/>
  <c r="U13" i="1"/>
  <c r="T89" i="1"/>
  <c r="T40" i="1"/>
  <c r="BY43" i="1"/>
  <c r="U168" i="1"/>
  <c r="U211" i="1"/>
  <c r="U209" i="1" s="1"/>
  <c r="BZ43" i="1"/>
  <c r="BX41" i="1"/>
  <c r="AN4" i="2" l="1"/>
  <c r="T204" i="1"/>
  <c r="T214" i="1" s="1"/>
  <c r="T90" i="1"/>
  <c r="T195" i="1" s="1"/>
  <c r="T72" i="1"/>
  <c r="T63" i="1"/>
  <c r="T64" i="1" s="1"/>
  <c r="T58" i="1"/>
  <c r="T59" i="1" s="1"/>
  <c r="T57" i="1"/>
  <c r="T153" i="1"/>
  <c r="U85" i="1"/>
  <c r="U33" i="1"/>
  <c r="U45" i="1"/>
  <c r="S194" i="1"/>
  <c r="S193" i="1"/>
  <c r="S197" i="1"/>
  <c r="S160" i="1"/>
  <c r="T249" i="1"/>
  <c r="T241" i="1"/>
  <c r="Y4" i="2"/>
  <c r="BZ90" i="1"/>
  <c r="BZ72" i="1"/>
  <c r="BZ51" i="1"/>
  <c r="BZ50" i="1"/>
  <c r="BZ41" i="1"/>
  <c r="T41" i="1"/>
  <c r="X4" i="2"/>
  <c r="BY90" i="1"/>
  <c r="BY72" i="1"/>
  <c r="BY51" i="1"/>
  <c r="BY50" i="1"/>
  <c r="BY41" i="1"/>
  <c r="W5" i="2"/>
  <c r="BX75" i="1"/>
  <c r="W6" i="2" s="1"/>
  <c r="U50" i="1"/>
  <c r="U51" i="1" l="1"/>
  <c r="S196" i="1"/>
  <c r="AM9" i="2" s="1"/>
  <c r="AO5" i="2"/>
  <c r="U75" i="1"/>
  <c r="AO6" i="2" s="1"/>
  <c r="T60" i="1"/>
  <c r="T52" i="1" s="1"/>
  <c r="Y5" i="2"/>
  <c r="BZ75" i="1"/>
  <c r="Y6" i="2" s="1"/>
  <c r="U87" i="1"/>
  <c r="AO8" i="2" s="1"/>
  <c r="U70" i="1"/>
  <c r="U74" i="1"/>
  <c r="U48" i="1"/>
  <c r="T155" i="1"/>
  <c r="T171" i="1" s="1"/>
  <c r="T222" i="1"/>
  <c r="T228" i="1" s="1"/>
  <c r="T232" i="1" s="1"/>
  <c r="T55" i="1"/>
  <c r="T56" i="1"/>
  <c r="T200" i="1"/>
  <c r="X5" i="2"/>
  <c r="BY75" i="1"/>
  <c r="X6" i="2" s="1"/>
  <c r="U88" i="1"/>
  <c r="U71" i="1"/>
  <c r="U40" i="1"/>
  <c r="U34" i="1"/>
  <c r="U89" i="1"/>
  <c r="T236" i="1" l="1"/>
  <c r="T123" i="1"/>
  <c r="AO4" i="2"/>
  <c r="U204" i="1"/>
  <c r="U214" i="1" s="1"/>
  <c r="U90" i="1"/>
  <c r="U195" i="1" s="1"/>
  <c r="U72" i="1"/>
  <c r="U63" i="1"/>
  <c r="U64" i="1" s="1"/>
  <c r="U153" i="1" s="1"/>
  <c r="U58" i="1"/>
  <c r="U57" i="1"/>
  <c r="U86" i="1"/>
  <c r="U73" i="1"/>
  <c r="U249" i="1"/>
  <c r="U241" i="1"/>
  <c r="U41" i="1"/>
  <c r="T247" i="1"/>
  <c r="T248" i="1" s="1"/>
  <c r="T257" i="1" s="1"/>
  <c r="T157" i="1"/>
  <c r="U155" i="1" l="1"/>
  <c r="U222" i="1"/>
  <c r="U228" i="1" s="1"/>
  <c r="U232" i="1" s="1"/>
  <c r="U56" i="1"/>
  <c r="U55" i="1"/>
  <c r="U200" i="1"/>
  <c r="U59" i="1"/>
  <c r="T234" i="1"/>
  <c r="T108" i="1"/>
  <c r="T173" i="1"/>
  <c r="T174" i="1" s="1"/>
  <c r="T242" i="1"/>
  <c r="T243" i="1" s="1"/>
  <c r="T158" i="1"/>
  <c r="U236" i="1" l="1"/>
  <c r="U123" i="1"/>
  <c r="U171" i="1"/>
  <c r="U60" i="1"/>
  <c r="T127" i="1"/>
  <c r="U247" i="1"/>
  <c r="U248" i="1" s="1"/>
  <c r="U257" i="1" s="1"/>
  <c r="U157" i="1"/>
  <c r="U242" i="1" l="1"/>
  <c r="U243" i="1" s="1"/>
  <c r="U158" i="1"/>
  <c r="T172" i="1"/>
  <c r="T138" i="1"/>
  <c r="T126" i="1"/>
  <c r="U52" i="1"/>
  <c r="U234" i="1"/>
  <c r="U108" i="1"/>
  <c r="U173" i="1"/>
  <c r="U174" i="1" s="1"/>
  <c r="T193" i="1" l="1"/>
  <c r="T197" i="1"/>
  <c r="T194" i="1"/>
  <c r="T160" i="1"/>
  <c r="U127" i="1"/>
  <c r="T196" i="1" l="1"/>
  <c r="AN9" i="2" s="1"/>
  <c r="U126" i="1"/>
  <c r="U172" i="1"/>
  <c r="U138" i="1"/>
  <c r="U194" i="1" l="1"/>
  <c r="U160" i="1"/>
  <c r="U193" i="1"/>
  <c r="U197" i="1"/>
  <c r="U196" i="1" l="1"/>
  <c r="AO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Zhang, Xuan [GIR]</author>
  </authors>
  <commentList>
    <comment ref="B50" authorId="0" shapeId="0" xr:uid="{85D3F38D-E693-4572-8654-E725017F2911}">
      <text>
        <r>
          <rPr>
            <b/>
            <sz val="9"/>
            <color indexed="81"/>
            <rFont val="Tahoma"/>
            <family val="2"/>
          </rPr>
          <t>Zhang, Xuan [GIR]:</t>
        </r>
        <r>
          <rPr>
            <sz val="9"/>
            <color indexed="81"/>
            <rFont val="Tahoma"/>
            <family val="2"/>
          </rPr>
          <t xml:space="preserve">
double check</t>
        </r>
      </text>
    </comment>
  </commentList>
</comments>
</file>

<file path=xl/sharedStrings.xml><?xml version="1.0" encoding="utf-8"?>
<sst xmlns="http://schemas.openxmlformats.org/spreadsheetml/2006/main" count="605" uniqueCount="349">
  <si>
    <t xml:space="preserve">Innolight (300308.SZ) </t>
  </si>
  <si>
    <t>In Rmb millions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</si>
  <si>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</si>
  <si>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</si>
  <si>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</si>
  <si>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</si>
  <si>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</si>
  <si>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</si>
  <si>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</si>
  <si>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</si>
  <si>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</si>
  <si>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</si>
  <si>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</si>
  <si>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</si>
  <si>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</si>
  <si>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</si>
  <si>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</si>
  <si>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</si>
  <si>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</si>
  <si>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</si>
  <si>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</si>
  <si>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</si>
  <si>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</si>
  <si>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</si>
  <si>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</si>
  <si>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</si>
  <si>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</si>
  <si>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</si>
  <si>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</si>
  <si>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</si>
  <si>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</si>
  <si>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</si>
  <si>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</si>
  <si>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</si>
  <si>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</si>
  <si>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</si>
  <si>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</si>
  <si>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</si>
  <si>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</si>
  <si>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</si>
  <si>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</si>
  <si>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</si>
  <si>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</si>
  <si>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</si>
  <si>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</si>
  <si>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</si>
  <si>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</si>
  <si>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</si>
  <si>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</si>
  <si>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</si>
  <si>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</si>
  <si>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</si>
  <si>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</si>
  <si>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</si>
  <si>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1Q27</t>
  </si>
  <si>
    <t>2Q27</t>
  </si>
  <si>
    <t>3Q27</t>
  </si>
  <si>
    <t>4Q27</t>
  </si>
  <si>
    <t>Income statements</t>
  </si>
  <si>
    <t>Total sales/revenues</t>
  </si>
  <si>
    <t>COGS</t>
  </si>
  <si>
    <t>Others</t>
  </si>
  <si>
    <t>Total COGS</t>
  </si>
  <si>
    <t>Gross profit</t>
  </si>
  <si>
    <t>Gross margin %</t>
  </si>
  <si>
    <t>Operating expense</t>
  </si>
  <si>
    <t>Sales tax</t>
  </si>
  <si>
    <t>Marketing expense</t>
  </si>
  <si>
    <t>Administrative expense</t>
  </si>
  <si>
    <t>R&amp;D</t>
  </si>
  <si>
    <t>Operating income</t>
  </si>
  <si>
    <t>Other income (loss)</t>
  </si>
  <si>
    <t>Finance cost</t>
  </si>
  <si>
    <t>Interest income</t>
  </si>
  <si>
    <t>Interest expense</t>
  </si>
  <si>
    <t>Impairement loss</t>
  </si>
  <si>
    <t>Profit/(loss) on disposal of assets (pre-tax)</t>
  </si>
  <si>
    <t>Foreign exchange gain/(loss)</t>
  </si>
  <si>
    <t>Income (loss) from associates</t>
  </si>
  <si>
    <t>Share of results in jointly controlled entities</t>
  </si>
  <si>
    <t>Other non-operating income/expense</t>
  </si>
  <si>
    <t>Pre-tax profit</t>
  </si>
  <si>
    <t>Check</t>
  </si>
  <si>
    <t>Income taxes</t>
  </si>
  <si>
    <t>Minority interest</t>
  </si>
  <si>
    <t>Preferred dividends</t>
  </si>
  <si>
    <t>Extraordinary gain/(loss)</t>
  </si>
  <si>
    <t>Net income</t>
  </si>
  <si>
    <t>Minority as % of net profit</t>
  </si>
  <si>
    <t>EBIT</t>
  </si>
  <si>
    <t>Depreciation</t>
  </si>
  <si>
    <t>Amortization</t>
  </si>
  <si>
    <t>EBITDA</t>
  </si>
  <si>
    <t>EPS - basic</t>
  </si>
  <si>
    <t>EPS - fully diluted</t>
  </si>
  <si>
    <t>EPS (based on current shares outstanding)</t>
  </si>
  <si>
    <t>Common dividends declared</t>
  </si>
  <si>
    <t>Dividends per share</t>
  </si>
  <si>
    <t>Weighted avg. adj. shares outstanding (mn)</t>
  </si>
  <si>
    <t>Fully diluted shares outstanding (mn)</t>
  </si>
  <si>
    <t>Period end shares outstanding (mn)</t>
  </si>
  <si>
    <t>Current shares outstanding</t>
  </si>
  <si>
    <t>Dividend payout</t>
  </si>
  <si>
    <t>Dividend declared</t>
  </si>
  <si>
    <t>Payout ratio</t>
  </si>
  <si>
    <t>Growth YoY%</t>
  </si>
  <si>
    <t>Revenue</t>
  </si>
  <si>
    <t>Profit before tax</t>
  </si>
  <si>
    <t>Net income to common shareholders</t>
  </si>
  <si>
    <t>EPS</t>
  </si>
  <si>
    <t>Margin analysis</t>
  </si>
  <si>
    <t>% of sales</t>
  </si>
  <si>
    <t>Gross margin</t>
  </si>
  <si>
    <t>Operating margin</t>
  </si>
  <si>
    <t>EBITDA margin</t>
    <phoneticPr fontId="0" type="Hiragana"/>
  </si>
  <si>
    <t>EBIT margin</t>
  </si>
  <si>
    <t>Pre-tax margin</t>
  </si>
  <si>
    <t>Effective tax rate (excl. income from associate)</t>
  </si>
  <si>
    <t>Net margins</t>
  </si>
  <si>
    <t>Quarterly distribution</t>
  </si>
  <si>
    <t>Other income statement assumptions</t>
  </si>
  <si>
    <t>Interest income calculation:</t>
  </si>
  <si>
    <t>Previous cash balance</t>
  </si>
  <si>
    <t>Interest income as a % of cash</t>
  </si>
  <si>
    <t>Interest expense calculation:</t>
  </si>
  <si>
    <t>Total debt</t>
  </si>
  <si>
    <t>Interest charges</t>
  </si>
  <si>
    <t>Effective interest rate</t>
  </si>
  <si>
    <t>Cash balance</t>
  </si>
  <si>
    <t>Interest income as % of cash</t>
  </si>
  <si>
    <t>Income from associates:</t>
  </si>
  <si>
    <t>Interests in an associate</t>
  </si>
  <si>
    <t>As a % of interest in associates</t>
  </si>
  <si>
    <t>Income from jointly controlled entities:</t>
  </si>
  <si>
    <t>Interest in a jointly controlled entity</t>
  </si>
  <si>
    <t>As a % of interest in jointly controlled entities</t>
  </si>
  <si>
    <t>Balance sheet</t>
  </si>
  <si>
    <t>Cash and equivalents</t>
  </si>
  <si>
    <t>Account receivable</t>
  </si>
  <si>
    <t>Inventory/stocks</t>
  </si>
  <si>
    <t>Other current assets</t>
  </si>
  <si>
    <t>Current assets</t>
  </si>
  <si>
    <t>Gross PP&amp;E/Fixed assets</t>
  </si>
  <si>
    <t>Less accumulated depreciation</t>
  </si>
  <si>
    <t>!</t>
  </si>
  <si>
    <t>Net PP&amp;E/Fixed assets</t>
  </si>
  <si>
    <t xml:space="preserve">Gross intangibles </t>
  </si>
  <si>
    <t>Accumulated amortization</t>
  </si>
  <si>
    <t>Net intangibles</t>
  </si>
  <si>
    <t>Total investments</t>
  </si>
  <si>
    <t>Other long-term assets</t>
  </si>
  <si>
    <t>Non-current assets</t>
  </si>
  <si>
    <t>Total assets</t>
  </si>
  <si>
    <t xml:space="preserve"> </t>
  </si>
  <si>
    <t>Accounts payable</t>
  </si>
  <si>
    <t>Short-term debt and current portion of long-term debt</t>
  </si>
  <si>
    <t>Other current liabilities</t>
  </si>
  <si>
    <t>Current liabilities</t>
  </si>
  <si>
    <t>Long-term debt</t>
  </si>
  <si>
    <t>Other long-term liabilities/creditors</t>
  </si>
  <si>
    <t>Total long-term liabilities</t>
  </si>
  <si>
    <t xml:space="preserve">Total liabilities   </t>
  </si>
  <si>
    <t>Preferred shares</t>
  </si>
  <si>
    <t>Common stock (includes par value, capital surplus, and treasury)</t>
  </si>
  <si>
    <t>Treasury stock</t>
  </si>
  <si>
    <t>Retained earnings</t>
  </si>
  <si>
    <t>Other common equity</t>
  </si>
  <si>
    <t>Total common equity</t>
  </si>
  <si>
    <t>Minority interest (balance sheet)</t>
  </si>
  <si>
    <t>Total shareholders funds/equity</t>
  </si>
  <si>
    <t>Total liabilities and equity</t>
  </si>
  <si>
    <t>Check (TA=TL&amp;E)</t>
  </si>
  <si>
    <t xml:space="preserve">Balance sheet assumptions </t>
  </si>
  <si>
    <t>Account receivable days</t>
  </si>
  <si>
    <t>Inventory days</t>
  </si>
  <si>
    <t>Account payable days</t>
  </si>
  <si>
    <t>Cash conversion cycle</t>
  </si>
  <si>
    <t xml:space="preserve">AR % to revenue </t>
  </si>
  <si>
    <t>Inventory % to revenue</t>
  </si>
  <si>
    <t>AP % to revenue</t>
  </si>
  <si>
    <t>Book value per share</t>
  </si>
  <si>
    <t>Net working capital</t>
  </si>
  <si>
    <t>Net debt (net cash)</t>
  </si>
  <si>
    <t>Net debt (cash) /total equity</t>
  </si>
  <si>
    <t>Fixed assets</t>
  </si>
  <si>
    <t>Beginning balance</t>
  </si>
  <si>
    <t>Capex (addition for fixed assets)</t>
  </si>
  <si>
    <t>Others (disposals, etc)</t>
  </si>
  <si>
    <t>Ending balance</t>
  </si>
  <si>
    <t>Depreciation as % of Beginning balance</t>
  </si>
  <si>
    <t>Intangible assets</t>
  </si>
  <si>
    <t>Capex (addition for intangibles)</t>
  </si>
  <si>
    <t>Amortization as % of beginning balance</t>
  </si>
  <si>
    <t>Dupont analysis</t>
  </si>
  <si>
    <t>Asset turnover</t>
  </si>
  <si>
    <t>Leverage (assets/equity)</t>
  </si>
  <si>
    <t>Net margin</t>
  </si>
  <si>
    <t>ROE</t>
  </si>
  <si>
    <t>ROA</t>
  </si>
  <si>
    <t>Capex / revenue</t>
  </si>
  <si>
    <t>FCF</t>
  </si>
  <si>
    <t>Cash flow statements</t>
  </si>
  <si>
    <t>Income pre-preferred share dividends</t>
  </si>
  <si>
    <t>Minority interest add-back</t>
  </si>
  <si>
    <t>Depreciation and amortization add-back</t>
  </si>
  <si>
    <t>-Net income from associates and jointly controlled entities</t>
  </si>
  <si>
    <t>-Net (loss)/gain on asset sales</t>
  </si>
  <si>
    <t>(Increase)/decrease in working capital :</t>
  </si>
  <si>
    <t>Accounts receivable</t>
  </si>
  <si>
    <t>Inventory</t>
  </si>
  <si>
    <t>Other operating cash flow items</t>
  </si>
  <si>
    <t>Cash flow from operations</t>
  </si>
  <si>
    <t>Capital expenditure</t>
  </si>
  <si>
    <t>(Acquisitions)/divestitures</t>
  </si>
  <si>
    <t>Investments</t>
  </si>
  <si>
    <t>Other investment cash flow items</t>
  </si>
  <si>
    <t>Cash flow from investing</t>
  </si>
  <si>
    <t xml:space="preserve">Dividends (common and preferred) paid </t>
  </si>
  <si>
    <t>Share repurchase/issue (change In common stock)</t>
  </si>
  <si>
    <t>Increase/(decrease) in total debt</t>
  </si>
  <si>
    <t>Increase/(decrease) in preferred shares</t>
  </si>
  <si>
    <t>Change in minority interest</t>
  </si>
  <si>
    <t>Other financing cash flow items</t>
  </si>
  <si>
    <t>Cash flow from financing</t>
  </si>
  <si>
    <t>Effect of foreign exchange rate changes</t>
  </si>
  <si>
    <t>Other adjustments</t>
  </si>
  <si>
    <t>Net change in cash</t>
  </si>
  <si>
    <t>Check (TCF= Change in B/S Cash)</t>
  </si>
  <si>
    <t>hdd</t>
  </si>
  <si>
    <t>Source: Company data, Goldman Sachs Research estimates.</t>
  </si>
  <si>
    <t>NOPAT</t>
  </si>
  <si>
    <t>Invested Capital</t>
  </si>
  <si>
    <t>ROIC</t>
  </si>
  <si>
    <t>WACC</t>
  </si>
  <si>
    <t>Debt</t>
  </si>
  <si>
    <t>Equity</t>
  </si>
  <si>
    <t>Debt%</t>
  </si>
  <si>
    <t>CoD</t>
  </si>
  <si>
    <t>Risk Free</t>
  </si>
  <si>
    <t>Beta</t>
  </si>
  <si>
    <t>MRP</t>
  </si>
  <si>
    <t>COE</t>
  </si>
  <si>
    <t>(Rmb m)</t>
  </si>
  <si>
    <t>3Q25E</t>
  </si>
  <si>
    <t>4Q25E</t>
  </si>
  <si>
    <t>1Q26E</t>
  </si>
  <si>
    <t>2Q26E</t>
  </si>
  <si>
    <t>3Q26E</t>
  </si>
  <si>
    <t>4Q26E</t>
  </si>
  <si>
    <t>1Q27E</t>
  </si>
  <si>
    <t>2Q27E</t>
  </si>
  <si>
    <t>3Q27E</t>
  </si>
  <si>
    <t>4Q27E</t>
  </si>
  <si>
    <t>2025E</t>
  </si>
  <si>
    <t>2026E</t>
  </si>
  <si>
    <t>2027E</t>
  </si>
  <si>
    <t>Remark</t>
  </si>
  <si>
    <t>YoY</t>
  </si>
  <si>
    <t>GM</t>
  </si>
  <si>
    <t>OPM</t>
  </si>
  <si>
    <t>Capex / Revenue</t>
  </si>
  <si>
    <t>Revenue (Rmb million)</t>
  </si>
  <si>
    <t>10G/40G</t>
  </si>
  <si>
    <t>100G</t>
  </si>
  <si>
    <t>200G</t>
  </si>
  <si>
    <t>400G</t>
  </si>
  <si>
    <t>800G</t>
  </si>
  <si>
    <t>1.6T</t>
  </si>
  <si>
    <t>3.2T</t>
  </si>
  <si>
    <t>Components/others</t>
  </si>
  <si>
    <t>Revenue YoY</t>
  </si>
  <si>
    <t>Components</t>
  </si>
  <si>
    <t>Revenue mix (%)</t>
  </si>
  <si>
    <t>Optical transceivers</t>
  </si>
  <si>
    <t>Revenue by specs (Rmb mn)</t>
  </si>
  <si>
    <t>800G single mode (EML)</t>
  </si>
  <si>
    <t>800G single mode (SiPh)</t>
  </si>
  <si>
    <t>800G multi mode</t>
  </si>
  <si>
    <t>1.6T long-range</t>
  </si>
  <si>
    <t>1.6T short-range</t>
  </si>
  <si>
    <t>Mix</t>
  </si>
  <si>
    <t>SiPh (800G+1.6T)</t>
  </si>
  <si>
    <t>Shipments (mn)</t>
  </si>
  <si>
    <t>1.6T short-range SiPh</t>
  </si>
  <si>
    <t>ASP (US$)(no tariff impact)</t>
  </si>
  <si>
    <t>Price per G (US$)</t>
  </si>
  <si>
    <t>40G</t>
  </si>
  <si>
    <t>ASP YoY</t>
  </si>
  <si>
    <t>1.6T single mode</t>
  </si>
  <si>
    <t>1.6T multi mode</t>
  </si>
  <si>
    <t>USD-CNY exchange rate</t>
  </si>
  <si>
    <t>ASP (Rmb)</t>
  </si>
  <si>
    <t>Company reported revenue (Rmb mn)</t>
  </si>
  <si>
    <t>25G/100G/400G/800G/1.6T</t>
  </si>
  <si>
    <t>Company reported shipment (mn units)</t>
  </si>
  <si>
    <t>Segment subject to Tariff （currently tariff is exempted if shipping from Thailand to US)</t>
  </si>
  <si>
    <t>Tarriff impact (Thailand)</t>
  </si>
  <si>
    <t>Total tariff%</t>
  </si>
  <si>
    <t>Customer to bear</t>
  </si>
  <si>
    <t>Innolight to bear</t>
  </si>
  <si>
    <t>Tariff split (Innolight to bear)</t>
  </si>
  <si>
    <t>ASP impact/drop%</t>
  </si>
  <si>
    <t>Assuming all shipment to US are from Thailand</t>
  </si>
  <si>
    <t>%shipment to US</t>
  </si>
  <si>
    <t>Revenue (US shipment) (Rmb mn)</t>
  </si>
  <si>
    <t>Shipment to US (subject to tariffs) mn units</t>
  </si>
  <si>
    <t>ASP (after tariff impact) (US$)</t>
  </si>
  <si>
    <t>Implied Tariff impact per unit (US$)</t>
  </si>
  <si>
    <t>Unit gross profit (shipment to US) (US$)</t>
  </si>
  <si>
    <t>Gross margin (shipment to US)</t>
  </si>
  <si>
    <t>Tariff impact (Rmb mn)</t>
  </si>
  <si>
    <t>GP breakdown</t>
  </si>
  <si>
    <t>Gross margin (%) actual</t>
  </si>
  <si>
    <t>Gross margin (%)</t>
  </si>
  <si>
    <t>Unit cost (US$)</t>
  </si>
  <si>
    <t xml:space="preserve"> Unit cost QoQ (%)</t>
  </si>
  <si>
    <t>Unit gross profit (US$)</t>
  </si>
  <si>
    <t>Gross profit (Rmb mn)</t>
  </si>
  <si>
    <t>Total</t>
  </si>
  <si>
    <t>Gross margin (considering Tariff)</t>
  </si>
  <si>
    <t>Opex</t>
  </si>
  <si>
    <t>Selling</t>
  </si>
  <si>
    <t>Admin</t>
  </si>
  <si>
    <t>As % of revenue</t>
  </si>
  <si>
    <t>Quarterly split</t>
  </si>
  <si>
    <t>Selling expense</t>
  </si>
  <si>
    <t>Salary</t>
  </si>
  <si>
    <t>D&amp;A</t>
  </si>
  <si>
    <t>Transportation</t>
  </si>
  <si>
    <t>Advertising</t>
  </si>
  <si>
    <t>Admin expense</t>
  </si>
  <si>
    <t>Consulting</t>
  </si>
  <si>
    <t>Stock compensation</t>
  </si>
  <si>
    <t>Rents</t>
  </si>
  <si>
    <t>Office expense</t>
  </si>
  <si>
    <t>Utilities</t>
  </si>
  <si>
    <t>Travel</t>
  </si>
  <si>
    <t>R&amp;D expense</t>
  </si>
  <si>
    <t>Materials</t>
  </si>
  <si>
    <t>License fee</t>
  </si>
  <si>
    <t>Utiliities</t>
  </si>
  <si>
    <t>Amortization of use rights</t>
  </si>
  <si>
    <t>As % of R&amp;D expense</t>
  </si>
  <si>
    <t xml:space="preserve">Minority interests in Thailand </t>
  </si>
  <si>
    <t>Revenue in Thailand (Rmb mn)</t>
  </si>
  <si>
    <t>Reference net margin</t>
  </si>
  <si>
    <t>Net profit (Rmb mn)</t>
  </si>
  <si>
    <t>Minority%</t>
  </si>
  <si>
    <t>Minority interests (Rmb 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</si>
</sst>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76" formatCode="_(* #,##0.00_);_(* \(#,##0.00\);_(* &quot;-&quot;??_);_(@_)"/>
    <numFmt numFmtId="177" formatCode="0.0"/>
    <numFmt numFmtId="178" formatCode="0&quot;E&quot;"/>
    <numFmt numFmtId="179" formatCode="@&quot;E&quot;"/>
    <numFmt numFmtId="180" formatCode="_(* #,##0_);* \(#,##0\);_(* &quot;-&quot;_)"/>
    <numFmt numFmtId="181" formatCode="_(* #,##0.000_);* \(#,##0.000\);_(* &quot;-&quot;_)"/>
    <numFmt numFmtId="182" formatCode="_(* #,##0.0_);* \(#,##0.0\);_(* &quot;-&quot;_)"/>
    <numFmt numFmtId="183" formatCode="_(* #,##0.00_);* \(#,##0.00\);_(* &quot;-&quot;_)"/>
    <numFmt numFmtId="184" formatCode="_(#,##0%_);_(\(#,##0%\);_(&quot;-&quot;?_)"/>
    <numFmt numFmtId="185" formatCode="______@"/>
    <numFmt numFmtId="186" formatCode="_(#,##0.0%_);\(#,##0.0%\);_(&quot;-&quot;?_)"/>
    <numFmt numFmtId="187" formatCode="0.0%"/>
    <numFmt numFmtId="188" formatCode="_(* #,##0_);_(* \(#,##0\);_(* &quot;-&quot;??_);_(@_)"/>
    <numFmt numFmtId="189" formatCode="_(* #,##0.00000_);_(* \(#,##0.00000\);_(* &quot;-&quot;??_);_(@_)"/>
    <numFmt numFmtId="190" formatCode="_(#,##0%_);\(#,##0%\);_(&quot;-&quot;?_)"/>
    <numFmt numFmtId="191" formatCode="_(#,##0.00%_);\(#,##0.00%\);_(&quot;-&quot;?_)"/>
    <numFmt numFmtId="192" formatCode="0.0\x"/>
    <numFmt numFmtId="193" formatCode="_(* #,##0.0_);_(* \(#,##0.0\);_(* &quot;-&quot;??_);_(@_)"/>
  </numFmts>
  <fonts count="67" x14ac:knownFonts="1">
    <font>
      <sz val="10"/>
      <name val="Helvetica"/>
      <family val="2"/>
    </font>
    <font>
      <sz val="11"/>
      <color theme="1"/>
      <name val="等线"/>
      <family val="2"/>
      <scheme val="minor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Helvetica"/>
      <family val="2"/>
    </font>
    <font>
      <sz val="9"/>
      <name val="Helvetica"/>
      <family val="2"/>
    </font>
    <font>
      <b/>
      <sz val="12"/>
      <color theme="0"/>
      <name val="Calibri"/>
      <family val="2"/>
    </font>
    <font>
      <sz val="9"/>
      <color theme="0"/>
      <name val="arial"/>
      <family val="2"/>
    </font>
    <font>
      <sz val="9"/>
      <color theme="0"/>
      <name val="Helvetica"/>
      <family val="2"/>
    </font>
    <font>
      <b/>
      <sz val="9"/>
      <color theme="0"/>
      <name val="arial"/>
      <family val="2"/>
    </font>
    <font>
      <sz val="10"/>
      <color theme="0"/>
      <name val="Helvetica"/>
      <family val="2"/>
    </font>
    <font>
      <sz val="9"/>
      <color indexed="9"/>
      <name val="Arial"/>
      <family val="2"/>
    </font>
    <font>
      <sz val="9"/>
      <name val="Arial"/>
      <family val="2"/>
    </font>
    <font>
      <b/>
      <sz val="9"/>
      <color indexed="17"/>
      <name val="Arial"/>
      <family val="2"/>
    </font>
    <font>
      <sz val="9"/>
      <color indexed="17"/>
      <name val="Arial"/>
      <family val="2"/>
    </font>
    <font>
      <sz val="9"/>
      <color rgb="FFFF0000"/>
      <name val="arial"/>
      <family val="2"/>
    </font>
    <font>
      <b/>
      <sz val="9"/>
      <name val="Helvetica"/>
      <family val="2"/>
    </font>
    <font>
      <i/>
      <sz val="9"/>
      <name val="Arial"/>
      <family val="2"/>
    </font>
    <font>
      <i/>
      <sz val="9"/>
      <color rgb="FFFF0000"/>
      <name val="Arial"/>
      <family val="2"/>
    </font>
    <font>
      <sz val="9"/>
      <color indexed="9"/>
      <name val="Helvetica"/>
      <family val="2"/>
    </font>
    <font>
      <sz val="9"/>
      <color indexed="12"/>
      <name val="Arial"/>
      <family val="2"/>
    </font>
    <font>
      <sz val="9"/>
      <color rgb="FFFF0000"/>
      <name val="Helvetica"/>
      <family val="2"/>
    </font>
    <font>
      <b/>
      <sz val="9"/>
      <color rgb="FFFF0000"/>
      <name val="Arial"/>
      <family val="2"/>
    </font>
    <font>
      <b/>
      <sz val="9"/>
      <color rgb="FF7030A0"/>
      <name val="Arial"/>
      <family val="2"/>
    </font>
    <font>
      <sz val="9"/>
      <color rgb="FF7030A0"/>
      <name val="Arial"/>
      <family val="2"/>
    </font>
    <font>
      <sz val="9"/>
      <color rgb="FF0000FF"/>
      <name val="Arial"/>
      <family val="2"/>
    </font>
    <font>
      <sz val="9"/>
      <color indexed="52"/>
      <name val="Arial"/>
      <family val="2"/>
    </font>
    <font>
      <b/>
      <u/>
      <sz val="9"/>
      <name val="Arial"/>
      <family val="2"/>
    </font>
    <font>
      <b/>
      <sz val="9"/>
      <color indexed="9"/>
      <name val="Arial"/>
      <family val="2"/>
    </font>
    <font>
      <sz val="9"/>
      <color rgb="FFFF9900"/>
      <name val="Arial"/>
      <family val="2"/>
    </font>
    <font>
      <sz val="9"/>
      <color theme="1"/>
      <name val="Arial"/>
      <family val="2"/>
    </font>
    <font>
      <sz val="9"/>
      <color rgb="FFFFC000"/>
      <name val="Helvetica"/>
      <family val="2"/>
    </font>
    <font>
      <sz val="9"/>
      <color rgb="FFFF9900"/>
      <name val="Helvetica"/>
      <family val="2"/>
    </font>
    <font>
      <b/>
      <sz val="9"/>
      <color indexed="10"/>
      <name val="Arial"/>
      <family val="2"/>
    </font>
    <font>
      <sz val="9"/>
      <color theme="9" tint="-0.49998474074526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color theme="0" tint="-0.34998626667073579"/>
      <name val="Arial"/>
      <family val="2"/>
    </font>
    <font>
      <b/>
      <u/>
      <sz val="10"/>
      <name val="Helvetica"/>
      <family val="2"/>
    </font>
    <font>
      <b/>
      <u/>
      <sz val="9"/>
      <color rgb="FF0000FF"/>
      <name val="Arial"/>
      <family val="2"/>
    </font>
    <font>
      <u/>
      <sz val="9"/>
      <name val="Arial"/>
      <family val="2"/>
    </font>
    <font>
      <sz val="9"/>
      <name val="等线 Light"/>
      <family val="2"/>
      <scheme val="major"/>
    </font>
    <font>
      <b/>
      <u/>
      <sz val="9"/>
      <name val="等线 Light"/>
      <family val="2"/>
      <scheme val="major"/>
    </font>
    <font>
      <b/>
      <sz val="9"/>
      <color rgb="FF0000FF"/>
      <name val="Arial"/>
      <family val="2"/>
    </font>
    <font>
      <sz val="9"/>
      <color theme="0" tint="-0.499984740745262"/>
      <name val="Arial"/>
      <family val="2"/>
    </font>
    <font>
      <b/>
      <sz val="9"/>
      <color theme="0" tint="-0.499984740745262"/>
      <name val="Arial"/>
      <family val="2"/>
    </font>
    <font>
      <sz val="10"/>
      <color theme="0" tint="-0.499984740745262"/>
      <name val="Helvetica"/>
      <family val="2"/>
    </font>
    <font>
      <sz val="9"/>
      <color theme="0" tint="-0.499984740745262"/>
      <name val="等线 Light"/>
      <family val="2"/>
      <scheme val="major"/>
    </font>
    <font>
      <b/>
      <sz val="9"/>
      <name val="等线 Light"/>
      <family val="2"/>
      <scheme val="major"/>
    </font>
    <font>
      <b/>
      <sz val="10"/>
      <name val="Helvetica"/>
      <family val="2"/>
    </font>
    <font>
      <b/>
      <sz val="9"/>
      <color rgb="FFFF0000"/>
      <name val="等线 Light"/>
      <family val="2"/>
      <scheme val="major"/>
    </font>
    <font>
      <b/>
      <u val="singleAccounting"/>
      <sz val="9"/>
      <color theme="0"/>
      <name val="Arial"/>
      <family val="2"/>
    </font>
    <font>
      <b/>
      <u/>
      <sz val="9"/>
      <color theme="0"/>
      <name val="Arial"/>
      <family val="2"/>
    </font>
    <font>
      <b/>
      <i/>
      <sz val="9"/>
      <name val="Arial"/>
      <family val="2"/>
    </font>
    <font>
      <b/>
      <i/>
      <sz val="9"/>
      <color rgb="FFFF0000"/>
      <name val="Arial"/>
      <family val="2"/>
    </font>
    <font>
      <i/>
      <sz val="9"/>
      <color theme="0" tint="-0.499984740745262"/>
      <name val="Arial"/>
      <family val="2"/>
    </font>
    <font>
      <b/>
      <sz val="10"/>
      <color rgb="FF0000FF"/>
      <name val="等线 Light"/>
      <family val="2"/>
      <scheme val="major"/>
    </font>
    <font>
      <sz val="10"/>
      <name val="等线 Light"/>
      <family val="2"/>
      <scheme val="major"/>
    </font>
    <font>
      <b/>
      <sz val="10"/>
      <name val="Helvetica"/>
    </font>
    <font>
      <b/>
      <sz val="10"/>
      <name val="等线 Light"/>
      <family val="2"/>
      <scheme val="major"/>
    </font>
    <font>
      <sz val="10"/>
      <color rgb="FFFF0000"/>
      <name val="Helvetica"/>
      <family val="2"/>
    </font>
    <font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176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  <xf numFmtId="9" fontId="4" fillId="0" borderId="0" applyFont="0" applyFill="0" applyBorder="0" applyAlignment="0" applyProtection="0"/>
    <xf numFmtId="0" fontId="4" fillId="0" borderId="0"/>
    <xf numFmtId="176" fontId="4" fillId="0" borderId="0" applyFont="0" applyFill="0" applyBorder="0" applyAlignment="0" applyProtection="0"/>
    <xf numFmtId="3" fontId="1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</cellStyleXfs>
  <cellXfs count="521">
    <xf numFmtId="0" fontId="0" fillId="0" borderId="0" xfId="0"/>
    <xf numFmtId="0" fontId="3" fillId="0" borderId="0" xfId="3" applyFont="1" applyFill="1" applyBorder="1" applyAlignment="1" applyProtection="1"/>
    <xf numFmtId="177" fontId="5" fillId="0" borderId="0" xfId="4" applyNumberFormat="1" applyFont="1" applyAlignment="1">
      <alignment horizontal="right"/>
    </xf>
    <xf numFmtId="0" fontId="5" fillId="0" borderId="0" xfId="4" applyFont="1" applyAlignment="1">
      <alignment horizontal="right"/>
    </xf>
    <xf numFmtId="2" fontId="5" fillId="0" borderId="0" xfId="4" applyNumberFormat="1" applyFont="1" applyAlignment="1">
      <alignment horizontal="right"/>
    </xf>
    <xf numFmtId="10" fontId="5" fillId="0" borderId="0" xfId="5" applyNumberFormat="1" applyFont="1" applyFill="1" applyBorder="1" applyAlignment="1">
      <alignment horizontal="right"/>
    </xf>
    <xf numFmtId="2" fontId="5" fillId="0" borderId="1" xfId="4" applyNumberFormat="1" applyFont="1" applyBorder="1" applyAlignment="1">
      <alignment horizontal="right"/>
    </xf>
    <xf numFmtId="0" fontId="7" fillId="0" borderId="1" xfId="0" applyFont="1" applyBorder="1"/>
    <xf numFmtId="0" fontId="7" fillId="0" borderId="0" xfId="0" applyFont="1"/>
    <xf numFmtId="0" fontId="8" fillId="2" borderId="0" xfId="6" quotePrefix="1" applyFont="1" applyFill="1" applyAlignment="1">
      <alignment horizontal="left" vertical="center"/>
    </xf>
    <xf numFmtId="0" fontId="9" fillId="2" borderId="0" xfId="4" applyFont="1" applyFill="1" applyAlignment="1">
      <alignment horizontal="right"/>
    </xf>
    <xf numFmtId="0" fontId="10" fillId="0" borderId="0" xfId="0" applyFont="1"/>
    <xf numFmtId="0" fontId="9" fillId="2" borderId="1" xfId="4" applyFont="1" applyFill="1" applyBorder="1" applyAlignment="1">
      <alignment horizontal="right"/>
    </xf>
    <xf numFmtId="0" fontId="10" fillId="2" borderId="1" xfId="0" applyFont="1" applyFill="1" applyBorder="1"/>
    <xf numFmtId="0" fontId="10" fillId="2" borderId="0" xfId="0" applyFont="1" applyFill="1"/>
    <xf numFmtId="0" fontId="11" fillId="2" borderId="0" xfId="4" applyFont="1" applyFill="1"/>
    <xf numFmtId="2" fontId="9" fillId="2" borderId="0" xfId="4" applyNumberFormat="1" applyFont="1" applyFill="1" applyAlignment="1">
      <alignment horizontal="right"/>
    </xf>
    <xf numFmtId="0" fontId="9" fillId="0" borderId="0" xfId="4" applyFont="1" applyAlignment="1">
      <alignment horizontal="right"/>
    </xf>
    <xf numFmtId="0" fontId="12" fillId="0" borderId="0" xfId="0" applyFont="1"/>
    <xf numFmtId="0" fontId="11" fillId="2" borderId="0" xfId="4" quotePrefix="1" applyFont="1" applyFill="1" applyAlignment="1">
      <alignment horizontal="right"/>
    </xf>
    <xf numFmtId="178" fontId="11" fillId="2" borderId="0" xfId="4" quotePrefix="1" applyNumberFormat="1" applyFont="1" applyFill="1" applyAlignment="1">
      <alignment horizontal="right"/>
    </xf>
    <xf numFmtId="0" fontId="11" fillId="0" borderId="0" xfId="4" quotePrefix="1" applyFont="1" applyAlignment="1">
      <alignment horizontal="right"/>
    </xf>
    <xf numFmtId="0" fontId="11" fillId="2" borderId="1" xfId="4" quotePrefix="1" applyFont="1" applyFill="1" applyBorder="1" applyAlignment="1">
      <alignment horizontal="right"/>
    </xf>
    <xf numFmtId="0" fontId="11" fillId="2" borderId="0" xfId="4" applyFont="1" applyFill="1" applyAlignment="1">
      <alignment horizontal="right"/>
    </xf>
    <xf numFmtId="0" fontId="11" fillId="2" borderId="1" xfId="4" applyFont="1" applyFill="1" applyBorder="1" applyAlignment="1">
      <alignment horizontal="right"/>
    </xf>
    <xf numFmtId="179" fontId="11" fillId="2" borderId="0" xfId="4" quotePrefix="1" applyNumberFormat="1" applyFont="1" applyFill="1" applyAlignment="1">
      <alignment horizontal="right"/>
    </xf>
    <xf numFmtId="179" fontId="11" fillId="2" borderId="1" xfId="4" quotePrefix="1" applyNumberFormat="1" applyFont="1" applyFill="1" applyBorder="1" applyAlignment="1">
      <alignment horizontal="right"/>
    </xf>
    <xf numFmtId="179" fontId="11" fillId="0" borderId="0" xfId="4" quotePrefix="1" applyNumberFormat="1" applyFont="1" applyAlignment="1">
      <alignment horizontal="right"/>
    </xf>
    <xf numFmtId="0" fontId="5" fillId="0" borderId="0" xfId="4" quotePrefix="1" applyFont="1" applyAlignment="1">
      <alignment horizontal="right"/>
    </xf>
    <xf numFmtId="0" fontId="13" fillId="0" borderId="0" xfId="4" applyFont="1" applyAlignment="1">
      <alignment wrapText="1"/>
    </xf>
    <xf numFmtId="0" fontId="5" fillId="0" borderId="0" xfId="4" applyFont="1"/>
    <xf numFmtId="180" fontId="5" fillId="0" borderId="0" xfId="4" applyNumberFormat="1" applyFont="1" applyAlignment="1">
      <alignment horizontal="right"/>
    </xf>
    <xf numFmtId="181" fontId="5" fillId="0" borderId="0" xfId="4" applyNumberFormat="1" applyFont="1" applyAlignment="1">
      <alignment horizontal="right"/>
    </xf>
    <xf numFmtId="9" fontId="5" fillId="0" borderId="0" xfId="4" applyNumberFormat="1" applyFont="1" applyAlignment="1">
      <alignment horizontal="right"/>
    </xf>
    <xf numFmtId="9" fontId="7" fillId="0" borderId="0" xfId="0" applyNumberFormat="1" applyFont="1"/>
    <xf numFmtId="181" fontId="5" fillId="0" borderId="1" xfId="4" applyNumberFormat="1" applyFont="1" applyBorder="1" applyAlignment="1">
      <alignment horizontal="right"/>
    </xf>
    <xf numFmtId="180" fontId="7" fillId="0" borderId="1" xfId="0" applyNumberFormat="1" applyFont="1" applyBorder="1"/>
    <xf numFmtId="180" fontId="7" fillId="0" borderId="0" xfId="0" applyNumberFormat="1" applyFont="1"/>
    <xf numFmtId="9" fontId="7" fillId="0" borderId="0" xfId="2" applyFont="1" applyFill="1" applyBorder="1"/>
    <xf numFmtId="176" fontId="7" fillId="0" borderId="0" xfId="0" applyNumberFormat="1" applyFont="1"/>
    <xf numFmtId="9" fontId="7" fillId="0" borderId="0" xfId="5" applyFont="1" applyFill="1" applyBorder="1"/>
    <xf numFmtId="180" fontId="13" fillId="0" borderId="0" xfId="4" applyNumberFormat="1" applyFont="1"/>
    <xf numFmtId="180" fontId="5" fillId="0" borderId="0" xfId="4" applyNumberFormat="1" applyFont="1"/>
    <xf numFmtId="9" fontId="14" fillId="0" borderId="0" xfId="4" applyNumberFormat="1" applyFont="1"/>
    <xf numFmtId="180" fontId="5" fillId="0" borderId="1" xfId="4" applyNumberFormat="1" applyFont="1" applyBorder="1"/>
    <xf numFmtId="182" fontId="5" fillId="0" borderId="0" xfId="4" applyNumberFormat="1" applyFont="1"/>
    <xf numFmtId="182" fontId="5" fillId="0" borderId="1" xfId="4" applyNumberFormat="1" applyFont="1" applyBorder="1"/>
    <xf numFmtId="183" fontId="5" fillId="0" borderId="0" xfId="4" applyNumberFormat="1" applyFont="1"/>
    <xf numFmtId="180" fontId="15" fillId="0" borderId="0" xfId="4" applyNumberFormat="1" applyFont="1"/>
    <xf numFmtId="180" fontId="14" fillId="0" borderId="0" xfId="0" applyNumberFormat="1" applyFont="1" applyAlignment="1">
      <alignment horizontal="left" indent="1"/>
    </xf>
    <xf numFmtId="180" fontId="14" fillId="0" borderId="0" xfId="4" applyNumberFormat="1" applyFont="1"/>
    <xf numFmtId="180" fontId="14" fillId="0" borderId="1" xfId="4" applyNumberFormat="1" applyFont="1" applyBorder="1"/>
    <xf numFmtId="180" fontId="16" fillId="0" borderId="0" xfId="4" applyNumberFormat="1" applyFont="1"/>
    <xf numFmtId="180" fontId="14" fillId="0" borderId="0" xfId="4" applyNumberFormat="1" applyFont="1" applyAlignment="1">
      <alignment horizontal="left" indent="1"/>
    </xf>
    <xf numFmtId="180" fontId="16" fillId="0" borderId="1" xfId="4" applyNumberFormat="1" applyFont="1" applyBorder="1"/>
    <xf numFmtId="180" fontId="17" fillId="0" borderId="0" xfId="4" applyNumberFormat="1" applyFont="1"/>
    <xf numFmtId="180" fontId="17" fillId="0" borderId="1" xfId="4" applyNumberFormat="1" applyFont="1" applyBorder="1"/>
    <xf numFmtId="180" fontId="18" fillId="0" borderId="1" xfId="0" applyNumberFormat="1" applyFont="1" applyBorder="1"/>
    <xf numFmtId="180" fontId="18" fillId="0" borderId="0" xfId="0" applyNumberFormat="1" applyFont="1"/>
    <xf numFmtId="180" fontId="14" fillId="0" borderId="0" xfId="0" applyNumberFormat="1" applyFont="1"/>
    <xf numFmtId="180" fontId="14" fillId="0" borderId="2" xfId="4" applyNumberFormat="1" applyFont="1" applyBorder="1"/>
    <xf numFmtId="180" fontId="7" fillId="0" borderId="2" xfId="0" applyNumberFormat="1" applyFont="1" applyBorder="1"/>
    <xf numFmtId="180" fontId="7" fillId="0" borderId="3" xfId="0" applyNumberFormat="1" applyFont="1" applyBorder="1"/>
    <xf numFmtId="180" fontId="5" fillId="0" borderId="4" xfId="4" applyNumberFormat="1" applyFont="1" applyBorder="1"/>
    <xf numFmtId="180" fontId="5" fillId="0" borderId="5" xfId="4" applyNumberFormat="1" applyFont="1" applyBorder="1"/>
    <xf numFmtId="184" fontId="13" fillId="0" borderId="0" xfId="4" applyNumberFormat="1" applyFont="1"/>
    <xf numFmtId="185" fontId="14" fillId="0" borderId="0" xfId="4" applyNumberFormat="1" applyFont="1" applyAlignment="1">
      <alignment horizontal="left" indent="1"/>
    </xf>
    <xf numFmtId="186" fontId="14" fillId="0" borderId="0" xfId="5" applyNumberFormat="1" applyFont="1" applyFill="1" applyBorder="1"/>
    <xf numFmtId="186" fontId="14" fillId="0" borderId="1" xfId="5" applyNumberFormat="1" applyFont="1" applyFill="1" applyBorder="1"/>
    <xf numFmtId="0" fontId="13" fillId="0" borderId="0" xfId="4" applyFont="1"/>
    <xf numFmtId="0" fontId="14" fillId="0" borderId="0" xfId="0" applyFont="1"/>
    <xf numFmtId="187" fontId="19" fillId="0" borderId="0" xfId="5" applyNumberFormat="1" applyFont="1" applyFill="1" applyBorder="1"/>
    <xf numFmtId="188" fontId="19" fillId="0" borderId="0" xfId="1" applyNumberFormat="1" applyFont="1" applyFill="1" applyBorder="1"/>
    <xf numFmtId="188" fontId="14" fillId="0" borderId="0" xfId="1" applyNumberFormat="1" applyFont="1" applyFill="1" applyBorder="1"/>
    <xf numFmtId="187" fontId="19" fillId="0" borderId="1" xfId="5" applyNumberFormat="1" applyFont="1" applyFill="1" applyBorder="1"/>
    <xf numFmtId="188" fontId="20" fillId="0" borderId="0" xfId="7" applyNumberFormat="1" applyFont="1" applyFill="1" applyBorder="1" applyAlignment="1" applyProtection="1"/>
    <xf numFmtId="188" fontId="20" fillId="0" borderId="1" xfId="7" applyNumberFormat="1" applyFont="1" applyFill="1" applyBorder="1" applyAlignment="1" applyProtection="1"/>
    <xf numFmtId="9" fontId="20" fillId="0" borderId="0" xfId="2" applyFont="1" applyFill="1" applyBorder="1" applyAlignment="1" applyProtection="1"/>
    <xf numFmtId="176" fontId="20" fillId="0" borderId="0" xfId="2" applyNumberFormat="1" applyFont="1" applyFill="1" applyBorder="1" applyAlignment="1" applyProtection="1"/>
    <xf numFmtId="176" fontId="20" fillId="0" borderId="1" xfId="2" applyNumberFormat="1" applyFont="1" applyFill="1" applyBorder="1" applyAlignment="1" applyProtection="1"/>
    <xf numFmtId="188" fontId="5" fillId="0" borderId="0" xfId="4" applyNumberFormat="1" applyFont="1"/>
    <xf numFmtId="0" fontId="18" fillId="0" borderId="0" xfId="0" applyFont="1"/>
    <xf numFmtId="188" fontId="5" fillId="0" borderId="1" xfId="4" applyNumberFormat="1" applyFont="1" applyBorder="1"/>
    <xf numFmtId="180" fontId="14" fillId="0" borderId="0" xfId="4" applyNumberFormat="1" applyFont="1" applyAlignment="1">
      <alignment horizontal="left" indent="2"/>
    </xf>
    <xf numFmtId="180" fontId="21" fillId="0" borderId="0" xfId="0" applyNumberFormat="1" applyFont="1"/>
    <xf numFmtId="180" fontId="5" fillId="0" borderId="4" xfId="0" applyNumberFormat="1" applyFont="1" applyBorder="1"/>
    <xf numFmtId="188" fontId="5" fillId="0" borderId="4" xfId="1" applyNumberFormat="1" applyFont="1" applyFill="1" applyBorder="1"/>
    <xf numFmtId="176" fontId="14" fillId="0" borderId="0" xfId="1" applyFont="1" applyFill="1" applyBorder="1"/>
    <xf numFmtId="0" fontId="14" fillId="0" borderId="0" xfId="0" applyFont="1" applyAlignment="1">
      <alignment horizontal="left" indent="1"/>
    </xf>
    <xf numFmtId="180" fontId="14" fillId="0" borderId="0" xfId="5" applyNumberFormat="1" applyFont="1" applyFill="1" applyBorder="1"/>
    <xf numFmtId="9" fontId="14" fillId="0" borderId="0" xfId="2" applyFont="1" applyFill="1" applyBorder="1"/>
    <xf numFmtId="188" fontId="5" fillId="0" borderId="0" xfId="2" applyNumberFormat="1" applyFont="1" applyFill="1" applyBorder="1"/>
    <xf numFmtId="180" fontId="14" fillId="0" borderId="1" xfId="5" applyNumberFormat="1" applyFont="1" applyFill="1" applyBorder="1"/>
    <xf numFmtId="0" fontId="5" fillId="0" borderId="0" xfId="0" applyFont="1"/>
    <xf numFmtId="9" fontId="5" fillId="0" borderId="0" xfId="2" applyFont="1" applyFill="1" applyBorder="1"/>
    <xf numFmtId="176" fontId="5" fillId="0" borderId="0" xfId="1" applyFont="1" applyFill="1" applyBorder="1"/>
    <xf numFmtId="180" fontId="17" fillId="3" borderId="0" xfId="4" applyNumberFormat="1" applyFont="1" applyFill="1"/>
    <xf numFmtId="180" fontId="17" fillId="3" borderId="1" xfId="4" applyNumberFormat="1" applyFont="1" applyFill="1" applyBorder="1"/>
    <xf numFmtId="180" fontId="14" fillId="0" borderId="0" xfId="4" applyNumberFormat="1" applyFont="1" applyAlignment="1">
      <alignment horizontal="left"/>
    </xf>
    <xf numFmtId="180" fontId="22" fillId="0" borderId="0" xfId="4" applyNumberFormat="1" applyFont="1"/>
    <xf numFmtId="176" fontId="14" fillId="0" borderId="0" xfId="4" applyNumberFormat="1" applyFont="1"/>
    <xf numFmtId="188" fontId="14" fillId="0" borderId="0" xfId="4" applyNumberFormat="1" applyFont="1"/>
    <xf numFmtId="182" fontId="5" fillId="0" borderId="4" xfId="4" applyNumberFormat="1" applyFont="1" applyBorder="1"/>
    <xf numFmtId="0" fontId="17" fillId="0" borderId="0" xfId="4" applyFont="1"/>
    <xf numFmtId="0" fontId="20" fillId="0" borderId="0" xfId="4" applyFont="1"/>
    <xf numFmtId="0" fontId="23" fillId="0" borderId="0" xfId="0" applyFont="1"/>
    <xf numFmtId="180" fontId="24" fillId="0" borderId="0" xfId="4" applyNumberFormat="1" applyFont="1"/>
    <xf numFmtId="180" fontId="24" fillId="0" borderId="1" xfId="4" applyNumberFormat="1" applyFont="1" applyBorder="1"/>
    <xf numFmtId="188" fontId="14" fillId="0" borderId="1" xfId="1" applyNumberFormat="1" applyFont="1" applyFill="1" applyBorder="1"/>
    <xf numFmtId="180" fontId="17" fillId="3" borderId="3" xfId="4" applyNumberFormat="1" applyFont="1" applyFill="1" applyBorder="1"/>
    <xf numFmtId="183" fontId="5" fillId="0" borderId="4" xfId="4" applyNumberFormat="1" applyFont="1" applyBorder="1"/>
    <xf numFmtId="182" fontId="5" fillId="0" borderId="5" xfId="4" applyNumberFormat="1" applyFont="1" applyBorder="1"/>
    <xf numFmtId="183" fontId="5" fillId="0" borderId="5" xfId="4" applyNumberFormat="1" applyFont="1" applyBorder="1"/>
    <xf numFmtId="176" fontId="19" fillId="0" borderId="0" xfId="1" applyFont="1" applyFill="1" applyBorder="1" applyAlignment="1" applyProtection="1"/>
    <xf numFmtId="188" fontId="19" fillId="0" borderId="0" xfId="7" applyNumberFormat="1" applyFont="1" applyFill="1" applyBorder="1" applyAlignment="1" applyProtection="1"/>
    <xf numFmtId="187" fontId="24" fillId="0" borderId="0" xfId="2" applyNumberFormat="1" applyFont="1" applyFill="1" applyBorder="1"/>
    <xf numFmtId="188" fontId="24" fillId="0" borderId="0" xfId="1" applyNumberFormat="1" applyFont="1" applyFill="1" applyBorder="1"/>
    <xf numFmtId="9" fontId="5" fillId="0" borderId="0" xfId="4" applyNumberFormat="1" applyFont="1"/>
    <xf numFmtId="180" fontId="25" fillId="0" borderId="1" xfId="4" applyNumberFormat="1" applyFont="1" applyBorder="1"/>
    <xf numFmtId="9" fontId="25" fillId="0" borderId="0" xfId="2" applyFont="1" applyFill="1" applyBorder="1"/>
    <xf numFmtId="187" fontId="5" fillId="0" borderId="0" xfId="2" applyNumberFormat="1" applyFont="1" applyFill="1" applyBorder="1"/>
    <xf numFmtId="180" fontId="5" fillId="0" borderId="1" xfId="2" applyNumberFormat="1" applyFont="1" applyFill="1" applyBorder="1"/>
    <xf numFmtId="188" fontId="5" fillId="0" borderId="0" xfId="1" applyNumberFormat="1" applyFont="1" applyFill="1" applyBorder="1"/>
    <xf numFmtId="180" fontId="5" fillId="0" borderId="0" xfId="2" applyNumberFormat="1" applyFont="1" applyFill="1" applyBorder="1"/>
    <xf numFmtId="9" fontId="26" fillId="0" borderId="1" xfId="2" applyFont="1" applyFill="1" applyBorder="1"/>
    <xf numFmtId="187" fontId="14" fillId="0" borderId="0" xfId="2" applyNumberFormat="1" applyFont="1" applyFill="1" applyBorder="1"/>
    <xf numFmtId="187" fontId="26" fillId="0" borderId="1" xfId="2" applyNumberFormat="1" applyFont="1" applyFill="1" applyBorder="1"/>
    <xf numFmtId="187" fontId="26" fillId="0" borderId="0" xfId="2" applyNumberFormat="1" applyFont="1" applyFill="1" applyBorder="1"/>
    <xf numFmtId="187" fontId="14" fillId="0" borderId="1" xfId="2" applyNumberFormat="1" applyFont="1" applyFill="1" applyBorder="1"/>
    <xf numFmtId="9" fontId="5" fillId="0" borderId="3" xfId="2" applyFont="1" applyFill="1" applyBorder="1"/>
    <xf numFmtId="9" fontId="5" fillId="0" borderId="1" xfId="2" applyFont="1" applyFill="1" applyBorder="1"/>
    <xf numFmtId="180" fontId="14" fillId="0" borderId="4" xfId="0" applyNumberFormat="1" applyFont="1" applyBorder="1"/>
    <xf numFmtId="180" fontId="14" fillId="0" borderId="4" xfId="4" applyNumberFormat="1" applyFont="1" applyBorder="1"/>
    <xf numFmtId="180" fontId="14" fillId="0" borderId="5" xfId="4" applyNumberFormat="1" applyFont="1" applyBorder="1"/>
    <xf numFmtId="188" fontId="14" fillId="0" borderId="1" xfId="4" applyNumberFormat="1" applyFont="1" applyBorder="1"/>
    <xf numFmtId="188" fontId="14" fillId="0" borderId="3" xfId="4" applyNumberFormat="1" applyFont="1" applyBorder="1"/>
    <xf numFmtId="180" fontId="14" fillId="0" borderId="3" xfId="4" applyNumberFormat="1" applyFont="1" applyBorder="1"/>
    <xf numFmtId="180" fontId="14" fillId="0" borderId="6" xfId="4" applyNumberFormat="1" applyFont="1" applyBorder="1"/>
    <xf numFmtId="180" fontId="14" fillId="0" borderId="5" xfId="0" applyNumberFormat="1" applyFont="1" applyBorder="1"/>
    <xf numFmtId="180" fontId="14" fillId="0" borderId="1" xfId="0" applyNumberFormat="1" applyFont="1" applyBorder="1"/>
    <xf numFmtId="183" fontId="14" fillId="0" borderId="0" xfId="4" applyNumberFormat="1" applyFont="1"/>
    <xf numFmtId="183" fontId="14" fillId="0" borderId="1" xfId="4" applyNumberFormat="1" applyFont="1" applyBorder="1"/>
    <xf numFmtId="181" fontId="5" fillId="0" borderId="0" xfId="4" applyNumberFormat="1" applyFont="1"/>
    <xf numFmtId="183" fontId="16" fillId="0" borderId="0" xfId="4" applyNumberFormat="1" applyFont="1"/>
    <xf numFmtId="9" fontId="14" fillId="0" borderId="1" xfId="2" applyFont="1" applyFill="1" applyBorder="1"/>
    <xf numFmtId="0" fontId="20" fillId="0" borderId="0" xfId="0" applyFont="1"/>
    <xf numFmtId="183" fontId="17" fillId="0" borderId="0" xfId="4" applyNumberFormat="1" applyFont="1"/>
    <xf numFmtId="188" fontId="17" fillId="0" borderId="0" xfId="1" applyNumberFormat="1" applyFont="1" applyFill="1" applyBorder="1"/>
    <xf numFmtId="9" fontId="17" fillId="0" borderId="0" xfId="2" applyFont="1" applyFill="1" applyBorder="1"/>
    <xf numFmtId="176" fontId="27" fillId="0" borderId="0" xfId="1" applyFont="1" applyFill="1" applyBorder="1"/>
    <xf numFmtId="187" fontId="17" fillId="0" borderId="0" xfId="2" applyNumberFormat="1" applyFont="1" applyFill="1" applyBorder="1"/>
    <xf numFmtId="176" fontId="14" fillId="0" borderId="1" xfId="1" applyFont="1" applyFill="1" applyBorder="1"/>
    <xf numFmtId="0" fontId="0" fillId="0" borderId="1" xfId="0" applyBorder="1"/>
    <xf numFmtId="181" fontId="17" fillId="0" borderId="0" xfId="4" applyNumberFormat="1" applyFont="1"/>
    <xf numFmtId="183" fontId="13" fillId="0" borderId="0" xfId="4" applyNumberFormat="1" applyFont="1"/>
    <xf numFmtId="183" fontId="7" fillId="0" borderId="0" xfId="0" applyNumberFormat="1" applyFont="1"/>
    <xf numFmtId="182" fontId="14" fillId="0" borderId="0" xfId="4" applyNumberFormat="1" applyFont="1"/>
    <xf numFmtId="182" fontId="14" fillId="0" borderId="1" xfId="4" applyNumberFormat="1" applyFont="1" applyBorder="1"/>
    <xf numFmtId="183" fontId="17" fillId="0" borderId="1" xfId="4" applyNumberFormat="1" applyFont="1" applyBorder="1"/>
    <xf numFmtId="180" fontId="28" fillId="0" borderId="0" xfId="4" applyNumberFormat="1" applyFont="1"/>
    <xf numFmtId="180" fontId="28" fillId="0" borderId="1" xfId="4" applyNumberFormat="1" applyFont="1" applyBorder="1"/>
    <xf numFmtId="9" fontId="28" fillId="0" borderId="0" xfId="2" applyFont="1" applyBorder="1"/>
    <xf numFmtId="0" fontId="29" fillId="0" borderId="0" xfId="8" applyNumberFormat="1" applyFont="1"/>
    <xf numFmtId="0" fontId="14" fillId="0" borderId="0" xfId="8" applyNumberFormat="1"/>
    <xf numFmtId="180" fontId="27" fillId="0" borderId="0" xfId="4" applyNumberFormat="1" applyFont="1"/>
    <xf numFmtId="189" fontId="14" fillId="0" borderId="0" xfId="1" applyNumberFormat="1" applyFont="1" applyFill="1" applyBorder="1"/>
    <xf numFmtId="10" fontId="14" fillId="0" borderId="0" xfId="2" applyNumberFormat="1" applyFont="1" applyFill="1" applyBorder="1"/>
    <xf numFmtId="0" fontId="14" fillId="0" borderId="0" xfId="4" applyFont="1"/>
    <xf numFmtId="190" fontId="14" fillId="0" borderId="0" xfId="5" applyNumberFormat="1" applyFont="1" applyFill="1" applyBorder="1"/>
    <xf numFmtId="190" fontId="14" fillId="0" borderId="1" xfId="5" applyNumberFormat="1" applyFont="1" applyFill="1" applyBorder="1"/>
    <xf numFmtId="184" fontId="30" fillId="0" borderId="0" xfId="4" applyNumberFormat="1" applyFont="1"/>
    <xf numFmtId="190" fontId="5" fillId="0" borderId="0" xfId="5" applyNumberFormat="1" applyFont="1" applyFill="1" applyBorder="1"/>
    <xf numFmtId="9" fontId="18" fillId="0" borderId="0" xfId="0" applyNumberFormat="1" applyFont="1"/>
    <xf numFmtId="190" fontId="5" fillId="0" borderId="1" xfId="5" applyNumberFormat="1" applyFont="1" applyFill="1" applyBorder="1"/>
    <xf numFmtId="190" fontId="14" fillId="0" borderId="0" xfId="4" applyNumberFormat="1" applyFont="1"/>
    <xf numFmtId="186" fontId="14" fillId="0" borderId="0" xfId="4" applyNumberFormat="1" applyFont="1"/>
    <xf numFmtId="190" fontId="14" fillId="0" borderId="1" xfId="4" applyNumberFormat="1" applyFont="1" applyBorder="1"/>
    <xf numFmtId="191" fontId="14" fillId="0" borderId="1" xfId="4" applyNumberFormat="1" applyFont="1" applyBorder="1"/>
    <xf numFmtId="191" fontId="14" fillId="0" borderId="0" xfId="4" applyNumberFormat="1" applyFont="1"/>
    <xf numFmtId="9" fontId="13" fillId="0" borderId="0" xfId="4" applyNumberFormat="1" applyFont="1"/>
    <xf numFmtId="9" fontId="14" fillId="0" borderId="0" xfId="0" applyNumberFormat="1" applyFont="1"/>
    <xf numFmtId="186" fontId="14" fillId="0" borderId="1" xfId="4" applyNumberFormat="1" applyFont="1" applyBorder="1"/>
    <xf numFmtId="186" fontId="17" fillId="3" borderId="0" xfId="4" applyNumberFormat="1" applyFont="1" applyFill="1"/>
    <xf numFmtId="186" fontId="17" fillId="3" borderId="1" xfId="4" applyNumberFormat="1" applyFont="1" applyFill="1" applyBorder="1"/>
    <xf numFmtId="186" fontId="17" fillId="0" borderId="0" xfId="4" applyNumberFormat="1" applyFont="1"/>
    <xf numFmtId="9" fontId="5" fillId="0" borderId="0" xfId="0" applyNumberFormat="1" applyFont="1"/>
    <xf numFmtId="186" fontId="5" fillId="0" borderId="0" xfId="4" applyNumberFormat="1" applyFont="1"/>
    <xf numFmtId="186" fontId="18" fillId="0" borderId="0" xfId="0" applyNumberFormat="1" applyFont="1"/>
    <xf numFmtId="186" fontId="5" fillId="0" borderId="1" xfId="4" applyNumberFormat="1" applyFont="1" applyBorder="1"/>
    <xf numFmtId="186" fontId="7" fillId="0" borderId="0" xfId="0" applyNumberFormat="1" applyFont="1"/>
    <xf numFmtId="9" fontId="7" fillId="0" borderId="1" xfId="0" applyNumberFormat="1" applyFont="1" applyBorder="1"/>
    <xf numFmtId="0" fontId="11" fillId="2" borderId="0" xfId="4" quotePrefix="1" applyFont="1" applyFill="1"/>
    <xf numFmtId="9" fontId="14" fillId="0" borderId="0" xfId="2" applyFont="1" applyBorder="1"/>
    <xf numFmtId="9" fontId="14" fillId="0" borderId="1" xfId="2" applyFont="1" applyBorder="1"/>
    <xf numFmtId="0" fontId="5" fillId="0" borderId="0" xfId="8" applyNumberFormat="1" applyFont="1"/>
    <xf numFmtId="9" fontId="14" fillId="0" borderId="0" xfId="4" applyNumberFormat="1" applyFont="1" applyAlignment="1">
      <alignment horizontal="left" indent="1"/>
    </xf>
    <xf numFmtId="186" fontId="31" fillId="0" borderId="0" xfId="4" applyNumberFormat="1" applyFont="1"/>
    <xf numFmtId="186" fontId="22" fillId="0" borderId="1" xfId="4" applyNumberFormat="1" applyFont="1" applyBorder="1"/>
    <xf numFmtId="186" fontId="22" fillId="0" borderId="0" xfId="4" applyNumberFormat="1" applyFont="1"/>
    <xf numFmtId="190" fontId="32" fillId="0" borderId="0" xfId="4" applyNumberFormat="1" applyFont="1"/>
    <xf numFmtId="186" fontId="32" fillId="0" borderId="0" xfId="4" applyNumberFormat="1" applyFont="1"/>
    <xf numFmtId="180" fontId="14" fillId="3" borderId="0" xfId="4" applyNumberFormat="1" applyFont="1" applyFill="1"/>
    <xf numFmtId="9" fontId="14" fillId="3" borderId="0" xfId="2" applyFont="1" applyFill="1" applyBorder="1"/>
    <xf numFmtId="186" fontId="17" fillId="0" borderId="1" xfId="4" applyNumberFormat="1" applyFont="1" applyBorder="1"/>
    <xf numFmtId="187" fontId="17" fillId="0" borderId="0" xfId="4" applyNumberFormat="1" applyFont="1"/>
    <xf numFmtId="0" fontId="14" fillId="0" borderId="0" xfId="0" applyFont="1" applyAlignment="1">
      <alignment horizontal="left"/>
    </xf>
    <xf numFmtId="0" fontId="29" fillId="0" borderId="0" xfId="4" applyFont="1"/>
    <xf numFmtId="180" fontId="15" fillId="0" borderId="1" xfId="4" applyNumberFormat="1" applyFont="1" applyBorder="1"/>
    <xf numFmtId="180" fontId="31" fillId="0" borderId="1" xfId="4" applyNumberFormat="1" applyFont="1" applyBorder="1"/>
    <xf numFmtId="180" fontId="31" fillId="0" borderId="0" xfId="4" applyNumberFormat="1" applyFont="1"/>
    <xf numFmtId="187" fontId="14" fillId="0" borderId="0" xfId="4" applyNumberFormat="1" applyFont="1"/>
    <xf numFmtId="187" fontId="14" fillId="0" borderId="1" xfId="4" applyNumberFormat="1" applyFont="1" applyBorder="1"/>
    <xf numFmtId="37" fontId="13" fillId="0" borderId="0" xfId="4" applyNumberFormat="1" applyFont="1"/>
    <xf numFmtId="37" fontId="14" fillId="0" borderId="0" xfId="4" applyNumberFormat="1" applyFont="1"/>
    <xf numFmtId="0" fontId="11" fillId="0" borderId="0" xfId="4" applyFont="1" applyAlignment="1">
      <alignment horizontal="right"/>
    </xf>
    <xf numFmtId="0" fontId="11" fillId="0" borderId="1" xfId="4" applyFont="1" applyBorder="1" applyAlignment="1">
      <alignment horizontal="right"/>
    </xf>
    <xf numFmtId="179" fontId="11" fillId="0" borderId="1" xfId="4" quotePrefix="1" applyNumberFormat="1" applyFont="1" applyBorder="1" applyAlignment="1">
      <alignment horizontal="right"/>
    </xf>
    <xf numFmtId="9" fontId="14" fillId="0" borderId="0" xfId="5" applyFont="1" applyFill="1" applyBorder="1"/>
    <xf numFmtId="9" fontId="14" fillId="0" borderId="1" xfId="5" applyFont="1" applyFill="1" applyBorder="1"/>
    <xf numFmtId="49" fontId="14" fillId="0" borderId="1" xfId="4" applyNumberFormat="1" applyFont="1" applyBorder="1"/>
    <xf numFmtId="49" fontId="14" fillId="0" borderId="0" xfId="4" applyNumberFormat="1" applyFont="1"/>
    <xf numFmtId="188" fontId="14" fillId="0" borderId="0" xfId="7" applyNumberFormat="1" applyFont="1" applyFill="1" applyBorder="1"/>
    <xf numFmtId="9" fontId="14" fillId="0" borderId="1" xfId="4" applyNumberFormat="1" applyFont="1" applyBorder="1"/>
    <xf numFmtId="188" fontId="7" fillId="0" borderId="1" xfId="0" applyNumberFormat="1" applyFont="1" applyBorder="1"/>
    <xf numFmtId="188" fontId="7" fillId="0" borderId="0" xfId="0" applyNumberFormat="1" applyFont="1"/>
    <xf numFmtId="180" fontId="33" fillId="0" borderId="1" xfId="0" applyNumberFormat="1" applyFont="1" applyBorder="1"/>
    <xf numFmtId="180" fontId="33" fillId="0" borderId="0" xfId="0" applyNumberFormat="1" applyFont="1"/>
    <xf numFmtId="180" fontId="13" fillId="0" borderId="0" xfId="4" applyNumberFormat="1" applyFont="1" applyAlignment="1">
      <alignment wrapText="1"/>
    </xf>
    <xf numFmtId="180" fontId="14" fillId="0" borderId="0" xfId="0" applyNumberFormat="1" applyFont="1" applyAlignment="1">
      <alignment horizontal="left"/>
    </xf>
    <xf numFmtId="180" fontId="5" fillId="0" borderId="0" xfId="0" applyNumberFormat="1" applyFont="1"/>
    <xf numFmtId="180" fontId="34" fillId="0" borderId="1" xfId="0" applyNumberFormat="1" applyFont="1" applyBorder="1"/>
    <xf numFmtId="180" fontId="34" fillId="0" borderId="0" xfId="0" applyNumberFormat="1" applyFont="1"/>
    <xf numFmtId="43" fontId="14" fillId="0" borderId="0" xfId="4" applyNumberFormat="1" applyFont="1"/>
    <xf numFmtId="43" fontId="14" fillId="0" borderId="1" xfId="4" applyNumberFormat="1" applyFont="1" applyBorder="1"/>
    <xf numFmtId="180" fontId="23" fillId="0" borderId="0" xfId="4" applyNumberFormat="1" applyFont="1" applyProtection="1">
      <protection locked="0"/>
    </xf>
    <xf numFmtId="176" fontId="23" fillId="0" borderId="0" xfId="1" applyFont="1" applyBorder="1" applyProtection="1">
      <protection locked="0"/>
    </xf>
    <xf numFmtId="9" fontId="23" fillId="0" borderId="0" xfId="5" applyFont="1" applyFill="1" applyBorder="1" applyProtection="1">
      <protection locked="0"/>
    </xf>
    <xf numFmtId="180" fontId="23" fillId="0" borderId="1" xfId="4" applyNumberFormat="1" applyFont="1" applyBorder="1" applyProtection="1">
      <protection locked="0"/>
    </xf>
    <xf numFmtId="180" fontId="7" fillId="0" borderId="0" xfId="4" applyNumberFormat="1" applyFont="1" applyProtection="1">
      <protection locked="0"/>
    </xf>
    <xf numFmtId="0" fontId="35" fillId="0" borderId="0" xfId="4" applyFont="1"/>
    <xf numFmtId="187" fontId="14" fillId="0" borderId="0" xfId="2" applyNumberFormat="1" applyFont="1" applyBorder="1"/>
    <xf numFmtId="180" fontId="5" fillId="0" borderId="0" xfId="4" applyNumberFormat="1" applyFont="1" applyAlignment="1">
      <alignment horizontal="left"/>
    </xf>
    <xf numFmtId="180" fontId="23" fillId="0" borderId="1" xfId="0" applyNumberFormat="1" applyFont="1" applyBorder="1"/>
    <xf numFmtId="180" fontId="23" fillId="0" borderId="0" xfId="0" applyNumberFormat="1" applyFont="1"/>
    <xf numFmtId="180" fontId="5" fillId="0" borderId="0" xfId="9" applyNumberFormat="1" applyFont="1"/>
    <xf numFmtId="180" fontId="14" fillId="0" borderId="0" xfId="9" applyNumberFormat="1" applyFont="1"/>
    <xf numFmtId="180" fontId="14" fillId="0" borderId="1" xfId="9" applyNumberFormat="1" applyFont="1" applyBorder="1"/>
    <xf numFmtId="9" fontId="7" fillId="0" borderId="0" xfId="2" applyFont="1" applyBorder="1"/>
    <xf numFmtId="180" fontId="36" fillId="4" borderId="0" xfId="4" applyNumberFormat="1" applyFont="1" applyFill="1"/>
    <xf numFmtId="190" fontId="7" fillId="0" borderId="0" xfId="0" applyNumberFormat="1" applyFont="1"/>
    <xf numFmtId="9" fontId="17" fillId="3" borderId="0" xfId="2" applyFont="1" applyFill="1" applyBorder="1"/>
    <xf numFmtId="4" fontId="0" fillId="0" borderId="0" xfId="0" applyNumberFormat="1"/>
    <xf numFmtId="188" fontId="17" fillId="3" borderId="0" xfId="1" applyNumberFormat="1" applyFont="1" applyFill="1" applyBorder="1"/>
    <xf numFmtId="180" fontId="36" fillId="0" borderId="0" xfId="4" applyNumberFormat="1" applyFont="1"/>
    <xf numFmtId="180" fontId="36" fillId="0" borderId="1" xfId="4" applyNumberFormat="1" applyFont="1" applyBorder="1"/>
    <xf numFmtId="0" fontId="11" fillId="0" borderId="1" xfId="4" quotePrefix="1" applyFont="1" applyBorder="1" applyAlignment="1">
      <alignment horizontal="right"/>
    </xf>
    <xf numFmtId="0" fontId="21" fillId="0" borderId="0" xfId="0" applyFont="1"/>
    <xf numFmtId="182" fontId="7" fillId="0" borderId="0" xfId="0" applyNumberFormat="1" applyFont="1"/>
    <xf numFmtId="182" fontId="7" fillId="0" borderId="1" xfId="0" applyNumberFormat="1" applyFont="1" applyBorder="1"/>
    <xf numFmtId="192" fontId="7" fillId="0" borderId="0" xfId="0" applyNumberFormat="1" applyFont="1"/>
    <xf numFmtId="192" fontId="7" fillId="0" borderId="1" xfId="0" applyNumberFormat="1" applyFont="1" applyBorder="1"/>
    <xf numFmtId="187" fontId="7" fillId="0" borderId="0" xfId="2" applyNumberFormat="1" applyFont="1" applyBorder="1"/>
    <xf numFmtId="187" fontId="7" fillId="0" borderId="0" xfId="2" applyNumberFormat="1" applyFont="1" applyFill="1" applyBorder="1"/>
    <xf numFmtId="187" fontId="7" fillId="0" borderId="1" xfId="2" applyNumberFormat="1" applyFont="1" applyFill="1" applyBorder="1"/>
    <xf numFmtId="9" fontId="7" fillId="0" borderId="1" xfId="2" applyFont="1" applyFill="1" applyBorder="1"/>
    <xf numFmtId="9" fontId="7" fillId="0" borderId="1" xfId="2" applyFont="1" applyBorder="1"/>
    <xf numFmtId="180" fontId="14" fillId="0" borderId="0" xfId="4" quotePrefix="1" applyNumberFormat="1" applyFont="1"/>
    <xf numFmtId="180" fontId="14" fillId="0" borderId="4" xfId="4" applyNumberFormat="1" applyFont="1" applyBorder="1" applyAlignment="1">
      <alignment horizontal="left" indent="1"/>
    </xf>
    <xf numFmtId="9" fontId="7" fillId="0" borderId="0" xfId="5" applyFont="1" applyFill="1"/>
    <xf numFmtId="9" fontId="7" fillId="0" borderId="0" xfId="2" applyFont="1" applyFill="1"/>
    <xf numFmtId="9" fontId="7" fillId="0" borderId="1" xfId="5" applyFont="1" applyFill="1" applyBorder="1"/>
    <xf numFmtId="180" fontId="30" fillId="0" borderId="0" xfId="4" applyNumberFormat="1" applyFont="1"/>
    <xf numFmtId="180" fontId="14" fillId="3" borderId="0" xfId="0" applyNumberFormat="1" applyFont="1" applyFill="1"/>
    <xf numFmtId="180" fontId="35" fillId="0" borderId="0" xfId="4" applyNumberFormat="1" applyFont="1"/>
    <xf numFmtId="180" fontId="27" fillId="0" borderId="1" xfId="4" applyNumberFormat="1" applyFont="1" applyBorder="1"/>
    <xf numFmtId="0" fontId="9" fillId="0" borderId="0" xfId="4" applyFont="1"/>
    <xf numFmtId="180" fontId="5" fillId="5" borderId="0" xfId="4" applyNumberFormat="1" applyFont="1" applyFill="1" applyAlignment="1">
      <alignment wrapText="1"/>
    </xf>
    <xf numFmtId="0" fontId="10" fillId="0" borderId="1" xfId="0" applyFont="1" applyBorder="1"/>
    <xf numFmtId="180" fontId="10" fillId="0" borderId="0" xfId="0" applyNumberFormat="1" applyFont="1"/>
    <xf numFmtId="180" fontId="10" fillId="0" borderId="1" xfId="0" applyNumberFormat="1" applyFont="1" applyBorder="1"/>
    <xf numFmtId="178" fontId="11" fillId="0" borderId="0" xfId="4" quotePrefix="1" applyNumberFormat="1" applyFont="1" applyAlignment="1">
      <alignment horizontal="right"/>
    </xf>
    <xf numFmtId="180" fontId="5" fillId="0" borderId="0" xfId="4" applyNumberFormat="1" applyFont="1" applyAlignment="1">
      <alignment horizontal="left" indent="1"/>
    </xf>
    <xf numFmtId="9" fontId="31" fillId="0" borderId="1" xfId="2" applyFont="1" applyFill="1" applyBorder="1"/>
    <xf numFmtId="9" fontId="31" fillId="0" borderId="0" xfId="2" applyFont="1" applyFill="1" applyBorder="1"/>
    <xf numFmtId="180" fontId="28" fillId="0" borderId="0" xfId="5" applyNumberFormat="1" applyFont="1" applyFill="1" applyBorder="1"/>
    <xf numFmtId="187" fontId="28" fillId="0" borderId="0" xfId="2" applyNumberFormat="1" applyFont="1" applyFill="1" applyBorder="1"/>
    <xf numFmtId="180" fontId="28" fillId="0" borderId="1" xfId="5" applyNumberFormat="1" applyFont="1" applyFill="1" applyBorder="1"/>
    <xf numFmtId="188" fontId="0" fillId="0" borderId="0" xfId="1" applyNumberFormat="1" applyFont="1"/>
    <xf numFmtId="14" fontId="39" fillId="0" borderId="0" xfId="0" applyNumberFormat="1" applyFont="1" applyAlignment="1">
      <alignment horizontal="left" vertical="center"/>
    </xf>
    <xf numFmtId="0" fontId="4" fillId="0" borderId="0" xfId="0" applyFont="1"/>
    <xf numFmtId="0" fontId="4" fillId="0" borderId="1" xfId="0" applyFont="1" applyBorder="1"/>
    <xf numFmtId="9" fontId="4" fillId="0" borderId="0" xfId="2" applyFont="1"/>
    <xf numFmtId="0" fontId="40" fillId="2" borderId="0" xfId="0" applyFont="1" applyFill="1" applyAlignment="1">
      <alignment horizontal="left"/>
    </xf>
    <xf numFmtId="0" fontId="41" fillId="2" borderId="0" xfId="0" applyFont="1" applyFill="1" applyAlignment="1">
      <alignment horizontal="right"/>
    </xf>
    <xf numFmtId="0" fontId="41" fillId="2" borderId="1" xfId="0" applyFont="1" applyFill="1" applyBorder="1" applyAlignment="1">
      <alignment horizontal="right"/>
    </xf>
    <xf numFmtId="0" fontId="41" fillId="0" borderId="0" xfId="0" applyFont="1" applyAlignment="1">
      <alignment horizontal="right"/>
    </xf>
    <xf numFmtId="0" fontId="40" fillId="2" borderId="0" xfId="0" applyFont="1" applyFill="1" applyAlignment="1">
      <alignment horizontal="right"/>
    </xf>
    <xf numFmtId="0" fontId="40" fillId="2" borderId="1" xfId="0" applyFont="1" applyFill="1" applyBorder="1" applyAlignment="1">
      <alignment horizontal="right"/>
    </xf>
    <xf numFmtId="0" fontId="40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3" fontId="5" fillId="0" borderId="0" xfId="7" applyNumberFormat="1" applyFont="1" applyFill="1" applyBorder="1" applyAlignment="1">
      <alignment horizontal="right"/>
    </xf>
    <xf numFmtId="3" fontId="5" fillId="0" borderId="1" xfId="7" applyNumberFormat="1" applyFont="1" applyFill="1" applyBorder="1" applyAlignment="1">
      <alignment horizontal="right"/>
    </xf>
    <xf numFmtId="3" fontId="9" fillId="0" borderId="0" xfId="0" applyNumberFormat="1" applyFont="1" applyAlignment="1">
      <alignment horizontal="right"/>
    </xf>
    <xf numFmtId="9" fontId="43" fillId="0" borderId="0" xfId="2" applyFont="1"/>
    <xf numFmtId="2" fontId="5" fillId="0" borderId="0" xfId="0" applyNumberFormat="1" applyFont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9" fontId="14" fillId="0" borderId="0" xfId="2" applyFont="1" applyFill="1" applyBorder="1" applyAlignment="1">
      <alignment horizontal="right"/>
    </xf>
    <xf numFmtId="9" fontId="14" fillId="0" borderId="1" xfId="2" applyFont="1" applyFill="1" applyBorder="1" applyAlignment="1">
      <alignment horizontal="right"/>
    </xf>
    <xf numFmtId="187" fontId="5" fillId="0" borderId="0" xfId="2" applyNumberFormat="1" applyFont="1" applyFill="1" applyBorder="1" applyAlignment="1">
      <alignment horizontal="right"/>
    </xf>
    <xf numFmtId="187" fontId="5" fillId="0" borderId="1" xfId="2" applyNumberFormat="1" applyFont="1" applyFill="1" applyBorder="1" applyAlignment="1">
      <alignment horizontal="right"/>
    </xf>
    <xf numFmtId="187" fontId="9" fillId="0" borderId="0" xfId="0" applyNumberFormat="1" applyFont="1" applyAlignment="1">
      <alignment horizontal="right"/>
    </xf>
    <xf numFmtId="0" fontId="9" fillId="0" borderId="1" xfId="0" applyFont="1" applyBorder="1" applyAlignment="1">
      <alignment horizontal="right"/>
    </xf>
    <xf numFmtId="9" fontId="5" fillId="0" borderId="0" xfId="0" applyNumberFormat="1" applyFont="1" applyAlignment="1">
      <alignment horizontal="right"/>
    </xf>
    <xf numFmtId="176" fontId="14" fillId="0" borderId="0" xfId="0" applyNumberFormat="1" applyFont="1" applyAlignment="1">
      <alignment horizontal="right"/>
    </xf>
    <xf numFmtId="188" fontId="14" fillId="0" borderId="0" xfId="2" applyNumberFormat="1" applyFont="1" applyFill="1" applyBorder="1" applyAlignment="1">
      <alignment horizontal="right"/>
    </xf>
    <xf numFmtId="188" fontId="14" fillId="0" borderId="1" xfId="2" applyNumberFormat="1" applyFont="1" applyFill="1" applyBorder="1" applyAlignment="1">
      <alignment horizontal="right"/>
    </xf>
    <xf numFmtId="0" fontId="29" fillId="6" borderId="0" xfId="0" applyFont="1" applyFill="1"/>
    <xf numFmtId="188" fontId="44" fillId="6" borderId="0" xfId="7" applyNumberFormat="1" applyFont="1" applyFill="1" applyBorder="1"/>
    <xf numFmtId="188" fontId="44" fillId="6" borderId="1" xfId="7" applyNumberFormat="1" applyFont="1" applyFill="1" applyBorder="1"/>
    <xf numFmtId="188" fontId="29" fillId="6" borderId="0" xfId="0" applyNumberFormat="1" applyFont="1" applyFill="1"/>
    <xf numFmtId="188" fontId="29" fillId="6" borderId="1" xfId="0" applyNumberFormat="1" applyFont="1" applyFill="1" applyBorder="1"/>
    <xf numFmtId="0" fontId="45" fillId="0" borderId="0" xfId="0" applyFont="1"/>
    <xf numFmtId="188" fontId="29" fillId="6" borderId="0" xfId="7" applyNumberFormat="1" applyFont="1" applyFill="1" applyBorder="1"/>
    <xf numFmtId="188" fontId="14" fillId="0" borderId="0" xfId="0" applyNumberFormat="1" applyFont="1"/>
    <xf numFmtId="188" fontId="14" fillId="0" borderId="1" xfId="0" applyNumberFormat="1" applyFont="1" applyBorder="1"/>
    <xf numFmtId="0" fontId="29" fillId="0" borderId="0" xfId="0" applyFont="1"/>
    <xf numFmtId="188" fontId="44" fillId="7" borderId="0" xfId="1" applyNumberFormat="1" applyFont="1" applyFill="1" applyBorder="1"/>
    <xf numFmtId="188" fontId="44" fillId="7" borderId="0" xfId="7" applyNumberFormat="1" applyFont="1" applyFill="1" applyBorder="1"/>
    <xf numFmtId="0" fontId="29" fillId="0" borderId="0" xfId="0" applyFont="1" applyAlignment="1">
      <alignment horizontal="left" indent="1"/>
    </xf>
    <xf numFmtId="14" fontId="43" fillId="0" borderId="0" xfId="0" applyNumberFormat="1" applyFont="1"/>
    <xf numFmtId="0" fontId="43" fillId="0" borderId="0" xfId="0" applyFont="1"/>
    <xf numFmtId="0" fontId="43" fillId="0" borderId="0" xfId="0" applyFont="1" applyAlignment="1">
      <alignment horizontal="right"/>
    </xf>
    <xf numFmtId="188" fontId="14" fillId="7" borderId="0" xfId="1" applyNumberFormat="1" applyFont="1" applyFill="1" applyBorder="1"/>
    <xf numFmtId="188" fontId="14" fillId="7" borderId="0" xfId="7" applyNumberFormat="1" applyFont="1" applyFill="1" applyBorder="1"/>
    <xf numFmtId="0" fontId="14" fillId="0" borderId="0" xfId="0" applyFont="1" applyAlignment="1">
      <alignment horizontal="left" indent="2"/>
    </xf>
    <xf numFmtId="0" fontId="5" fillId="7" borderId="0" xfId="0" applyFont="1" applyFill="1"/>
    <xf numFmtId="9" fontId="46" fillId="0" borderId="0" xfId="0" applyNumberFormat="1" applyFont="1"/>
    <xf numFmtId="9" fontId="0" fillId="0" borderId="0" xfId="2" applyFont="1"/>
    <xf numFmtId="188" fontId="27" fillId="7" borderId="0" xfId="1" applyNumberFormat="1" applyFont="1" applyFill="1" applyBorder="1"/>
    <xf numFmtId="188" fontId="27" fillId="7" borderId="0" xfId="7" applyNumberFormat="1" applyFont="1" applyFill="1" applyBorder="1"/>
    <xf numFmtId="188" fontId="27" fillId="0" borderId="0" xfId="7" applyNumberFormat="1" applyFont="1" applyFill="1" applyBorder="1"/>
    <xf numFmtId="9" fontId="47" fillId="0" borderId="0" xfId="0" applyNumberFormat="1" applyFont="1"/>
    <xf numFmtId="188" fontId="48" fillId="7" borderId="0" xfId="1" applyNumberFormat="1" applyFont="1" applyFill="1" applyBorder="1"/>
    <xf numFmtId="188" fontId="48" fillId="7" borderId="0" xfId="7" applyNumberFormat="1" applyFont="1" applyFill="1" applyBorder="1"/>
    <xf numFmtId="14" fontId="0" fillId="0" borderId="0" xfId="0" applyNumberFormat="1"/>
    <xf numFmtId="0" fontId="5" fillId="0" borderId="0" xfId="0" applyFont="1" applyAlignment="1">
      <alignment horizontal="left"/>
    </xf>
    <xf numFmtId="188" fontId="49" fillId="0" borderId="0" xfId="1" applyNumberFormat="1" applyFont="1" applyBorder="1"/>
    <xf numFmtId="188" fontId="49" fillId="0" borderId="1" xfId="1" applyNumberFormat="1" applyFont="1" applyBorder="1"/>
    <xf numFmtId="9" fontId="5" fillId="0" borderId="0" xfId="2" applyFont="1" applyBorder="1"/>
    <xf numFmtId="9" fontId="5" fillId="0" borderId="1" xfId="2" applyFont="1" applyBorder="1"/>
    <xf numFmtId="0" fontId="50" fillId="0" borderId="0" xfId="0" applyFont="1"/>
    <xf numFmtId="188" fontId="50" fillId="7" borderId="0" xfId="1" applyNumberFormat="1" applyFont="1" applyFill="1" applyBorder="1"/>
    <xf numFmtId="188" fontId="50" fillId="7" borderId="0" xfId="7" applyNumberFormat="1" applyFont="1" applyFill="1" applyBorder="1"/>
    <xf numFmtId="0" fontId="49" fillId="0" borderId="0" xfId="0" applyFont="1" applyAlignment="1">
      <alignment horizontal="left" indent="3"/>
    </xf>
    <xf numFmtId="0" fontId="51" fillId="0" borderId="0" xfId="0" applyFont="1"/>
    <xf numFmtId="0" fontId="52" fillId="0" borderId="0" xfId="0" applyFont="1"/>
    <xf numFmtId="9" fontId="52" fillId="0" borderId="0" xfId="0" applyNumberFormat="1" applyFont="1"/>
    <xf numFmtId="188" fontId="14" fillId="0" borderId="0" xfId="1" applyNumberFormat="1" applyFont="1" applyBorder="1"/>
    <xf numFmtId="188" fontId="14" fillId="0" borderId="1" xfId="1" applyNumberFormat="1" applyFont="1" applyBorder="1"/>
    <xf numFmtId="0" fontId="46" fillId="0" borderId="0" xfId="0" applyFont="1"/>
    <xf numFmtId="188" fontId="29" fillId="0" borderId="0" xfId="0" applyNumberFormat="1" applyFont="1"/>
    <xf numFmtId="188" fontId="29" fillId="0" borderId="1" xfId="0" applyNumberFormat="1" applyFont="1" applyBorder="1"/>
    <xf numFmtId="188" fontId="29" fillId="7" borderId="0" xfId="0" applyNumberFormat="1" applyFont="1" applyFill="1"/>
    <xf numFmtId="188" fontId="29" fillId="7" borderId="0" xfId="7" applyNumberFormat="1" applyFont="1" applyFill="1" applyBorder="1"/>
    <xf numFmtId="188" fontId="45" fillId="0" borderId="0" xfId="7" applyNumberFormat="1" applyFont="1" applyFill="1" applyBorder="1"/>
    <xf numFmtId="0" fontId="47" fillId="0" borderId="0" xfId="0" applyFont="1"/>
    <xf numFmtId="176" fontId="14" fillId="0" borderId="0" xfId="1" applyFont="1" applyBorder="1"/>
    <xf numFmtId="176" fontId="14" fillId="0" borderId="1" xfId="1" applyFont="1" applyBorder="1"/>
    <xf numFmtId="188" fontId="5" fillId="7" borderId="0" xfId="0" applyNumberFormat="1" applyFont="1" applyFill="1"/>
    <xf numFmtId="188" fontId="5" fillId="7" borderId="0" xfId="7" applyNumberFormat="1" applyFont="1" applyFill="1" applyBorder="1"/>
    <xf numFmtId="9" fontId="29" fillId="0" borderId="0" xfId="0" applyNumberFormat="1" applyFont="1"/>
    <xf numFmtId="9" fontId="29" fillId="0" borderId="1" xfId="0" applyNumberFormat="1" applyFont="1" applyBorder="1"/>
    <xf numFmtId="9" fontId="53" fillId="0" borderId="0" xfId="0" applyNumberFormat="1" applyFont="1"/>
    <xf numFmtId="0" fontId="5" fillId="0" borderId="0" xfId="0" applyFont="1" applyAlignment="1">
      <alignment horizontal="left" indent="1"/>
    </xf>
    <xf numFmtId="0" fontId="54" fillId="0" borderId="0" xfId="0" applyFont="1"/>
    <xf numFmtId="9" fontId="0" fillId="0" borderId="0" xfId="0" applyNumberFormat="1"/>
    <xf numFmtId="0" fontId="14" fillId="6" borderId="0" xfId="0" applyFont="1" applyFill="1"/>
    <xf numFmtId="0" fontId="14" fillId="6" borderId="1" xfId="0" applyFont="1" applyFill="1" applyBorder="1"/>
    <xf numFmtId="188" fontId="14" fillId="6" borderId="0" xfId="0" applyNumberFormat="1" applyFont="1" applyFill="1"/>
    <xf numFmtId="0" fontId="14" fillId="6" borderId="0" xfId="0" applyFont="1" applyFill="1" applyAlignment="1">
      <alignment horizontal="right"/>
    </xf>
    <xf numFmtId="188" fontId="29" fillId="0" borderId="0" xfId="1" applyNumberFormat="1" applyFont="1" applyFill="1" applyBorder="1"/>
    <xf numFmtId="188" fontId="29" fillId="0" borderId="1" xfId="1" applyNumberFormat="1" applyFont="1" applyFill="1" applyBorder="1"/>
    <xf numFmtId="188" fontId="5" fillId="0" borderId="0" xfId="1" applyNumberFormat="1" applyFont="1" applyFill="1" applyBorder="1" applyAlignment="1">
      <alignment horizontal="left" indent="1"/>
    </xf>
    <xf numFmtId="188" fontId="14" fillId="8" borderId="0" xfId="1" applyNumberFormat="1" applyFont="1" applyFill="1" applyBorder="1"/>
    <xf numFmtId="188" fontId="14" fillId="8" borderId="1" xfId="1" applyNumberFormat="1" applyFont="1" applyFill="1" applyBorder="1"/>
    <xf numFmtId="9" fontId="14" fillId="0" borderId="7" xfId="2" applyFont="1" applyFill="1" applyBorder="1"/>
    <xf numFmtId="176" fontId="17" fillId="9" borderId="0" xfId="1" applyFont="1" applyFill="1" applyBorder="1"/>
    <xf numFmtId="176" fontId="17" fillId="9" borderId="1" xfId="1" applyFont="1" applyFill="1" applyBorder="1"/>
    <xf numFmtId="193" fontId="14" fillId="0" borderId="0" xfId="1" applyNumberFormat="1" applyFont="1" applyFill="1" applyBorder="1"/>
    <xf numFmtId="193" fontId="7" fillId="0" borderId="0" xfId="1" applyNumberFormat="1" applyFont="1" applyFill="1"/>
    <xf numFmtId="188" fontId="17" fillId="9" borderId="0" xfId="1" applyNumberFormat="1" applyFont="1" applyFill="1" applyBorder="1"/>
    <xf numFmtId="188" fontId="17" fillId="9" borderId="1" xfId="1" applyNumberFormat="1" applyFont="1" applyFill="1" applyBorder="1"/>
    <xf numFmtId="9" fontId="5" fillId="0" borderId="0" xfId="2" applyFont="1" applyFill="1" applyBorder="1" applyAlignment="1">
      <alignment horizontal="left" indent="1"/>
    </xf>
    <xf numFmtId="193" fontId="5" fillId="0" borderId="0" xfId="1" applyNumberFormat="1" applyFont="1" applyFill="1" applyBorder="1"/>
    <xf numFmtId="176" fontId="0" fillId="0" borderId="0" xfId="0" applyNumberFormat="1"/>
    <xf numFmtId="176" fontId="5" fillId="0" borderId="0" xfId="1" applyFont="1" applyFill="1" applyBorder="1" applyAlignment="1">
      <alignment horizontal="left" indent="1"/>
    </xf>
    <xf numFmtId="193" fontId="17" fillId="9" borderId="0" xfId="1" applyNumberFormat="1" applyFont="1" applyFill="1" applyBorder="1"/>
    <xf numFmtId="193" fontId="17" fillId="9" borderId="1" xfId="1" applyNumberFormat="1" applyFont="1" applyFill="1" applyBorder="1"/>
    <xf numFmtId="188" fontId="5" fillId="0" borderId="0" xfId="0" applyNumberFormat="1" applyFont="1"/>
    <xf numFmtId="188" fontId="5" fillId="0" borderId="1" xfId="0" applyNumberFormat="1" applyFont="1" applyBorder="1"/>
    <xf numFmtId="188" fontId="27" fillId="0" borderId="0" xfId="1" applyNumberFormat="1" applyFont="1" applyFill="1" applyBorder="1"/>
    <xf numFmtId="188" fontId="5" fillId="0" borderId="1" xfId="1" applyNumberFormat="1" applyFont="1" applyFill="1" applyBorder="1"/>
    <xf numFmtId="9" fontId="29" fillId="0" borderId="0" xfId="2" applyFont="1" applyFill="1" applyBorder="1"/>
    <xf numFmtId="9" fontId="17" fillId="0" borderId="1" xfId="2" applyFont="1" applyFill="1" applyBorder="1"/>
    <xf numFmtId="193" fontId="27" fillId="0" borderId="0" xfId="1" applyNumberFormat="1" applyFont="1" applyFill="1" applyBorder="1"/>
    <xf numFmtId="188" fontId="46" fillId="0" borderId="0" xfId="1" applyNumberFormat="1" applyFont="1" applyFill="1" applyBorder="1"/>
    <xf numFmtId="188" fontId="55" fillId="0" borderId="0" xfId="1" applyNumberFormat="1" applyFont="1" applyFill="1" applyBorder="1"/>
    <xf numFmtId="0" fontId="11" fillId="10" borderId="0" xfId="0" applyFont="1" applyFill="1" applyAlignment="1">
      <alignment horizontal="left"/>
    </xf>
    <xf numFmtId="176" fontId="56" fillId="10" borderId="0" xfId="1" applyFont="1" applyFill="1" applyBorder="1"/>
    <xf numFmtId="176" fontId="56" fillId="10" borderId="1" xfId="1" applyFont="1" applyFill="1" applyBorder="1"/>
    <xf numFmtId="188" fontId="11" fillId="10" borderId="0" xfId="1" applyNumberFormat="1" applyFont="1" applyFill="1" applyBorder="1"/>
    <xf numFmtId="188" fontId="9" fillId="10" borderId="0" xfId="1" applyNumberFormat="1" applyFont="1" applyFill="1" applyBorder="1"/>
    <xf numFmtId="193" fontId="57" fillId="10" borderId="0" xfId="0" applyNumberFormat="1" applyFont="1" applyFill="1"/>
    <xf numFmtId="188" fontId="11" fillId="10" borderId="0" xfId="1" applyNumberFormat="1" applyFont="1" applyFill="1" applyBorder="1" applyAlignment="1">
      <alignment horizontal="left" indent="1"/>
    </xf>
    <xf numFmtId="3" fontId="14" fillId="0" borderId="0" xfId="0" applyNumberFormat="1" applyFont="1"/>
    <xf numFmtId="188" fontId="14" fillId="0" borderId="0" xfId="10" applyNumberFormat="1" applyFont="1" applyAlignment="1">
      <alignment horizontal="right"/>
    </xf>
    <xf numFmtId="188" fontId="14" fillId="0" borderId="0" xfId="2" applyNumberFormat="1" applyFont="1" applyFill="1" applyAlignment="1">
      <alignment horizontal="right"/>
    </xf>
    <xf numFmtId="0" fontId="19" fillId="0" borderId="0" xfId="10" applyFont="1"/>
    <xf numFmtId="188" fontId="14" fillId="0" borderId="0" xfId="10" applyNumberFormat="1" applyFont="1"/>
    <xf numFmtId="9" fontId="17" fillId="9" borderId="0" xfId="2" applyFont="1" applyFill="1" applyBorder="1"/>
    <xf numFmtId="9" fontId="17" fillId="9" borderId="1" xfId="2" applyFont="1" applyFill="1" applyBorder="1"/>
    <xf numFmtId="187" fontId="17" fillId="0" borderId="1" xfId="2" applyNumberFormat="1" applyFont="1" applyFill="1" applyBorder="1"/>
    <xf numFmtId="13" fontId="17" fillId="0" borderId="0" xfId="2" applyNumberFormat="1" applyFont="1" applyFill="1" applyBorder="1"/>
    <xf numFmtId="188" fontId="17" fillId="0" borderId="1" xfId="1" applyNumberFormat="1" applyFont="1" applyFill="1" applyBorder="1"/>
    <xf numFmtId="176" fontId="17" fillId="0" borderId="0" xfId="1" applyFont="1" applyFill="1" applyBorder="1"/>
    <xf numFmtId="176" fontId="17" fillId="0" borderId="1" xfId="1" applyFont="1" applyFill="1" applyBorder="1"/>
    <xf numFmtId="0" fontId="11" fillId="11" borderId="0" xfId="10" applyFont="1" applyFill="1" applyAlignment="1">
      <alignment horizontal="left"/>
    </xf>
    <xf numFmtId="0" fontId="11" fillId="11" borderId="0" xfId="10" applyFont="1" applyFill="1" applyAlignment="1">
      <alignment horizontal="right"/>
    </xf>
    <xf numFmtId="0" fontId="11" fillId="11" borderId="1" xfId="10" applyFont="1" applyFill="1" applyBorder="1" applyAlignment="1">
      <alignment horizontal="right"/>
    </xf>
    <xf numFmtId="0" fontId="11" fillId="11" borderId="0" xfId="10" applyFont="1" applyFill="1"/>
    <xf numFmtId="0" fontId="5" fillId="0" borderId="7" xfId="0" applyFont="1" applyBorder="1"/>
    <xf numFmtId="187" fontId="27" fillId="0" borderId="0" xfId="11" applyNumberFormat="1" applyFont="1" applyFill="1" applyBorder="1"/>
    <xf numFmtId="187" fontId="27" fillId="0" borderId="1" xfId="11" applyNumberFormat="1" applyFont="1" applyFill="1" applyBorder="1"/>
    <xf numFmtId="187" fontId="14" fillId="0" borderId="0" xfId="11" applyNumberFormat="1" applyFont="1" applyFill="1" applyBorder="1"/>
    <xf numFmtId="187" fontId="14" fillId="0" borderId="1" xfId="11" applyNumberFormat="1" applyFont="1" applyFill="1" applyBorder="1"/>
    <xf numFmtId="187" fontId="5" fillId="0" borderId="0" xfId="11" applyNumberFormat="1" applyFont="1" applyFill="1" applyBorder="1"/>
    <xf numFmtId="187" fontId="48" fillId="0" borderId="0" xfId="11" applyNumberFormat="1" applyFont="1" applyFill="1" applyBorder="1"/>
    <xf numFmtId="9" fontId="5" fillId="0" borderId="0" xfId="11" applyFont="1" applyFill="1" applyBorder="1"/>
    <xf numFmtId="9" fontId="5" fillId="0" borderId="0" xfId="2" applyFont="1" applyFill="1"/>
    <xf numFmtId="187" fontId="5" fillId="0" borderId="1" xfId="11" applyNumberFormat="1" applyFont="1" applyFill="1" applyBorder="1"/>
    <xf numFmtId="9" fontId="58" fillId="0" borderId="0" xfId="2" applyFont="1" applyFill="1" applyBorder="1"/>
    <xf numFmtId="0" fontId="58" fillId="0" borderId="0" xfId="10" applyFont="1"/>
    <xf numFmtId="187" fontId="17" fillId="0" borderId="0" xfId="11" applyNumberFormat="1" applyFont="1" applyFill="1" applyBorder="1"/>
    <xf numFmtId="187" fontId="17" fillId="0" borderId="1" xfId="11" applyNumberFormat="1" applyFont="1" applyFill="1" applyBorder="1"/>
    <xf numFmtId="187" fontId="17" fillId="0" borderId="0" xfId="2" applyNumberFormat="1" applyFont="1" applyFill="1" applyBorder="1" applyAlignment="1">
      <alignment horizontal="right"/>
    </xf>
    <xf numFmtId="9" fontId="19" fillId="0" borderId="0" xfId="2" applyFont="1" applyFill="1" applyBorder="1"/>
    <xf numFmtId="9" fontId="14" fillId="0" borderId="0" xfId="11" applyFont="1" applyFill="1" applyBorder="1"/>
    <xf numFmtId="9" fontId="14" fillId="0" borderId="0" xfId="2" applyFont="1" applyFill="1"/>
    <xf numFmtId="188" fontId="14" fillId="0" borderId="0" xfId="11" applyNumberFormat="1" applyFont="1" applyFill="1" applyBorder="1"/>
    <xf numFmtId="9" fontId="27" fillId="0" borderId="0" xfId="2" applyFont="1" applyFill="1"/>
    <xf numFmtId="9" fontId="14" fillId="0" borderId="0" xfId="1" applyNumberFormat="1" applyFont="1" applyFill="1" applyBorder="1"/>
    <xf numFmtId="9" fontId="59" fillId="0" borderId="0" xfId="11" applyFont="1" applyFill="1" applyBorder="1"/>
    <xf numFmtId="9" fontId="58" fillId="0" borderId="0" xfId="2" applyFont="1" applyFill="1"/>
    <xf numFmtId="9" fontId="58" fillId="0" borderId="0" xfId="2" applyFont="1" applyFill="1" applyAlignment="1">
      <alignment horizontal="right"/>
    </xf>
    <xf numFmtId="0" fontId="58" fillId="0" borderId="0" xfId="10" applyFont="1" applyAlignment="1">
      <alignment horizontal="right"/>
    </xf>
    <xf numFmtId="9" fontId="20" fillId="0" borderId="0" xfId="11" applyFont="1" applyFill="1" applyBorder="1"/>
    <xf numFmtId="9" fontId="19" fillId="0" borderId="0" xfId="2" applyFont="1" applyFill="1"/>
    <xf numFmtId="9" fontId="19" fillId="0" borderId="0" xfId="2" applyFont="1" applyFill="1" applyAlignment="1">
      <alignment horizontal="right"/>
    </xf>
    <xf numFmtId="0" fontId="19" fillId="0" borderId="0" xfId="10" applyFont="1" applyAlignment="1">
      <alignment horizontal="right"/>
    </xf>
    <xf numFmtId="9" fontId="60" fillId="0" borderId="0" xfId="11" applyFont="1" applyFill="1" applyBorder="1"/>
    <xf numFmtId="9" fontId="60" fillId="0" borderId="0" xfId="2" applyFont="1" applyFill="1" applyBorder="1"/>
    <xf numFmtId="9" fontId="60" fillId="0" borderId="0" xfId="2" applyFont="1" applyFill="1"/>
    <xf numFmtId="9" fontId="60" fillId="0" borderId="0" xfId="2" applyFont="1" applyFill="1" applyAlignment="1">
      <alignment horizontal="right"/>
    </xf>
    <xf numFmtId="0" fontId="60" fillId="0" borderId="0" xfId="10" applyFont="1" applyAlignment="1">
      <alignment horizontal="right"/>
    </xf>
    <xf numFmtId="0" fontId="60" fillId="0" borderId="0" xfId="10" applyFont="1"/>
    <xf numFmtId="187" fontId="17" fillId="9" borderId="0" xfId="11" applyNumberFormat="1" applyFont="1" applyFill="1" applyBorder="1"/>
    <xf numFmtId="187" fontId="17" fillId="9" borderId="1" xfId="11" applyNumberFormat="1" applyFont="1" applyFill="1" applyBorder="1"/>
    <xf numFmtId="0" fontId="20" fillId="9" borderId="0" xfId="10" applyFont="1" applyFill="1"/>
    <xf numFmtId="9" fontId="14" fillId="0" borderId="1" xfId="11" applyFont="1" applyFill="1" applyBorder="1"/>
    <xf numFmtId="188" fontId="5" fillId="0" borderId="0" xfId="11" applyNumberFormat="1" applyFont="1" applyFill="1" applyBorder="1"/>
    <xf numFmtId="188" fontId="5" fillId="0" borderId="0" xfId="1" applyNumberFormat="1" applyFont="1" applyFill="1" applyBorder="1" applyAlignment="1">
      <alignment horizontal="right"/>
    </xf>
    <xf numFmtId="188" fontId="5" fillId="0" borderId="0" xfId="7" applyNumberFormat="1" applyFont="1" applyFill="1"/>
    <xf numFmtId="188" fontId="5" fillId="0" borderId="0" xfId="10" applyNumberFormat="1" applyFont="1" applyAlignment="1">
      <alignment horizontal="right"/>
    </xf>
    <xf numFmtId="0" fontId="14" fillId="0" borderId="0" xfId="10" applyFont="1"/>
    <xf numFmtId="188" fontId="5" fillId="0" borderId="0" xfId="10" applyNumberFormat="1" applyFont="1"/>
    <xf numFmtId="3" fontId="5" fillId="0" borderId="0" xfId="0" applyNumberFormat="1" applyFont="1"/>
    <xf numFmtId="188" fontId="5" fillId="0" borderId="0" xfId="2" applyNumberFormat="1" applyFont="1" applyFill="1" applyAlignment="1">
      <alignment horizontal="right"/>
    </xf>
    <xf numFmtId="176" fontId="14" fillId="0" borderId="0" xfId="7" applyFont="1" applyFill="1"/>
    <xf numFmtId="176" fontId="14" fillId="0" borderId="0" xfId="7" applyFont="1" applyFill="1" applyAlignment="1">
      <alignment horizontal="right"/>
    </xf>
    <xf numFmtId="10" fontId="14" fillId="0" borderId="1" xfId="2" applyNumberFormat="1" applyFont="1" applyFill="1" applyBorder="1"/>
    <xf numFmtId="9" fontId="58" fillId="0" borderId="0" xfId="11" applyFont="1" applyFill="1" applyBorder="1"/>
    <xf numFmtId="188" fontId="58" fillId="0" borderId="0" xfId="1" applyNumberFormat="1" applyFont="1" applyFill="1" applyBorder="1"/>
    <xf numFmtId="9" fontId="19" fillId="0" borderId="0" xfId="11" applyFont="1" applyFill="1" applyBorder="1"/>
    <xf numFmtId="188" fontId="60" fillId="0" borderId="0" xfId="1" applyNumberFormat="1" applyFont="1" applyFill="1" applyBorder="1"/>
    <xf numFmtId="176" fontId="14" fillId="8" borderId="1" xfId="1" applyFont="1" applyFill="1" applyBorder="1"/>
    <xf numFmtId="176" fontId="14" fillId="0" borderId="0" xfId="0" applyNumberFormat="1" applyFont="1"/>
    <xf numFmtId="9" fontId="14" fillId="8" borderId="0" xfId="2" applyFont="1" applyFill="1" applyBorder="1"/>
    <xf numFmtId="9" fontId="14" fillId="8" borderId="1" xfId="2" applyFont="1" applyFill="1" applyBorder="1"/>
    <xf numFmtId="188" fontId="0" fillId="0" borderId="1" xfId="1" applyNumberFormat="1" applyFont="1" applyBorder="1"/>
    <xf numFmtId="176" fontId="0" fillId="0" borderId="0" xfId="1" applyFont="1"/>
    <xf numFmtId="188" fontId="4" fillId="0" borderId="0" xfId="1" applyNumberFormat="1" applyFont="1" applyFill="1" applyBorder="1"/>
    <xf numFmtId="176" fontId="0" fillId="0" borderId="1" xfId="1" applyFont="1" applyBorder="1"/>
    <xf numFmtId="176" fontId="0" fillId="0" borderId="0" xfId="1" applyFont="1" applyBorder="1"/>
    <xf numFmtId="176" fontId="61" fillId="0" borderId="0" xfId="1" applyFont="1" applyFill="1" applyBorder="1"/>
    <xf numFmtId="188" fontId="61" fillId="0" borderId="0" xfId="1" applyNumberFormat="1" applyFont="1" applyFill="1" applyBorder="1"/>
    <xf numFmtId="187" fontId="0" fillId="0" borderId="0" xfId="0" applyNumberFormat="1"/>
    <xf numFmtId="9" fontId="0" fillId="0" borderId="1" xfId="2" applyFont="1" applyBorder="1"/>
    <xf numFmtId="9" fontId="0" fillId="0" borderId="0" xfId="2" applyFont="1" applyBorder="1"/>
    <xf numFmtId="187" fontId="0" fillId="0" borderId="0" xfId="2" applyNumberFormat="1" applyFont="1"/>
    <xf numFmtId="0" fontId="62" fillId="0" borderId="0" xfId="0" applyFont="1" applyAlignment="1">
      <alignment horizontal="left"/>
    </xf>
    <xf numFmtId="9" fontId="0" fillId="0" borderId="1" xfId="0" applyNumberFormat="1" applyBorder="1"/>
    <xf numFmtId="188" fontId="63" fillId="0" borderId="0" xfId="0" applyNumberFormat="1" applyFont="1"/>
    <xf numFmtId="188" fontId="63" fillId="0" borderId="1" xfId="0" applyNumberFormat="1" applyFont="1" applyBorder="1"/>
    <xf numFmtId="188" fontId="63" fillId="0" borderId="0" xfId="1" applyNumberFormat="1" applyFont="1" applyBorder="1"/>
    <xf numFmtId="188" fontId="63" fillId="0" borderId="1" xfId="1" applyNumberFormat="1" applyFont="1" applyBorder="1"/>
    <xf numFmtId="188" fontId="63" fillId="0" borderId="0" xfId="1" applyNumberFormat="1" applyFont="1"/>
    <xf numFmtId="188" fontId="14" fillId="0" borderId="0" xfId="1" applyNumberFormat="1" applyFont="1"/>
    <xf numFmtId="0" fontId="64" fillId="0" borderId="0" xfId="0" applyFont="1"/>
    <xf numFmtId="188" fontId="48" fillId="0" borderId="0" xfId="1" applyNumberFormat="1" applyFont="1" applyFill="1" applyBorder="1"/>
    <xf numFmtId="0" fontId="45" fillId="0" borderId="0" xfId="4" applyFont="1"/>
    <xf numFmtId="187" fontId="0" fillId="0" borderId="1" xfId="0" applyNumberFormat="1" applyBorder="1"/>
    <xf numFmtId="188" fontId="54" fillId="0" borderId="0" xfId="0" applyNumberFormat="1" applyFont="1"/>
    <xf numFmtId="188" fontId="54" fillId="0" borderId="1" xfId="0" applyNumberFormat="1" applyFont="1" applyBorder="1"/>
    <xf numFmtId="188" fontId="54" fillId="0" borderId="0" xfId="1" applyNumberFormat="1" applyFont="1"/>
    <xf numFmtId="177" fontId="0" fillId="0" borderId="0" xfId="0" applyNumberFormat="1"/>
    <xf numFmtId="9" fontId="65" fillId="9" borderId="0" xfId="0" applyNumberFormat="1" applyFont="1" applyFill="1"/>
    <xf numFmtId="0" fontId="45" fillId="0" borderId="0" xfId="10" applyFont="1"/>
    <xf numFmtId="0" fontId="63" fillId="0" borderId="0" xfId="0" applyFont="1"/>
    <xf numFmtId="188" fontId="0" fillId="0" borderId="0" xfId="1" applyNumberFormat="1" applyFont="1" applyBorder="1"/>
    <xf numFmtId="9" fontId="65" fillId="9" borderId="1" xfId="0" applyNumberFormat="1" applyFont="1" applyFill="1" applyBorder="1"/>
  </cellXfs>
  <cellStyles count="12">
    <cellStyle name="Comma 2" xfId="7" xr:uid="{1EA34A9F-5CC4-404B-9B67-897D79133A29}"/>
    <cellStyle name="Hyperlink_E-Ton_021808" xfId="3" xr:uid="{86F2DAD0-CFC3-4402-B871-9D834496DA86}"/>
    <cellStyle name="Normal 50" xfId="10" xr:uid="{B8FAF84F-FE03-4903-A25B-2F63ADDC2154}"/>
    <cellStyle name="Normal_E-Ton_021808" xfId="4" xr:uid="{965C20A8-C48A-404F-9532-03CA6809C92B}"/>
    <cellStyle name="Normal_Sector_Summary_Pack_Eur" xfId="6" xr:uid="{5CF9D627-19FE-4CD1-B5C3-E8E2FB0D2B53}"/>
    <cellStyle name="Normal_Standard Template_reduced" xfId="9" xr:uid="{AC51A96B-D6B8-468A-81A6-C51A9D373371}"/>
    <cellStyle name="Percent 2" xfId="5" xr:uid="{7A31A3E9-6300-495F-A565-0E359EABDBB6}"/>
    <cellStyle name="Percent 78" xfId="11" xr:uid="{518F7FD3-8793-4EF3-B944-C44BD4C9FF58}"/>
    <cellStyle name="百分比" xfId="2" builtinId="5"/>
    <cellStyle name="常规" xfId="0" builtinId="0"/>
    <cellStyle name="千位分隔" xfId="1" builtinId="3"/>
    <cellStyle name="一般_Realtek Model-wip-Rob" xfId="8" xr:uid="{1B9899D8-0C80-4C3C-8141-4879BE9B55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ROIC vs. WACC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984580052493443E-2"/>
          <c:y val="7.0758060505594689E-2"/>
          <c:w val="0.8873695866141732"/>
          <c:h val="0.83669457107335266"/>
        </c:manualLayout>
      </c:layout>
      <c:lineChart>
        <c:grouping val="standard"/>
        <c:varyColors val="0"/>
        <c:ser>
          <c:idx val="0"/>
          <c:order val="0"/>
          <c:tx>
            <c:strRef>
              <c:f>Model!$B$243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Model!$L$5:$U$5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 formatCode="0&quot;E&quot;">
                  <c:v>2025</c:v>
                </c:pt>
                <c:pt idx="8" formatCode="0&quot;E&quot;">
                  <c:v>2026</c:v>
                </c:pt>
                <c:pt idx="9" formatCode="0&quot;E&quot;">
                  <c:v>2027</c:v>
                </c:pt>
              </c:numCache>
            </c:numRef>
          </c:cat>
          <c:val>
            <c:numRef>
              <c:f>Model!$L$243:$U$243</c:f>
              <c:numCache>
                <c:formatCode>0%</c:formatCode>
                <c:ptCount val="10"/>
                <c:pt idx="0">
                  <c:v>0.12785972713281998</c:v>
                </c:pt>
                <c:pt idx="1">
                  <c:v>7.9760775638818698E-2</c:v>
                </c:pt>
                <c:pt idx="2">
                  <c:v>9.6828595630571654E-2</c:v>
                </c:pt>
                <c:pt idx="3">
                  <c:v>8.3256842633646189E-2</c:v>
                </c:pt>
                <c:pt idx="4">
                  <c:v>0.11982392101473212</c:v>
                </c:pt>
                <c:pt idx="5">
                  <c:v>0.17732401499348105</c:v>
                </c:pt>
                <c:pt idx="6">
                  <c:v>0.28986998041376372</c:v>
                </c:pt>
                <c:pt idx="7" formatCode="0.0%">
                  <c:v>0.40204617632462974</c:v>
                </c:pt>
                <c:pt idx="8" formatCode="0.0%">
                  <c:v>0.50466413655111853</c:v>
                </c:pt>
                <c:pt idx="9">
                  <c:v>0.51716350037848213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8A-41BB-915C-30A22544B6F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Model!$L$5:$U$5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 formatCode="0&quot;E&quot;">
                  <c:v>2025</c:v>
                </c:pt>
                <c:pt idx="8" formatCode="0&quot;E&quot;">
                  <c:v>2026</c:v>
                </c:pt>
                <c:pt idx="9" formatCode="0&quot;E&quot;">
                  <c:v>2027</c:v>
                </c:pt>
              </c:numCache>
            </c:numRef>
          </c:cat>
          <c:val>
            <c:numRef>
              <c:f>Model!$L$257:$T$257</c:f>
              <c:numCache>
                <c:formatCode>0.0%</c:formatCode>
                <c:ptCount val="9"/>
                <c:pt idx="0">
                  <c:v>8.1392922449454966E-2</c:v>
                </c:pt>
                <c:pt idx="1">
                  <c:v>8.795254137948974E-2</c:v>
                </c:pt>
                <c:pt idx="2">
                  <c:v>8.1391897617813944E-2</c:v>
                </c:pt>
                <c:pt idx="3">
                  <c:v>8.7129120027493623E-2</c:v>
                </c:pt>
                <c:pt idx="4">
                  <c:v>8.9871560095023909E-2</c:v>
                </c:pt>
                <c:pt idx="5">
                  <c:v>9.5189582730303729E-2</c:v>
                </c:pt>
                <c:pt idx="6">
                  <c:v>9.1031891486863331E-2</c:v>
                </c:pt>
                <c:pt idx="7">
                  <c:v>9.3427246453246446E-2</c:v>
                </c:pt>
                <c:pt idx="8">
                  <c:v>9.5391831218309034E-2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18A-41BB-915C-30A22544B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891167"/>
        <c:axId val="1733897407"/>
      </c:lineChart>
      <c:catAx>
        <c:axId val="173389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33897407"/>
        <c:crosses val="autoZero"/>
        <c:auto val="1"/>
        <c:lblAlgn val="ctr"/>
        <c:lblOffset val="100"/>
        <c:noMultiLvlLbl val="0"/>
      </c:catAx>
      <c:valAx>
        <c:axId val="173389740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3389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ROIC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984580052493443E-2"/>
          <c:y val="7.0758060505594689E-2"/>
          <c:w val="0.8873695866141732"/>
          <c:h val="0.83669457107335266"/>
        </c:manualLayout>
      </c:layout>
      <c:lineChart>
        <c:grouping val="standard"/>
        <c:varyColors val="0"/>
        <c:ser>
          <c:idx val="0"/>
          <c:order val="0"/>
          <c:tx>
            <c:strRef>
              <c:f>Model!$B$243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Model!$L$5:$U$5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 formatCode="0&quot;E&quot;">
                  <c:v>2025</c:v>
                </c:pt>
                <c:pt idx="8" formatCode="0&quot;E&quot;">
                  <c:v>2026</c:v>
                </c:pt>
                <c:pt idx="9" formatCode="0&quot;E&quot;">
                  <c:v>2027</c:v>
                </c:pt>
              </c:numCache>
            </c:numRef>
          </c:cat>
          <c:val>
            <c:numRef>
              <c:f>Model!$L$243:$U$243</c:f>
              <c:numCache>
                <c:formatCode>0%</c:formatCode>
                <c:ptCount val="10"/>
                <c:pt idx="0">
                  <c:v>0.12785972713281998</c:v>
                </c:pt>
                <c:pt idx="1">
                  <c:v>7.9760775638818698E-2</c:v>
                </c:pt>
                <c:pt idx="2">
                  <c:v>9.6828595630571654E-2</c:v>
                </c:pt>
                <c:pt idx="3">
                  <c:v>8.3256842633646189E-2</c:v>
                </c:pt>
                <c:pt idx="4">
                  <c:v>0.11982392101473212</c:v>
                </c:pt>
                <c:pt idx="5">
                  <c:v>0.17732401499348105</c:v>
                </c:pt>
                <c:pt idx="6">
                  <c:v>0.28986998041376372</c:v>
                </c:pt>
                <c:pt idx="7" formatCode="0.0%">
                  <c:v>0.40204617632462974</c:v>
                </c:pt>
                <c:pt idx="8" formatCode="0.0%">
                  <c:v>0.50466413655111853</c:v>
                </c:pt>
                <c:pt idx="9">
                  <c:v>0.51716350037848213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DA-4502-B131-21487C5DA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891167"/>
        <c:axId val="1733897407"/>
      </c:lineChart>
      <c:catAx>
        <c:axId val="173389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33897407"/>
        <c:crosses val="autoZero"/>
        <c:auto val="1"/>
        <c:lblAlgn val="ctr"/>
        <c:lblOffset val="100"/>
        <c:noMultiLvlLbl val="0"/>
      </c:catAx>
      <c:valAx>
        <c:axId val="173389740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3389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28567913385826"/>
          <c:y val="0.18460505594695401"/>
          <c:w val="0.43440780839895016"/>
          <c:h val="0.7023688354745130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E5-42B2-BC2E-37B146309D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E5-42B2-BC2E-37B146309D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E5-42B2-BC2E-37B146309D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E5-42B2-BC2E-37B146309D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9E5-42B2-BC2E-37B146309D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9E5-42B2-BC2E-37B146309D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9E5-42B2-BC2E-37B146309D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9E5-42B2-BC2E-37B146309D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9E5-42B2-BC2E-37B146309D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9E5-42B2-BC2E-37B146309DD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9E5-42B2-BC2E-37B146309DD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9E5-42B2-BC2E-37B146309DD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9E5-42B2-BC2E-37B146309DD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9E5-42B2-BC2E-37B146309DD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9E5-42B2-BC2E-37B146309DD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9E5-42B2-BC2E-37B146309DD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9E5-42B2-BC2E-37B146309DD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9E5-42B2-BC2E-37B146309DD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9E5-42B2-BC2E-37B146309DD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9E5-42B2-BC2E-37B146309DD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9E5-42B2-BC2E-37B146309DD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9E5-42B2-BC2E-37B146309DD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9E5-42B2-BC2E-37B146309DD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9E5-42B2-BC2E-37B146309DD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9E5-42B2-BC2E-37B146309DD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9E5-42B2-BC2E-37B146309DD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9E5-42B2-BC2E-37B146309DD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9E5-42B2-BC2E-37B146309DD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9E5-42B2-BC2E-37B146309DD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9E5-42B2-BC2E-37B146309DD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9E5-42B2-BC2E-37B146309DD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9E5-42B2-BC2E-37B146309DD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9E5-42B2-BC2E-37B146309DD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F9E5-42B2-BC2E-37B146309DD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F9E5-42B2-BC2E-37B146309DD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9E5-42B2-BC2E-37B146309DD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F9E5-42B2-BC2E-37B146309DD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F9E5-42B2-BC2E-37B146309DD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F9E5-42B2-BC2E-37B146309DD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F9E5-42B2-BC2E-37B146309DD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F9E5-42B2-BC2E-37B146309DD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F9E5-42B2-BC2E-37B146309DD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F9E5-42B2-BC2E-37B146309DD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F9E5-42B2-BC2E-37B146309DD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F9E5-42B2-BC2E-37B146309DD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F9E5-42B2-BC2E-37B146309DD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F9E5-42B2-BC2E-37B146309DD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F9E5-42B2-BC2E-37B146309DD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F9E5-42B2-BC2E-37B146309DD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F9E5-42B2-BC2E-37B146309DD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F9E5-42B2-BC2E-37B146309DD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F9E5-42B2-BC2E-37B146309DD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F9E5-42B2-BC2E-37B146309DD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F9E5-42B2-BC2E-37B146309DD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F9E5-42B2-BC2E-37B146309DD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F9E5-42B2-BC2E-37B146309DD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F9E5-42B2-BC2E-37B146309DD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F9E5-42B2-BC2E-37B146309DD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F9E5-42B2-BC2E-37B146309DD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F9E5-42B2-BC2E-37B146309DD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F9E5-42B2-BC2E-37B146309DD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F9E5-42B2-BC2E-37B146309DD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F9E5-42B2-BC2E-37B146309DD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F9E5-42B2-BC2E-37B146309DD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F9E5-42B2-BC2E-37B146309DD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F9E5-42B2-BC2E-37B146309DD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F9E5-42B2-BC2E-37B146309DD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F9E5-42B2-BC2E-37B146309DD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F9E5-42B2-BC2E-37B146309DD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F9E5-42B2-BC2E-37B146309DD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F9E5-42B2-BC2E-37B146309DD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F9E5-42B2-BC2E-37B146309DD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F9E5-42B2-BC2E-37B146309DD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F9E5-42B2-BC2E-37B146309DD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F9E5-42B2-BC2E-37B146309DD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F9E5-42B2-BC2E-37B146309DD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F9E5-42B2-BC2E-37B146309DD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F9E5-42B2-BC2E-37B146309DD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F9E5-42B2-BC2E-37B146309DD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F9E5-42B2-BC2E-37B146309DD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F9E5-42B2-BC2E-37B146309DD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F9E5-42B2-BC2E-37B146309DD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F9E5-42B2-BC2E-37B146309DD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F9E5-42B2-BC2E-37B146309DD0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F9E5-42B2-BC2E-37B146309DD0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F9E5-42B2-BC2E-37B146309DD0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F9E5-42B2-BC2E-37B146309DD0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F9E5-42B2-BC2E-37B146309DD0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F9E5-42B2-BC2E-37B146309DD0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F9E5-42B2-BC2E-37B146309DD0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F9E5-42B2-BC2E-37B146309DD0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F9E5-42B2-BC2E-37B146309DD0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F9E5-42B2-BC2E-37B146309DD0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F9E5-42B2-BC2E-37B146309DD0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F9E5-42B2-BC2E-37B146309DD0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F9E5-42B2-BC2E-37B146309DD0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F9E5-42B2-BC2E-37B146309DD0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F9E5-42B2-BC2E-37B146309DD0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F9E5-42B2-BC2E-37B146309DD0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F9E5-42B2-BC2E-37B146309DD0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F9E5-42B2-BC2E-37B146309DD0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F9E5-42B2-BC2E-37B146309DD0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F9E5-42B2-BC2E-37B146309DD0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F9E5-42B2-BC2E-37B146309DD0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F9E5-42B2-BC2E-37B146309DD0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F9E5-42B2-BC2E-37B146309DD0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F9E5-42B2-BC2E-37B146309DD0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F9E5-42B2-BC2E-37B146309DD0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F9E5-42B2-BC2E-37B146309DD0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F9E5-42B2-BC2E-37B146309DD0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F9E5-42B2-BC2E-37B146309DD0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F9E5-42B2-BC2E-37B146309DD0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F9E5-42B2-BC2E-37B146309DD0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F9E5-42B2-BC2E-37B146309DD0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F9E5-42B2-BC2E-37B146309DD0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F9E5-42B2-BC2E-37B146309DD0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F9E5-42B2-BC2E-37B146309DD0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F9E5-42B2-BC2E-37B146309DD0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F9E5-42B2-BC2E-37B146309DD0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F9E5-42B2-BC2E-37B146309DD0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F9E5-42B2-BC2E-37B146309DD0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F9E5-42B2-BC2E-37B146309DD0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F9E5-42B2-BC2E-37B146309DD0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F9E5-42B2-BC2E-37B146309DD0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F9E5-42B2-BC2E-37B146309DD0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F9E5-42B2-BC2E-37B146309DD0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F9E5-42B2-BC2E-37B146309DD0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F9E5-42B2-BC2E-37B146309DD0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F9E5-42B2-BC2E-37B146309DD0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F9E5-42B2-BC2E-37B146309DD0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F9E5-42B2-BC2E-37B146309DD0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F9E5-42B2-BC2E-37B146309DD0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F9E5-42B2-BC2E-37B146309DD0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F9E5-42B2-BC2E-37B146309DD0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F9E5-42B2-BC2E-37B146309DD0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F9E5-42B2-BC2E-37B146309DD0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F9E5-42B2-BC2E-37B146309DD0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F9E5-42B2-BC2E-37B146309DD0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F9E5-42B2-BC2E-37B146309DD0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F9E5-42B2-BC2E-37B146309DD0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F9E5-42B2-BC2E-37B146309DD0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F9E5-42B2-BC2E-37B146309DD0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F9E5-42B2-BC2E-37B146309DD0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F9E5-42B2-BC2E-37B146309DD0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F9E5-42B2-BC2E-37B146309DD0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F9E5-42B2-BC2E-37B146309DD0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F9E5-42B2-BC2E-37B146309DD0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F9E5-42B2-BC2E-37B146309DD0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F9E5-42B2-BC2E-37B146309DD0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F9E5-42B2-BC2E-37B146309DD0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F9E5-42B2-BC2E-37B146309DD0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F9E5-42B2-BC2E-37B146309DD0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F9E5-42B2-BC2E-37B146309DD0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F9E5-42B2-BC2E-37B146309DD0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F9E5-42B2-BC2E-37B146309DD0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F9E5-42B2-BC2E-37B146309DD0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F9E5-42B2-BC2E-37B146309DD0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F9E5-42B2-BC2E-37B146309DD0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F9E5-42B2-BC2E-37B146309DD0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F9E5-42B2-BC2E-37B146309DD0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F9E5-42B2-BC2E-37B146309DD0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F9E5-42B2-BC2E-37B146309DD0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F9E5-42B2-BC2E-37B146309DD0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F9E5-42B2-BC2E-37B146309DD0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F9E5-42B2-BC2E-37B146309DD0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F9E5-42B2-BC2E-37B146309DD0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F9E5-42B2-BC2E-37B146309DD0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F9E5-42B2-BC2E-37B146309DD0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F9E5-42B2-BC2E-37B146309DD0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F9E5-42B2-BC2E-37B146309DD0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F9E5-42B2-BC2E-37B146309DD0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F9E5-42B2-BC2E-37B146309DD0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F9E5-42B2-BC2E-37B146309DD0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F9E5-42B2-BC2E-37B146309DD0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F9E5-42B2-BC2E-37B146309DD0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F9E5-42B2-BC2E-37B146309DD0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F9E5-42B2-BC2E-37B146309DD0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F9E5-42B2-BC2E-37B146309DD0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F9E5-42B2-BC2E-37B146309DD0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F9E5-42B2-BC2E-37B146309DD0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F9E5-42B2-BC2E-37B146309DD0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F9E5-42B2-BC2E-37B146309DD0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F9E5-42B2-BC2E-37B146309DD0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F9E5-42B2-BC2E-37B146309DD0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F9E5-42B2-BC2E-37B146309DD0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F9E5-42B2-BC2E-37B146309DD0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F9E5-42B2-BC2E-37B146309DD0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F9E5-42B2-BC2E-37B146309DD0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F9E5-42B2-BC2E-37B146309DD0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F9E5-42B2-BC2E-37B146309DD0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F9E5-42B2-BC2E-37B146309DD0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F9E5-42B2-BC2E-37B146309DD0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F9E5-42B2-BC2E-37B146309DD0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F9E5-42B2-BC2E-37B146309DD0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F9E5-42B2-BC2E-37B146309DD0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F9E5-42B2-BC2E-37B146309DD0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F9E5-42B2-BC2E-37B146309DD0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F9E5-42B2-BC2E-37B146309DD0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F9E5-42B2-BC2E-37B146309DD0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F9E5-42B2-BC2E-37B146309DD0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F9E5-42B2-BC2E-37B146309DD0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F9E5-42B2-BC2E-37B146309DD0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4B9C1C18-C7D9-4E89-854C-83496022DBBB}" type="CATEGORYNAME">
                      <a:rPr lang="en-US" altLang="zh-CN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[类别名称]</a:t>
                    </a:fld>
                    <a:r>
                      <a:rPr lang="en-US">
                        <a:solidFill>
                          <a:schemeClr val="bg1"/>
                        </a:solidFill>
                      </a:rPr>
                      <a:t>, </a:t>
                    </a:r>
                    <a:fld id="{B477F0CB-6DF3-4583-BED8-C4F9EAD8D6BE}" type="VALUE">
                      <a:rPr lang="en-US" altLang="zh-CN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[值]</a:t>
                    </a:fld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9E5-42B2-BC2E-37B146309D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Assumption!$BC$42</c:f>
              <c:numCache>
                <c:formatCode>0%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Assumption!#REF!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Assumption!$BB$42</c15:sqref>
                        </c15:formulaRef>
                      </c:ext>
                    </c:extLst>
                    <c:numCache>
                      <c:formatCode>0%</c:formatCode>
                      <c:ptCount val="1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194-F9E5-42B2-BC2E-37B146309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28567913385826"/>
          <c:y val="0.17197347699958557"/>
          <c:w val="0.44222030839895016"/>
          <c:h val="0.7150004144218814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3D-4214-8F86-6311DBA9DB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3D-4214-8F86-6311DBA9DB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3D-4214-8F86-6311DBA9DB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3D-4214-8F86-6311DBA9DB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3D-4214-8F86-6311DBA9DB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3D-4214-8F86-6311DBA9DB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3D-4214-8F86-6311DBA9DB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03D-4214-8F86-6311DBA9DBC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03D-4214-8F86-6311DBA9DBC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03D-4214-8F86-6311DBA9DBC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03D-4214-8F86-6311DBA9DBC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03D-4214-8F86-6311DBA9DBC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03D-4214-8F86-6311DBA9DBC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03D-4214-8F86-6311DBA9DBC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03D-4214-8F86-6311DBA9DBC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03D-4214-8F86-6311DBA9DBC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03D-4214-8F86-6311DBA9DBC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03D-4214-8F86-6311DBA9DBC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03D-4214-8F86-6311DBA9DBC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03D-4214-8F86-6311DBA9DBC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03D-4214-8F86-6311DBA9DBC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03D-4214-8F86-6311DBA9DBC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03D-4214-8F86-6311DBA9DBC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03D-4214-8F86-6311DBA9DBC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03D-4214-8F86-6311DBA9DBC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03D-4214-8F86-6311DBA9DBC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03D-4214-8F86-6311DBA9DBC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03D-4214-8F86-6311DBA9DBC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03D-4214-8F86-6311DBA9DBC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03D-4214-8F86-6311DBA9DBC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03D-4214-8F86-6311DBA9DBC2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03D-4214-8F86-6311DBA9DBC2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03D-4214-8F86-6311DBA9DBC2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03D-4214-8F86-6311DBA9DBC2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03D-4214-8F86-6311DBA9DBC2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03D-4214-8F86-6311DBA9DBC2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03D-4214-8F86-6311DBA9DBC2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03D-4214-8F86-6311DBA9DBC2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03D-4214-8F86-6311DBA9DBC2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03D-4214-8F86-6311DBA9DBC2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03D-4214-8F86-6311DBA9DBC2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003D-4214-8F86-6311DBA9DBC2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03D-4214-8F86-6311DBA9DBC2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03D-4214-8F86-6311DBA9DBC2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03D-4214-8F86-6311DBA9DBC2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03D-4214-8F86-6311DBA9DBC2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03D-4214-8F86-6311DBA9DBC2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03D-4214-8F86-6311DBA9DBC2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003D-4214-8F86-6311DBA9DBC2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003D-4214-8F86-6311DBA9DBC2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003D-4214-8F86-6311DBA9DBC2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003D-4214-8F86-6311DBA9DBC2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003D-4214-8F86-6311DBA9DBC2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003D-4214-8F86-6311DBA9DBC2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003D-4214-8F86-6311DBA9DBC2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003D-4214-8F86-6311DBA9DBC2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003D-4214-8F86-6311DBA9DBC2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003D-4214-8F86-6311DBA9DBC2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003D-4214-8F86-6311DBA9DBC2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003D-4214-8F86-6311DBA9DBC2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003D-4214-8F86-6311DBA9DBC2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003D-4214-8F86-6311DBA9DBC2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003D-4214-8F86-6311DBA9DBC2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003D-4214-8F86-6311DBA9DBC2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003D-4214-8F86-6311DBA9DBC2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003D-4214-8F86-6311DBA9DBC2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003D-4214-8F86-6311DBA9DBC2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003D-4214-8F86-6311DBA9DBC2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003D-4214-8F86-6311DBA9DBC2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003D-4214-8F86-6311DBA9DBC2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003D-4214-8F86-6311DBA9DBC2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003D-4214-8F86-6311DBA9DBC2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003D-4214-8F86-6311DBA9DBC2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003D-4214-8F86-6311DBA9DBC2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003D-4214-8F86-6311DBA9DBC2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003D-4214-8F86-6311DBA9DBC2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003D-4214-8F86-6311DBA9DBC2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003D-4214-8F86-6311DBA9DBC2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003D-4214-8F86-6311DBA9DBC2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003D-4214-8F86-6311DBA9DBC2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003D-4214-8F86-6311DBA9DBC2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003D-4214-8F86-6311DBA9DBC2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003D-4214-8F86-6311DBA9DBC2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003D-4214-8F86-6311DBA9DBC2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003D-4214-8F86-6311DBA9DBC2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003D-4214-8F86-6311DBA9DBC2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003D-4214-8F86-6311DBA9DBC2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003D-4214-8F86-6311DBA9DBC2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003D-4214-8F86-6311DBA9DBC2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003D-4214-8F86-6311DBA9DBC2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003D-4214-8F86-6311DBA9DBC2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003D-4214-8F86-6311DBA9DBC2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003D-4214-8F86-6311DBA9DBC2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003D-4214-8F86-6311DBA9DBC2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003D-4214-8F86-6311DBA9DBC2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003D-4214-8F86-6311DBA9DBC2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003D-4214-8F86-6311DBA9DBC2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003D-4214-8F86-6311DBA9DBC2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003D-4214-8F86-6311DBA9DBC2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003D-4214-8F86-6311DBA9DBC2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003D-4214-8F86-6311DBA9DBC2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003D-4214-8F86-6311DBA9DBC2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003D-4214-8F86-6311DBA9DBC2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003D-4214-8F86-6311DBA9DBC2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003D-4214-8F86-6311DBA9DBC2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003D-4214-8F86-6311DBA9DBC2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003D-4214-8F86-6311DBA9DBC2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003D-4214-8F86-6311DBA9DBC2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003D-4214-8F86-6311DBA9DBC2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003D-4214-8F86-6311DBA9DBC2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003D-4214-8F86-6311DBA9DBC2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003D-4214-8F86-6311DBA9DBC2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003D-4214-8F86-6311DBA9DBC2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003D-4214-8F86-6311DBA9DBC2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003D-4214-8F86-6311DBA9DBC2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003D-4214-8F86-6311DBA9DBC2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003D-4214-8F86-6311DBA9DBC2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003D-4214-8F86-6311DBA9DBC2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003D-4214-8F86-6311DBA9DBC2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003D-4214-8F86-6311DBA9DBC2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003D-4214-8F86-6311DBA9DBC2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003D-4214-8F86-6311DBA9DBC2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003D-4214-8F86-6311DBA9DBC2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003D-4214-8F86-6311DBA9DBC2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003D-4214-8F86-6311DBA9DBC2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003D-4214-8F86-6311DBA9DBC2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003D-4214-8F86-6311DBA9DBC2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003D-4214-8F86-6311DBA9DBC2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003D-4214-8F86-6311DBA9DBC2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003D-4214-8F86-6311DBA9DBC2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003D-4214-8F86-6311DBA9DBC2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003D-4214-8F86-6311DBA9DBC2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003D-4214-8F86-6311DBA9DBC2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003D-4214-8F86-6311DBA9DBC2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003D-4214-8F86-6311DBA9DBC2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003D-4214-8F86-6311DBA9DBC2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003D-4214-8F86-6311DBA9DBC2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003D-4214-8F86-6311DBA9DBC2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003D-4214-8F86-6311DBA9DBC2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003D-4214-8F86-6311DBA9DBC2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003D-4214-8F86-6311DBA9DBC2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003D-4214-8F86-6311DBA9DBC2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003D-4214-8F86-6311DBA9DBC2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003D-4214-8F86-6311DBA9DBC2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003D-4214-8F86-6311DBA9DBC2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003D-4214-8F86-6311DBA9DBC2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003D-4214-8F86-6311DBA9DBC2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003D-4214-8F86-6311DBA9DBC2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003D-4214-8F86-6311DBA9DBC2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003D-4214-8F86-6311DBA9DBC2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003D-4214-8F86-6311DBA9DBC2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003D-4214-8F86-6311DBA9DBC2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003D-4214-8F86-6311DBA9DBC2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003D-4214-8F86-6311DBA9DBC2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003D-4214-8F86-6311DBA9DBC2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003D-4214-8F86-6311DBA9DBC2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003D-4214-8F86-6311DBA9DBC2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003D-4214-8F86-6311DBA9DBC2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003D-4214-8F86-6311DBA9DBC2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003D-4214-8F86-6311DBA9DBC2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003D-4214-8F86-6311DBA9DBC2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003D-4214-8F86-6311DBA9DBC2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003D-4214-8F86-6311DBA9DBC2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003D-4214-8F86-6311DBA9DBC2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003D-4214-8F86-6311DBA9DBC2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003D-4214-8F86-6311DBA9DBC2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003D-4214-8F86-6311DBA9DBC2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003D-4214-8F86-6311DBA9DBC2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003D-4214-8F86-6311DBA9DBC2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003D-4214-8F86-6311DBA9DBC2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003D-4214-8F86-6311DBA9DBC2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003D-4214-8F86-6311DBA9DBC2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003D-4214-8F86-6311DBA9DBC2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003D-4214-8F86-6311DBA9DBC2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003D-4214-8F86-6311DBA9DBC2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003D-4214-8F86-6311DBA9DBC2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003D-4214-8F86-6311DBA9DBC2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003D-4214-8F86-6311DBA9DBC2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003D-4214-8F86-6311DBA9DBC2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003D-4214-8F86-6311DBA9DBC2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003D-4214-8F86-6311DBA9DBC2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003D-4214-8F86-6311DBA9DBC2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003D-4214-8F86-6311DBA9DBC2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003D-4214-8F86-6311DBA9DBC2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003D-4214-8F86-6311DBA9DBC2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003D-4214-8F86-6311DBA9DBC2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003D-4214-8F86-6311DBA9DBC2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003D-4214-8F86-6311DBA9DBC2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003D-4214-8F86-6311DBA9DBC2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003D-4214-8F86-6311DBA9DBC2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003D-4214-8F86-6311DBA9DBC2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003D-4214-8F86-6311DBA9DBC2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003D-4214-8F86-6311DBA9DBC2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003D-4214-8F86-6311DBA9DBC2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003D-4214-8F86-6311DBA9DBC2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003D-4214-8F86-6311DBA9DBC2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003D-4214-8F86-6311DBA9DBC2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003D-4214-8F86-6311DBA9DBC2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003D-4214-8F86-6311DBA9DBC2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003D-4214-8F86-6311DBA9DBC2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003D-4214-8F86-6311DBA9DBC2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003D-4214-8F86-6311DBA9DBC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4B9C1C18-C7D9-4E89-854C-83496022DBBB}" type="CATEGORYNAME">
                      <a:rPr lang="en-US" altLang="zh-CN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[类别名称]</a:t>
                    </a:fld>
                    <a:r>
                      <a:rPr lang="en-US">
                        <a:solidFill>
                          <a:schemeClr val="bg1"/>
                        </a:solidFill>
                      </a:rPr>
                      <a:t>, </a:t>
                    </a:r>
                    <a:fld id="{B477F0CB-6DF3-4583-BED8-C4F9EAD8D6BE}" type="VALUE">
                      <a:rPr lang="en-US" altLang="zh-CN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[值]</a:t>
                    </a:fld>
                    <a:endParaRPr lang="en-US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03D-4214-8F86-6311DBA9DB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Assumption!$BD$42</c:f>
              <c:numCache>
                <c:formatCode>0%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Assumption!#REF!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Assumption!$BB$42</c15:sqref>
                        </c15:formulaRef>
                      </c:ext>
                    </c:extLst>
                    <c:numCache>
                      <c:formatCode>0%</c:formatCode>
                      <c:ptCount val="1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194-003D-4214-8F86-6311DBA9D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26484580052495"/>
          <c:y val="0.15092084542063822"/>
          <c:w val="0.45263697506561679"/>
          <c:h val="0.7318425196850393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FA-4FF7-8FAE-F272B9CE78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FA-4FF7-8FAE-F272B9CE78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FA-4FF7-8FAE-F272B9CE78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FA-4FF7-8FAE-F272B9CE78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FA-4FF7-8FAE-F272B9CE78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FA-4FF7-8FAE-F272B9CE78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FA-4FF7-8FAE-F272B9CE78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FA-4FF7-8FAE-F272B9CE78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FA-4FF7-8FAE-F272B9CE78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FA-4FF7-8FAE-F272B9CE78D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4FA-4FF7-8FAE-F272B9CE78D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4FA-4FF7-8FAE-F272B9CE78D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4FA-4FF7-8FAE-F272B9CE78D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4FA-4FF7-8FAE-F272B9CE78D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4FA-4FF7-8FAE-F272B9CE78D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4FA-4FF7-8FAE-F272B9CE78D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4FA-4FF7-8FAE-F272B9CE78D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4FA-4FF7-8FAE-F272B9CE78D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4FA-4FF7-8FAE-F272B9CE78D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4FA-4FF7-8FAE-F272B9CE78D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4FA-4FF7-8FAE-F272B9CE78D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4FA-4FF7-8FAE-F272B9CE78D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4FA-4FF7-8FAE-F272B9CE78D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4FA-4FF7-8FAE-F272B9CE78D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4FA-4FF7-8FAE-F272B9CE78D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4FA-4FF7-8FAE-F272B9CE78D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4FA-4FF7-8FAE-F272B9CE78D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4FA-4FF7-8FAE-F272B9CE78D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4FA-4FF7-8FAE-F272B9CE78D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4FA-4FF7-8FAE-F272B9CE78D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4FA-4FF7-8FAE-F272B9CE78D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4FA-4FF7-8FAE-F272B9CE78D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64FA-4FF7-8FAE-F272B9CE78D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64FA-4FF7-8FAE-F272B9CE78D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64FA-4FF7-8FAE-F272B9CE78D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64FA-4FF7-8FAE-F272B9CE78D6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64FA-4FF7-8FAE-F272B9CE78D6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64FA-4FF7-8FAE-F272B9CE78D6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64FA-4FF7-8FAE-F272B9CE78D6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64FA-4FF7-8FAE-F272B9CE78D6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64FA-4FF7-8FAE-F272B9CE78D6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64FA-4FF7-8FAE-F272B9CE78D6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64FA-4FF7-8FAE-F272B9CE78D6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64FA-4FF7-8FAE-F272B9CE78D6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64FA-4FF7-8FAE-F272B9CE78D6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64FA-4FF7-8FAE-F272B9CE78D6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64FA-4FF7-8FAE-F272B9CE78D6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64FA-4FF7-8FAE-F272B9CE78D6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64FA-4FF7-8FAE-F272B9CE78D6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64FA-4FF7-8FAE-F272B9CE78D6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64FA-4FF7-8FAE-F272B9CE78D6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64FA-4FF7-8FAE-F272B9CE78D6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64FA-4FF7-8FAE-F272B9CE78D6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64FA-4FF7-8FAE-F272B9CE78D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64FA-4FF7-8FAE-F272B9CE78D6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64FA-4FF7-8FAE-F272B9CE78D6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64FA-4FF7-8FAE-F272B9CE78D6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64FA-4FF7-8FAE-F272B9CE78D6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64FA-4FF7-8FAE-F272B9CE78D6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64FA-4FF7-8FAE-F272B9CE78D6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64FA-4FF7-8FAE-F272B9CE78D6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64FA-4FF7-8FAE-F272B9CE78D6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64FA-4FF7-8FAE-F272B9CE78D6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64FA-4FF7-8FAE-F272B9CE78D6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64FA-4FF7-8FAE-F272B9CE78D6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64FA-4FF7-8FAE-F272B9CE78D6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64FA-4FF7-8FAE-F272B9CE78D6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64FA-4FF7-8FAE-F272B9CE78D6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64FA-4FF7-8FAE-F272B9CE78D6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64FA-4FF7-8FAE-F272B9CE78D6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64FA-4FF7-8FAE-F272B9CE78D6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64FA-4FF7-8FAE-F272B9CE78D6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64FA-4FF7-8FAE-F272B9CE78D6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64FA-4FF7-8FAE-F272B9CE78D6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64FA-4FF7-8FAE-F272B9CE78D6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64FA-4FF7-8FAE-F272B9CE78D6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64FA-4FF7-8FAE-F272B9CE78D6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64FA-4FF7-8FAE-F272B9CE78D6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64FA-4FF7-8FAE-F272B9CE78D6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64FA-4FF7-8FAE-F272B9CE78D6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64FA-4FF7-8FAE-F272B9CE78D6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64FA-4FF7-8FAE-F272B9CE78D6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64FA-4FF7-8FAE-F272B9CE78D6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64FA-4FF7-8FAE-F272B9CE78D6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64FA-4FF7-8FAE-F272B9CE78D6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64FA-4FF7-8FAE-F272B9CE78D6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64FA-4FF7-8FAE-F272B9CE78D6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64FA-4FF7-8FAE-F272B9CE78D6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64FA-4FF7-8FAE-F272B9CE78D6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64FA-4FF7-8FAE-F272B9CE78D6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64FA-4FF7-8FAE-F272B9CE78D6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64FA-4FF7-8FAE-F272B9CE78D6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64FA-4FF7-8FAE-F272B9CE78D6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64FA-4FF7-8FAE-F272B9CE78D6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64FA-4FF7-8FAE-F272B9CE78D6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64FA-4FF7-8FAE-F272B9CE78D6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64FA-4FF7-8FAE-F272B9CE78D6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64FA-4FF7-8FAE-F272B9CE78D6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64FA-4FF7-8FAE-F272B9CE78D6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64FA-4FF7-8FAE-F272B9CE78D6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64FA-4FF7-8FAE-F272B9CE78D6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64FA-4FF7-8FAE-F272B9CE78D6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64FA-4FF7-8FAE-F272B9CE78D6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64FA-4FF7-8FAE-F272B9CE78D6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64FA-4FF7-8FAE-F272B9CE78D6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64FA-4FF7-8FAE-F272B9CE78D6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64FA-4FF7-8FAE-F272B9CE78D6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64FA-4FF7-8FAE-F272B9CE78D6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64FA-4FF7-8FAE-F272B9CE78D6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64FA-4FF7-8FAE-F272B9CE78D6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64FA-4FF7-8FAE-F272B9CE78D6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64FA-4FF7-8FAE-F272B9CE78D6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64FA-4FF7-8FAE-F272B9CE78D6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64FA-4FF7-8FAE-F272B9CE78D6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64FA-4FF7-8FAE-F272B9CE78D6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64FA-4FF7-8FAE-F272B9CE78D6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64FA-4FF7-8FAE-F272B9CE78D6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64FA-4FF7-8FAE-F272B9CE78D6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64FA-4FF7-8FAE-F272B9CE78D6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64FA-4FF7-8FAE-F272B9CE78D6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64FA-4FF7-8FAE-F272B9CE78D6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64FA-4FF7-8FAE-F272B9CE78D6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64FA-4FF7-8FAE-F272B9CE78D6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64FA-4FF7-8FAE-F272B9CE78D6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64FA-4FF7-8FAE-F272B9CE78D6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64FA-4FF7-8FAE-F272B9CE78D6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64FA-4FF7-8FAE-F272B9CE78D6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64FA-4FF7-8FAE-F272B9CE78D6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64FA-4FF7-8FAE-F272B9CE78D6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64FA-4FF7-8FAE-F272B9CE78D6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64FA-4FF7-8FAE-F272B9CE78D6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64FA-4FF7-8FAE-F272B9CE78D6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64FA-4FF7-8FAE-F272B9CE78D6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64FA-4FF7-8FAE-F272B9CE78D6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64FA-4FF7-8FAE-F272B9CE78D6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64FA-4FF7-8FAE-F272B9CE78D6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64FA-4FF7-8FAE-F272B9CE78D6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64FA-4FF7-8FAE-F272B9CE78D6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64FA-4FF7-8FAE-F272B9CE78D6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64FA-4FF7-8FAE-F272B9CE78D6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64FA-4FF7-8FAE-F272B9CE78D6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64FA-4FF7-8FAE-F272B9CE78D6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64FA-4FF7-8FAE-F272B9CE78D6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64FA-4FF7-8FAE-F272B9CE78D6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64FA-4FF7-8FAE-F272B9CE78D6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64FA-4FF7-8FAE-F272B9CE78D6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64FA-4FF7-8FAE-F272B9CE78D6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64FA-4FF7-8FAE-F272B9CE78D6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64FA-4FF7-8FAE-F272B9CE78D6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64FA-4FF7-8FAE-F272B9CE78D6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64FA-4FF7-8FAE-F272B9CE78D6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64FA-4FF7-8FAE-F272B9CE78D6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64FA-4FF7-8FAE-F272B9CE78D6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64FA-4FF7-8FAE-F272B9CE78D6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64FA-4FF7-8FAE-F272B9CE78D6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64FA-4FF7-8FAE-F272B9CE78D6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64FA-4FF7-8FAE-F272B9CE78D6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64FA-4FF7-8FAE-F272B9CE78D6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64FA-4FF7-8FAE-F272B9CE78D6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64FA-4FF7-8FAE-F272B9CE78D6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64FA-4FF7-8FAE-F272B9CE78D6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64FA-4FF7-8FAE-F272B9CE78D6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64FA-4FF7-8FAE-F272B9CE78D6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64FA-4FF7-8FAE-F272B9CE78D6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64FA-4FF7-8FAE-F272B9CE78D6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64FA-4FF7-8FAE-F272B9CE78D6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64FA-4FF7-8FAE-F272B9CE78D6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64FA-4FF7-8FAE-F272B9CE78D6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64FA-4FF7-8FAE-F272B9CE78D6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64FA-4FF7-8FAE-F272B9CE78D6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64FA-4FF7-8FAE-F272B9CE78D6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64FA-4FF7-8FAE-F272B9CE78D6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64FA-4FF7-8FAE-F272B9CE78D6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64FA-4FF7-8FAE-F272B9CE78D6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64FA-4FF7-8FAE-F272B9CE78D6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64FA-4FF7-8FAE-F272B9CE78D6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64FA-4FF7-8FAE-F272B9CE78D6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64FA-4FF7-8FAE-F272B9CE78D6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64FA-4FF7-8FAE-F272B9CE78D6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64FA-4FF7-8FAE-F272B9CE78D6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64FA-4FF7-8FAE-F272B9CE78D6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64FA-4FF7-8FAE-F272B9CE78D6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64FA-4FF7-8FAE-F272B9CE78D6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64FA-4FF7-8FAE-F272B9CE78D6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64FA-4FF7-8FAE-F272B9CE78D6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64FA-4FF7-8FAE-F272B9CE78D6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64FA-4FF7-8FAE-F272B9CE78D6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64FA-4FF7-8FAE-F272B9CE78D6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64FA-4FF7-8FAE-F272B9CE78D6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64FA-4FF7-8FAE-F272B9CE78D6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64FA-4FF7-8FAE-F272B9CE78D6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64FA-4FF7-8FAE-F272B9CE78D6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64FA-4FF7-8FAE-F272B9CE78D6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64FA-4FF7-8FAE-F272B9CE78D6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64FA-4FF7-8FAE-F272B9CE78D6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64FA-4FF7-8FAE-F272B9CE78D6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64FA-4FF7-8FAE-F272B9CE78D6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64FA-4FF7-8FAE-F272B9CE78D6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64FA-4FF7-8FAE-F272B9CE78D6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64FA-4FF7-8FAE-F272B9CE78D6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64FA-4FF7-8FAE-F272B9CE78D6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64FA-4FF7-8FAE-F272B9CE78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B9C1C18-C7D9-4E89-854C-83496022DBBB}" type="CATEGORYNAME">
                      <a:rPr lang="en-US" altLang="zh-CN">
                        <a:solidFill>
                          <a:schemeClr val="bg1"/>
                        </a:solidFill>
                      </a:rPr>
                      <a:pPr/>
                      <a:t>[类别名称]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B477F0CB-6DF3-4583-BED8-C4F9EAD8D6BE}" type="VALUE">
                      <a:rPr lang="en-US" altLang="zh-CN" baseline="0">
                        <a:solidFill>
                          <a:schemeClr val="bg1"/>
                        </a:solidFill>
                      </a:rPr>
                      <a:pPr/>
                      <a:t>[值]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4FA-4FF7-8FAE-F272B9CE78D6}"/>
                </c:ext>
              </c:extLst>
            </c:dLbl>
            <c:dLbl>
              <c:idx val="5"/>
              <c:layout>
                <c:manualLayout>
                  <c:x val="-4.2691724081364832E-2"/>
                  <c:y val="7.635261870798171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FA-4FF7-8FAE-F272B9CE7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Assumption!$BE$42</c:f>
              <c:numCache>
                <c:formatCode>0%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Assumption!#REF!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Assumption!$BB$42</c15:sqref>
                        </c15:formulaRef>
                      </c:ext>
                    </c:extLst>
                    <c:numCache>
                      <c:formatCode>0%</c:formatCode>
                      <c:ptCount val="1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194-64FA-4FF7-8FAE-F272B9CE7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26484580052495"/>
          <c:y val="0.15092084542063822"/>
          <c:w val="0.45263697506561679"/>
          <c:h val="0.7318425196850393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AA-47E0-85F4-D533CB2C06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AA-47E0-85F4-D533CB2C06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AA-47E0-85F4-D533CB2C06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AA-47E0-85F4-D533CB2C06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AA-47E0-85F4-D533CB2C06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8AA-47E0-85F4-D533CB2C06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8AA-47E0-85F4-D533CB2C06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8AA-47E0-85F4-D533CB2C06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8AA-47E0-85F4-D533CB2C066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8AA-47E0-85F4-D533CB2C066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8AA-47E0-85F4-D533CB2C066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8AA-47E0-85F4-D533CB2C066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8AA-47E0-85F4-D533CB2C066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8AA-47E0-85F4-D533CB2C066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8AA-47E0-85F4-D533CB2C066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8AA-47E0-85F4-D533CB2C066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8AA-47E0-85F4-D533CB2C066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8AA-47E0-85F4-D533CB2C066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8AA-47E0-85F4-D533CB2C066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8AA-47E0-85F4-D533CB2C066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8AA-47E0-85F4-D533CB2C066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8AA-47E0-85F4-D533CB2C066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8AA-47E0-85F4-D533CB2C066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8AA-47E0-85F4-D533CB2C066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8AA-47E0-85F4-D533CB2C066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8AA-47E0-85F4-D533CB2C066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8AA-47E0-85F4-D533CB2C066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8AA-47E0-85F4-D533CB2C066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8AA-47E0-85F4-D533CB2C066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8AA-47E0-85F4-D533CB2C066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98AA-47E0-85F4-D533CB2C066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98AA-47E0-85F4-D533CB2C066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98AA-47E0-85F4-D533CB2C066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98AA-47E0-85F4-D533CB2C066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98AA-47E0-85F4-D533CB2C066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98AA-47E0-85F4-D533CB2C066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98AA-47E0-85F4-D533CB2C066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98AA-47E0-85F4-D533CB2C066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98AA-47E0-85F4-D533CB2C066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98AA-47E0-85F4-D533CB2C066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98AA-47E0-85F4-D533CB2C066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98AA-47E0-85F4-D533CB2C066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98AA-47E0-85F4-D533CB2C066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98AA-47E0-85F4-D533CB2C066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98AA-47E0-85F4-D533CB2C066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98AA-47E0-85F4-D533CB2C066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98AA-47E0-85F4-D533CB2C066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98AA-47E0-85F4-D533CB2C066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98AA-47E0-85F4-D533CB2C066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98AA-47E0-85F4-D533CB2C066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98AA-47E0-85F4-D533CB2C0661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98AA-47E0-85F4-D533CB2C0661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98AA-47E0-85F4-D533CB2C0661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98AA-47E0-85F4-D533CB2C0661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98AA-47E0-85F4-D533CB2C0661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98AA-47E0-85F4-D533CB2C0661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98AA-47E0-85F4-D533CB2C0661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98AA-47E0-85F4-D533CB2C0661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98AA-47E0-85F4-D533CB2C0661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98AA-47E0-85F4-D533CB2C0661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98AA-47E0-85F4-D533CB2C0661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98AA-47E0-85F4-D533CB2C0661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98AA-47E0-85F4-D533CB2C0661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98AA-47E0-85F4-D533CB2C0661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98AA-47E0-85F4-D533CB2C0661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98AA-47E0-85F4-D533CB2C0661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98AA-47E0-85F4-D533CB2C0661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98AA-47E0-85F4-D533CB2C0661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98AA-47E0-85F4-D533CB2C0661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98AA-47E0-85F4-D533CB2C0661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98AA-47E0-85F4-D533CB2C0661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98AA-47E0-85F4-D533CB2C0661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98AA-47E0-85F4-D533CB2C0661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98AA-47E0-85F4-D533CB2C0661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98AA-47E0-85F4-D533CB2C0661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98AA-47E0-85F4-D533CB2C0661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98AA-47E0-85F4-D533CB2C0661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98AA-47E0-85F4-D533CB2C0661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98AA-47E0-85F4-D533CB2C0661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98AA-47E0-85F4-D533CB2C0661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98AA-47E0-85F4-D533CB2C0661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98AA-47E0-85F4-D533CB2C0661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98AA-47E0-85F4-D533CB2C0661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98AA-47E0-85F4-D533CB2C0661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98AA-47E0-85F4-D533CB2C0661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98AA-47E0-85F4-D533CB2C0661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98AA-47E0-85F4-D533CB2C0661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98AA-47E0-85F4-D533CB2C0661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98AA-47E0-85F4-D533CB2C0661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98AA-47E0-85F4-D533CB2C0661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98AA-47E0-85F4-D533CB2C0661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98AA-47E0-85F4-D533CB2C0661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98AA-47E0-85F4-D533CB2C0661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98AA-47E0-85F4-D533CB2C0661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98AA-47E0-85F4-D533CB2C0661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98AA-47E0-85F4-D533CB2C0661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98AA-47E0-85F4-D533CB2C0661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98AA-47E0-85F4-D533CB2C0661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98AA-47E0-85F4-D533CB2C0661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98AA-47E0-85F4-D533CB2C0661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98AA-47E0-85F4-D533CB2C0661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98AA-47E0-85F4-D533CB2C0661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98AA-47E0-85F4-D533CB2C0661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98AA-47E0-85F4-D533CB2C0661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98AA-47E0-85F4-D533CB2C0661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98AA-47E0-85F4-D533CB2C0661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98AA-47E0-85F4-D533CB2C0661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98AA-47E0-85F4-D533CB2C0661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98AA-47E0-85F4-D533CB2C0661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98AA-47E0-85F4-D533CB2C0661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98AA-47E0-85F4-D533CB2C0661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98AA-47E0-85F4-D533CB2C0661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98AA-47E0-85F4-D533CB2C0661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98AA-47E0-85F4-D533CB2C0661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98AA-47E0-85F4-D533CB2C0661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98AA-47E0-85F4-D533CB2C0661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98AA-47E0-85F4-D533CB2C0661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98AA-47E0-85F4-D533CB2C0661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98AA-47E0-85F4-D533CB2C0661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98AA-47E0-85F4-D533CB2C0661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98AA-47E0-85F4-D533CB2C0661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98AA-47E0-85F4-D533CB2C0661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98AA-47E0-85F4-D533CB2C0661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98AA-47E0-85F4-D533CB2C0661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98AA-47E0-85F4-D533CB2C0661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98AA-47E0-85F4-D533CB2C0661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98AA-47E0-85F4-D533CB2C0661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98AA-47E0-85F4-D533CB2C0661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98AA-47E0-85F4-D533CB2C0661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98AA-47E0-85F4-D533CB2C0661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98AA-47E0-85F4-D533CB2C0661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98AA-47E0-85F4-D533CB2C0661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98AA-47E0-85F4-D533CB2C0661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98AA-47E0-85F4-D533CB2C0661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98AA-47E0-85F4-D533CB2C0661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98AA-47E0-85F4-D533CB2C0661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98AA-47E0-85F4-D533CB2C0661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98AA-47E0-85F4-D533CB2C0661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98AA-47E0-85F4-D533CB2C0661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98AA-47E0-85F4-D533CB2C0661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98AA-47E0-85F4-D533CB2C0661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98AA-47E0-85F4-D533CB2C0661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98AA-47E0-85F4-D533CB2C0661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98AA-47E0-85F4-D533CB2C0661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98AA-47E0-85F4-D533CB2C0661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98AA-47E0-85F4-D533CB2C0661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98AA-47E0-85F4-D533CB2C0661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98AA-47E0-85F4-D533CB2C0661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98AA-47E0-85F4-D533CB2C0661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98AA-47E0-85F4-D533CB2C0661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98AA-47E0-85F4-D533CB2C0661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98AA-47E0-85F4-D533CB2C0661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98AA-47E0-85F4-D533CB2C0661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98AA-47E0-85F4-D533CB2C0661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98AA-47E0-85F4-D533CB2C0661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98AA-47E0-85F4-D533CB2C0661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98AA-47E0-85F4-D533CB2C0661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98AA-47E0-85F4-D533CB2C0661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98AA-47E0-85F4-D533CB2C0661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98AA-47E0-85F4-D533CB2C0661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98AA-47E0-85F4-D533CB2C0661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98AA-47E0-85F4-D533CB2C0661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98AA-47E0-85F4-D533CB2C0661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98AA-47E0-85F4-D533CB2C0661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98AA-47E0-85F4-D533CB2C0661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98AA-47E0-85F4-D533CB2C0661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98AA-47E0-85F4-D533CB2C0661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98AA-47E0-85F4-D533CB2C0661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98AA-47E0-85F4-D533CB2C0661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98AA-47E0-85F4-D533CB2C0661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98AA-47E0-85F4-D533CB2C0661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98AA-47E0-85F4-D533CB2C0661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98AA-47E0-85F4-D533CB2C0661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98AA-47E0-85F4-D533CB2C0661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98AA-47E0-85F4-D533CB2C0661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98AA-47E0-85F4-D533CB2C0661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98AA-47E0-85F4-D533CB2C0661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98AA-47E0-85F4-D533CB2C0661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98AA-47E0-85F4-D533CB2C0661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98AA-47E0-85F4-D533CB2C0661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98AA-47E0-85F4-D533CB2C0661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98AA-47E0-85F4-D533CB2C0661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98AA-47E0-85F4-D533CB2C0661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98AA-47E0-85F4-D533CB2C0661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98AA-47E0-85F4-D533CB2C0661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98AA-47E0-85F4-D533CB2C0661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98AA-47E0-85F4-D533CB2C0661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98AA-47E0-85F4-D533CB2C0661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98AA-47E0-85F4-D533CB2C0661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98AA-47E0-85F4-D533CB2C0661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98AA-47E0-85F4-D533CB2C0661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98AA-47E0-85F4-D533CB2C0661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98AA-47E0-85F4-D533CB2C0661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98AA-47E0-85F4-D533CB2C0661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98AA-47E0-85F4-D533CB2C0661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98AA-47E0-85F4-D533CB2C0661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98AA-47E0-85F4-D533CB2C0661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98AA-47E0-85F4-D533CB2C0661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98AA-47E0-85F4-D533CB2C0661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98AA-47E0-85F4-D533CB2C0661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98AA-47E0-85F4-D533CB2C0661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98AA-47E0-85F4-D533CB2C066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B9C1C18-C7D9-4E89-854C-83496022DBBB}" type="CATEGORYNAME">
                      <a:rPr lang="en-US" altLang="zh-CN">
                        <a:solidFill>
                          <a:schemeClr val="bg1"/>
                        </a:solidFill>
                      </a:rPr>
                      <a:pPr/>
                      <a:t>[类别名称]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B477F0CB-6DF3-4583-BED8-C4F9EAD8D6BE}" type="VALUE">
                      <a:rPr lang="en-US" altLang="zh-CN" baseline="0">
                        <a:solidFill>
                          <a:schemeClr val="bg1"/>
                        </a:solidFill>
                      </a:rPr>
                      <a:pPr/>
                      <a:t>[值]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8AA-47E0-85F4-D533CB2C0661}"/>
                </c:ext>
              </c:extLst>
            </c:dLbl>
            <c:dLbl>
              <c:idx val="5"/>
              <c:layout>
                <c:manualLayout>
                  <c:x val="-4.2691724081364832E-2"/>
                  <c:y val="7.635261870798171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8AA-47E0-85F4-D533CB2C06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Assumption!$BF$42</c:f>
              <c:numCache>
                <c:formatCode>0%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Assumption!#REF!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Assumption!$BB$42</c15:sqref>
                        </c15:formulaRef>
                      </c:ext>
                    </c:extLst>
                    <c:numCache>
                      <c:formatCode>0%</c:formatCode>
                      <c:ptCount val="1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194-98AA-47E0-85F4-D533CB2C0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261</xdr:row>
      <xdr:rowOff>57149</xdr:rowOff>
    </xdr:from>
    <xdr:to>
      <xdr:col>19</xdr:col>
      <xdr:colOff>600075</xdr:colOff>
      <xdr:row>283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8C5C33-D3ED-4B91-8D49-5722DAE90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</xdr:colOff>
      <xdr:row>284</xdr:row>
      <xdr:rowOff>0</xdr:rowOff>
    </xdr:from>
    <xdr:to>
      <xdr:col>21</xdr:col>
      <xdr:colOff>0</xdr:colOff>
      <xdr:row>302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66895F-8B5E-46ED-825B-80166F12D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0.85078</cdr:x>
      <cdr:y>0.05096</cdr:y>
    </cdr:from>
    <cdr:to>
      <cdr:x>0.98828</cdr:x>
      <cdr:y>0.18291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149090" y="153703"/>
          <a:ext cx="670560" cy="3979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ROIC</a:t>
          </a:r>
        </a:p>
      </cdr:txBody>
    </cdr:sp>
  </cdr:relSizeAnchor>
  <cdr:relSizeAnchor xmlns:cdr="http://schemas.openxmlformats.org/drawingml/2006/chartDrawing">
    <cdr:from>
      <cdr:x>0.85395</cdr:x>
      <cdr:y>0.69414</cdr:y>
    </cdr:from>
    <cdr:to>
      <cdr:x>0.99145</cdr:x>
      <cdr:y>0.82609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164534" y="2093714"/>
          <a:ext cx="670560" cy="3979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WACC</a:t>
          </a:r>
        </a:p>
      </cdr:txBody>
    </cdr:sp>
  </cdr:relSizeAnchor>
  <cdr:relSizeAnchor xmlns:cdr="http://schemas.openxmlformats.org/drawingml/2006/chartDrawing">
    <cdr:from>
      <cdr:x>0.31654</cdr:x>
      <cdr:y>0.23521</cdr:y>
    </cdr:from>
    <cdr:to>
      <cdr:x>0.64272</cdr:x>
      <cdr:y>0.48783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739682" y="849114"/>
          <a:ext cx="1792661" cy="9119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i="1">
              <a:latin typeface="Arial" panose="020B0604020202020204" pitchFamily="34" charset="0"/>
              <a:cs typeface="Arial" panose="020B0604020202020204" pitchFamily="34" charset="0"/>
            </a:rPr>
            <a:t>AI</a:t>
          </a:r>
          <a:r>
            <a:rPr lang="en-US" sz="1050" i="1" baseline="0">
              <a:latin typeface="Arial" panose="020B0604020202020204" pitchFamily="34" charset="0"/>
              <a:cs typeface="Arial" panose="020B0604020202020204" pitchFamily="34" charset="0"/>
            </a:rPr>
            <a:t> drives product mix upgrade, leading to higher profit margins and ROIC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2057399</xdr:colOff>
      <xdr:row>116</xdr:row>
      <xdr:rowOff>114300</xdr:rowOff>
    </xdr:from>
    <xdr:to>
      <xdr:col>75</xdr:col>
      <xdr:colOff>27385</xdr:colOff>
      <xdr:row>127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C003918-6AF4-4BF3-9420-94EF108EACA2}"/>
            </a:ext>
          </a:extLst>
        </xdr:cNvPr>
        <xdr:cNvGrpSpPr/>
      </xdr:nvGrpSpPr>
      <xdr:grpSpPr>
        <a:xfrm>
          <a:off x="39052499" y="17125950"/>
          <a:ext cx="12886136" cy="1604010"/>
          <a:chOff x="18621374" y="2857500"/>
          <a:chExt cx="12828986" cy="3175791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82E50E75-6FE6-7128-1FFF-5FE9EAC66814}"/>
              </a:ext>
            </a:extLst>
          </xdr:cNvPr>
          <xdr:cNvGrpSpPr/>
        </xdr:nvGrpSpPr>
        <xdr:grpSpPr>
          <a:xfrm>
            <a:off x="18621374" y="2857500"/>
            <a:ext cx="12828986" cy="3175791"/>
            <a:chOff x="49957432" y="10258662"/>
            <a:chExt cx="12743261" cy="3081498"/>
          </a:xfrm>
        </xdr:grpSpPr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778055D-F589-A942-78F0-3650EBCC3CFB}"/>
                </a:ext>
              </a:extLst>
            </xdr:cNvPr>
            <xdr:cNvGraphicFramePr>
              <a:graphicFrameLocks/>
            </xdr:cNvGraphicFramePr>
          </xdr:nvGraphicFramePr>
          <xdr:xfrm>
            <a:off x="49957432" y="10323911"/>
            <a:ext cx="4876800" cy="301624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4BB47F6-A408-DE98-9607-D6BC5CBA5E4A}"/>
                </a:ext>
              </a:extLst>
            </xdr:cNvPr>
            <xdr:cNvGraphicFramePr>
              <a:graphicFrameLocks/>
            </xdr:cNvGraphicFramePr>
          </xdr:nvGraphicFramePr>
          <xdr:xfrm>
            <a:off x="54275792" y="10258662"/>
            <a:ext cx="4876800" cy="301624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EB432CD8-3E91-1141-1EB9-84BC03DD1151}"/>
                </a:ext>
              </a:extLst>
            </xdr:cNvPr>
            <xdr:cNvGraphicFramePr>
              <a:graphicFrameLocks/>
            </xdr:cNvGraphicFramePr>
          </xdr:nvGraphicFramePr>
          <xdr:xfrm>
            <a:off x="57823893" y="10277700"/>
            <a:ext cx="4876800" cy="30162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D1725D8-B8F6-5C9D-5963-AB04CB69F7B3}"/>
              </a:ext>
            </a:extLst>
          </xdr:cNvPr>
          <xdr:cNvSpPr txBox="1"/>
        </xdr:nvSpPr>
        <xdr:spPr>
          <a:xfrm>
            <a:off x="20637104" y="2961084"/>
            <a:ext cx="997324" cy="2398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000" b="1">
                <a:latin typeface="Arial" panose="020B0604020202020204" pitchFamily="34" charset="0"/>
                <a:cs typeface="Arial" panose="020B0604020202020204" pitchFamily="34" charset="0"/>
              </a:rPr>
              <a:t>Rev</a:t>
            </a:r>
            <a:r>
              <a:rPr lang="en-US" sz="1000" b="1" baseline="0">
                <a:latin typeface="Arial" panose="020B0604020202020204" pitchFamily="34" charset="0"/>
                <a:cs typeface="Arial" panose="020B0604020202020204" pitchFamily="34" charset="0"/>
              </a:rPr>
              <a:t> mix 2021</a:t>
            </a:r>
            <a:endParaRPr 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E023FF5-E2FD-9253-5F58-7632156E00E8}"/>
              </a:ext>
            </a:extLst>
          </xdr:cNvPr>
          <xdr:cNvSpPr txBox="1"/>
        </xdr:nvSpPr>
        <xdr:spPr>
          <a:xfrm>
            <a:off x="24832867" y="2951559"/>
            <a:ext cx="1082861" cy="2398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000" b="1">
                <a:latin typeface="Arial" panose="020B0604020202020204" pitchFamily="34" charset="0"/>
                <a:cs typeface="Arial" panose="020B0604020202020204" pitchFamily="34" charset="0"/>
              </a:rPr>
              <a:t>Rev</a:t>
            </a:r>
            <a:r>
              <a:rPr lang="en-US" sz="1000" b="1" baseline="0">
                <a:latin typeface="Arial" panose="020B0604020202020204" pitchFamily="34" charset="0"/>
                <a:cs typeface="Arial" panose="020B0604020202020204" pitchFamily="34" charset="0"/>
              </a:rPr>
              <a:t> mix 2022E</a:t>
            </a:r>
            <a:endParaRPr 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9692880-D448-04FF-AA24-BCB52705CD6C}"/>
              </a:ext>
            </a:extLst>
          </xdr:cNvPr>
          <xdr:cNvSpPr txBox="1"/>
        </xdr:nvSpPr>
        <xdr:spPr>
          <a:xfrm>
            <a:off x="28342829" y="2942034"/>
            <a:ext cx="1082861" cy="2398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000" b="1">
                <a:latin typeface="Arial" panose="020B0604020202020204" pitchFamily="34" charset="0"/>
                <a:cs typeface="Arial" panose="020B0604020202020204" pitchFamily="34" charset="0"/>
              </a:rPr>
              <a:t>Rev</a:t>
            </a:r>
            <a:r>
              <a:rPr lang="en-US" sz="1000" b="1" baseline="0">
                <a:latin typeface="Arial" panose="020B0604020202020204" pitchFamily="34" charset="0"/>
                <a:cs typeface="Arial" panose="020B0604020202020204" pitchFamily="34" charset="0"/>
              </a:rPr>
              <a:t> mix 2023E</a:t>
            </a:r>
            <a:endParaRPr lang="en-US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72</xdr:col>
      <xdr:colOff>495300</xdr:colOff>
      <xdr:row>116</xdr:row>
      <xdr:rowOff>152969</xdr:rowOff>
    </xdr:from>
    <xdr:to>
      <xdr:col>80</xdr:col>
      <xdr:colOff>528107</xdr:colOff>
      <xdr:row>128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D9CE3C7-BBE6-46B7-95D7-74F03E64C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0.3712</cdr:x>
      <cdr:y>0.01941</cdr:y>
    </cdr:from>
    <cdr:to>
      <cdr:x>0.59176</cdr:x>
      <cdr:y>0.09655</cdr:y>
    </cdr:to>
    <cdr:sp macro="" textlink="">
      <cdr:nvSpPr>
        <cdr:cNvPr id="2" name="TextBox 14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0F000000}"/>
            </a:ext>
          </a:extLst>
        </cdr:cNvPr>
        <cdr:cNvSpPr txBox="1"/>
      </cdr:nvSpPr>
      <cdr:spPr>
        <a:xfrm xmlns:a="http://schemas.openxmlformats.org/drawingml/2006/main">
          <a:off x="1822450" y="60325"/>
          <a:ext cx="1082861" cy="239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Rev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mix 2024E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60A4-F26A-4EB0-8971-003070A6564D}">
  <sheetPr codeName="Sheet3">
    <pageSetUpPr autoPageBreaks="0"/>
  </sheetPr>
  <dimension ref="A1:DL260"/>
  <sheetViews>
    <sheetView zoomScaleNormal="100" workbookViewId="0">
      <pane xSplit="2" ySplit="5" topLeftCell="K275" activePane="bottomRight" state="frozen"/>
      <selection activeCell="BR40" sqref="BR40:BY40"/>
      <selection pane="topRight" activeCell="BR40" sqref="BR40:BY40"/>
      <selection pane="bottomLeft" activeCell="BR40" sqref="BR40:BY40"/>
      <selection pane="bottomRight" activeCell="X28" sqref="X28"/>
    </sheetView>
  </sheetViews>
  <sheetFormatPr defaultRowHeight="12.3" outlineLevelCol="1" x14ac:dyDescent="0.4"/>
  <cols>
    <col min="1" max="1" width="1.44140625" customWidth="1"/>
    <col min="2" max="2" width="27.5546875" customWidth="1"/>
    <col min="3" max="3" width="13.5546875" hidden="1" customWidth="1" outlineLevel="1"/>
    <col min="4" max="10" width="9.1640625" hidden="1" customWidth="1" outlineLevel="1"/>
    <col min="11" max="11" width="9.1640625" customWidth="1" collapsed="1"/>
    <col min="12" max="12" width="9.1640625" customWidth="1"/>
    <col min="13" max="13" width="9.71875" customWidth="1"/>
    <col min="14" max="15" width="9.1640625" customWidth="1"/>
    <col min="22" max="22" width="6.83203125" customWidth="1"/>
    <col min="23" max="25" width="9.1640625" customWidth="1" outlineLevel="1"/>
    <col min="26" max="26" width="9.1640625" style="152" customWidth="1" outlineLevel="1"/>
    <col min="27" max="29" width="9.1640625" customWidth="1" outlineLevel="1"/>
    <col min="30" max="30" width="9.1640625" style="152" customWidth="1" outlineLevel="1"/>
    <col min="31" max="33" width="9.1640625" customWidth="1" outlineLevel="1"/>
    <col min="34" max="34" width="9.1640625" style="152" customWidth="1" outlineLevel="1"/>
    <col min="35" max="37" width="9.1640625" customWidth="1" outlineLevel="1"/>
    <col min="38" max="38" width="9.1640625" style="152" customWidth="1" outlineLevel="1"/>
    <col min="39" max="41" width="9.1640625" customWidth="1" outlineLevel="1"/>
    <col min="42" max="42" width="9.1640625" style="152" customWidth="1" outlineLevel="1"/>
    <col min="43" max="45" width="9.1640625" customWidth="1"/>
    <col min="46" max="46" width="9.27734375" style="152" customWidth="1"/>
    <col min="47" max="49" width="8.5546875" customWidth="1"/>
    <col min="50" max="50" width="8.5546875" style="152" customWidth="1"/>
    <col min="51" max="53" width="8.5546875" customWidth="1"/>
    <col min="54" max="54" width="8.5546875" style="152" customWidth="1"/>
    <col min="55" max="57" width="8.5546875" customWidth="1"/>
    <col min="58" max="58" width="8.5546875" style="152" customWidth="1"/>
    <col min="59" max="61" width="8.5546875" customWidth="1" outlineLevel="1"/>
    <col min="62" max="62" width="8.5546875" style="152" customWidth="1" outlineLevel="1"/>
    <col min="63" max="65" width="8.5546875" customWidth="1" outlineLevel="1"/>
    <col min="66" max="66" width="8.5546875" style="152" customWidth="1" outlineLevel="1"/>
    <col min="67" max="69" width="8.5546875" customWidth="1" outlineLevel="1"/>
    <col min="70" max="70" width="8.5546875" style="152" customWidth="1" outlineLevel="1"/>
    <col min="71" max="78" width="8.5546875" customWidth="1" outlineLevel="1"/>
    <col min="79" max="79" width="9.1640625" customWidth="1" outlineLevel="1"/>
    <col min="80" max="80" width="10.83203125" customWidth="1"/>
  </cols>
  <sheetData>
    <row r="1" spans="1:115" x14ac:dyDescent="0.4">
      <c r="A1" s="1"/>
      <c r="B1" s="1"/>
      <c r="C1" s="2"/>
      <c r="D1" s="2"/>
      <c r="E1" s="2"/>
      <c r="F1" s="2"/>
      <c r="G1" s="2"/>
      <c r="H1" s="2"/>
      <c r="I1" s="2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W1" s="4"/>
      <c r="X1" s="4"/>
      <c r="Y1" s="4"/>
      <c r="Z1" s="6"/>
      <c r="AA1" s="4"/>
      <c r="AB1" s="4"/>
      <c r="AC1" s="4"/>
      <c r="AD1" s="6"/>
      <c r="AE1" s="4"/>
      <c r="AF1" s="4"/>
      <c r="AG1" s="4"/>
      <c r="AH1" s="6"/>
      <c r="AI1" s="4"/>
      <c r="AJ1" s="4"/>
      <c r="AK1" s="4"/>
      <c r="AL1" s="6"/>
      <c r="AM1" s="4"/>
      <c r="AN1" s="4"/>
      <c r="AO1" s="4"/>
      <c r="AP1" s="7"/>
      <c r="AQ1" s="8"/>
      <c r="AR1" s="8"/>
      <c r="AS1" s="8"/>
      <c r="AT1" s="7"/>
      <c r="AU1" s="8"/>
      <c r="AV1" s="8"/>
      <c r="AW1" s="8"/>
      <c r="AX1" s="7"/>
      <c r="AY1" s="8"/>
      <c r="AZ1" s="8"/>
      <c r="BA1" s="8"/>
      <c r="BB1" s="7"/>
      <c r="BC1" s="8"/>
      <c r="BD1" s="8"/>
      <c r="BE1" s="8"/>
      <c r="BF1" s="7"/>
      <c r="BG1" s="8"/>
      <c r="BH1" s="8"/>
      <c r="BI1" s="8"/>
      <c r="BJ1" s="7"/>
      <c r="BK1" s="8"/>
      <c r="BL1" s="8"/>
      <c r="BM1" s="8"/>
      <c r="BN1" s="7"/>
      <c r="BO1" s="8"/>
      <c r="BP1" s="8"/>
      <c r="BQ1" s="8"/>
      <c r="BR1" s="7"/>
      <c r="BS1" s="8"/>
      <c r="BT1" s="8"/>
      <c r="BU1" s="8"/>
      <c r="BV1" s="8"/>
      <c r="BW1" s="8"/>
      <c r="BX1" s="8"/>
      <c r="BY1" s="8"/>
      <c r="BZ1" s="8"/>
      <c r="CA1" s="8"/>
      <c r="CB1" s="8"/>
    </row>
    <row r="2" spans="1:115" ht="15.6" x14ac:dyDescent="0.4">
      <c r="A2" s="9" t="s">
        <v>0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0"/>
      <c r="X2" s="10"/>
      <c r="Y2" s="10"/>
      <c r="Z2" s="12"/>
      <c r="AA2" s="10"/>
      <c r="AB2" s="10"/>
      <c r="AC2" s="10"/>
      <c r="AD2" s="12"/>
      <c r="AE2" s="10"/>
      <c r="AF2" s="10"/>
      <c r="AG2" s="10"/>
      <c r="AH2" s="12"/>
      <c r="AI2" s="10"/>
      <c r="AJ2" s="10"/>
      <c r="AK2" s="10"/>
      <c r="AL2" s="12"/>
      <c r="AM2" s="10"/>
      <c r="AN2" s="10"/>
      <c r="AO2" s="10"/>
      <c r="AP2" s="13"/>
      <c r="AQ2" s="14"/>
      <c r="AR2" s="14"/>
      <c r="AS2" s="14"/>
      <c r="AT2" s="13"/>
      <c r="AU2" s="14"/>
      <c r="AV2" s="14"/>
      <c r="AW2" s="14"/>
      <c r="AX2" s="13"/>
      <c r="AY2" s="14"/>
      <c r="AZ2" s="14"/>
      <c r="BA2" s="14"/>
      <c r="BB2" s="13"/>
      <c r="BC2" s="14"/>
      <c r="BD2" s="14"/>
      <c r="BE2" s="14"/>
      <c r="BF2" s="13"/>
      <c r="BG2" s="14"/>
      <c r="BH2" s="14"/>
      <c r="BI2" s="14"/>
      <c r="BJ2" s="13"/>
      <c r="BK2" s="14"/>
      <c r="BL2" s="14"/>
      <c r="BM2" s="14"/>
      <c r="BN2" s="13"/>
      <c r="BO2" s="14"/>
      <c r="BP2" s="14"/>
      <c r="BQ2" s="14"/>
      <c r="BR2" s="13"/>
      <c r="BS2" s="14"/>
      <c r="BT2" s="14"/>
      <c r="BU2" s="14"/>
      <c r="BV2" s="13"/>
      <c r="BW2" s="14"/>
      <c r="BX2" s="14"/>
      <c r="BY2" s="14"/>
      <c r="BZ2" s="13"/>
      <c r="CA2" s="11"/>
      <c r="CB2" s="11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</row>
    <row r="3" spans="1:115" s="18" customFormat="1" x14ac:dyDescent="0.4">
      <c r="A3" s="15" t="s">
        <v>1</v>
      </c>
      <c r="B3" s="15"/>
      <c r="C3" s="10"/>
      <c r="D3" s="10"/>
      <c r="E3" s="10"/>
      <c r="F3" s="10"/>
      <c r="G3" s="10"/>
      <c r="H3" s="10"/>
      <c r="I3" s="10"/>
      <c r="J3" s="10"/>
      <c r="K3" s="10"/>
      <c r="L3" s="16"/>
      <c r="M3" s="16"/>
      <c r="N3" s="16"/>
      <c r="O3" s="16"/>
      <c r="P3" s="16"/>
      <c r="Q3" s="16"/>
      <c r="R3" s="16"/>
      <c r="S3" s="16"/>
      <c r="T3" s="16"/>
      <c r="U3" s="16"/>
      <c r="V3" s="11"/>
      <c r="W3" s="10">
        <v>2014</v>
      </c>
      <c r="X3" s="10">
        <v>2014</v>
      </c>
      <c r="Y3" s="10">
        <v>2014</v>
      </c>
      <c r="Z3" s="12">
        <v>2014</v>
      </c>
      <c r="AA3" s="10">
        <f>W3+1</f>
        <v>2015</v>
      </c>
      <c r="AB3" s="10">
        <f t="shared" ref="AB3:BZ3" si="0">X3+1</f>
        <v>2015</v>
      </c>
      <c r="AC3" s="10">
        <f t="shared" si="0"/>
        <v>2015</v>
      </c>
      <c r="AD3" s="12">
        <f t="shared" si="0"/>
        <v>2015</v>
      </c>
      <c r="AE3" s="10">
        <f t="shared" si="0"/>
        <v>2016</v>
      </c>
      <c r="AF3" s="10">
        <f t="shared" si="0"/>
        <v>2016</v>
      </c>
      <c r="AG3" s="10">
        <f t="shared" si="0"/>
        <v>2016</v>
      </c>
      <c r="AH3" s="12">
        <f t="shared" si="0"/>
        <v>2016</v>
      </c>
      <c r="AI3" s="10">
        <f t="shared" si="0"/>
        <v>2017</v>
      </c>
      <c r="AJ3" s="10">
        <f t="shared" si="0"/>
        <v>2017</v>
      </c>
      <c r="AK3" s="10">
        <f t="shared" si="0"/>
        <v>2017</v>
      </c>
      <c r="AL3" s="12">
        <f t="shared" si="0"/>
        <v>2017</v>
      </c>
      <c r="AM3" s="10">
        <f t="shared" si="0"/>
        <v>2018</v>
      </c>
      <c r="AN3" s="10">
        <f t="shared" si="0"/>
        <v>2018</v>
      </c>
      <c r="AO3" s="10">
        <f t="shared" si="0"/>
        <v>2018</v>
      </c>
      <c r="AP3" s="12">
        <f t="shared" si="0"/>
        <v>2018</v>
      </c>
      <c r="AQ3" s="10">
        <f t="shared" si="0"/>
        <v>2019</v>
      </c>
      <c r="AR3" s="10">
        <f t="shared" si="0"/>
        <v>2019</v>
      </c>
      <c r="AS3" s="10">
        <f t="shared" si="0"/>
        <v>2019</v>
      </c>
      <c r="AT3" s="12">
        <f t="shared" si="0"/>
        <v>2019</v>
      </c>
      <c r="AU3" s="10">
        <f t="shared" si="0"/>
        <v>2020</v>
      </c>
      <c r="AV3" s="10">
        <f t="shared" si="0"/>
        <v>2020</v>
      </c>
      <c r="AW3" s="10">
        <f t="shared" si="0"/>
        <v>2020</v>
      </c>
      <c r="AX3" s="12">
        <f t="shared" si="0"/>
        <v>2020</v>
      </c>
      <c r="AY3" s="10">
        <f t="shared" si="0"/>
        <v>2021</v>
      </c>
      <c r="AZ3" s="10">
        <f t="shared" si="0"/>
        <v>2021</v>
      </c>
      <c r="BA3" s="10">
        <f t="shared" si="0"/>
        <v>2021</v>
      </c>
      <c r="BB3" s="12">
        <f t="shared" si="0"/>
        <v>2021</v>
      </c>
      <c r="BC3" s="10">
        <f t="shared" si="0"/>
        <v>2022</v>
      </c>
      <c r="BD3" s="10">
        <f t="shared" si="0"/>
        <v>2022</v>
      </c>
      <c r="BE3" s="10">
        <f t="shared" si="0"/>
        <v>2022</v>
      </c>
      <c r="BF3" s="12">
        <f t="shared" si="0"/>
        <v>2022</v>
      </c>
      <c r="BG3" s="10">
        <f t="shared" si="0"/>
        <v>2023</v>
      </c>
      <c r="BH3" s="10">
        <f t="shared" si="0"/>
        <v>2023</v>
      </c>
      <c r="BI3" s="10">
        <f t="shared" si="0"/>
        <v>2023</v>
      </c>
      <c r="BJ3" s="12">
        <f t="shared" si="0"/>
        <v>2023</v>
      </c>
      <c r="BK3" s="10">
        <f t="shared" si="0"/>
        <v>2024</v>
      </c>
      <c r="BL3" s="10">
        <f t="shared" si="0"/>
        <v>2024</v>
      </c>
      <c r="BM3" s="10">
        <f t="shared" si="0"/>
        <v>2024</v>
      </c>
      <c r="BN3" s="12">
        <f t="shared" si="0"/>
        <v>2024</v>
      </c>
      <c r="BO3" s="10">
        <f t="shared" si="0"/>
        <v>2025</v>
      </c>
      <c r="BP3" s="10">
        <f t="shared" si="0"/>
        <v>2025</v>
      </c>
      <c r="BQ3" s="10">
        <f t="shared" si="0"/>
        <v>2025</v>
      </c>
      <c r="BR3" s="12">
        <f t="shared" si="0"/>
        <v>2025</v>
      </c>
      <c r="BS3" s="10">
        <f t="shared" si="0"/>
        <v>2026</v>
      </c>
      <c r="BT3" s="10">
        <f t="shared" si="0"/>
        <v>2026</v>
      </c>
      <c r="BU3" s="10">
        <f t="shared" si="0"/>
        <v>2026</v>
      </c>
      <c r="BV3" s="12">
        <f t="shared" si="0"/>
        <v>2026</v>
      </c>
      <c r="BW3" s="10">
        <f t="shared" si="0"/>
        <v>2027</v>
      </c>
      <c r="BX3" s="10">
        <f t="shared" si="0"/>
        <v>2027</v>
      </c>
      <c r="BY3" s="10">
        <f t="shared" si="0"/>
        <v>2027</v>
      </c>
      <c r="BZ3" s="12">
        <f t="shared" si="0"/>
        <v>2027</v>
      </c>
      <c r="CA3" s="17"/>
      <c r="CB3" s="17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</row>
    <row r="4" spans="1:115" x14ac:dyDescent="0.4">
      <c r="A4" s="15"/>
      <c r="B4" s="15"/>
      <c r="C4" s="19">
        <v>2009</v>
      </c>
      <c r="D4" s="19">
        <v>2010</v>
      </c>
      <c r="E4" s="19">
        <v>2011</v>
      </c>
      <c r="F4" s="19">
        <v>2012</v>
      </c>
      <c r="G4" s="19">
        <v>2013</v>
      </c>
      <c r="H4" s="19">
        <v>2014</v>
      </c>
      <c r="I4" s="19">
        <v>2015</v>
      </c>
      <c r="J4" s="19">
        <v>2016</v>
      </c>
      <c r="K4" s="19">
        <v>2017</v>
      </c>
      <c r="L4" s="19">
        <f t="shared" ref="L4:U4" si="1">K4+1</f>
        <v>2018</v>
      </c>
      <c r="M4" s="19">
        <f t="shared" si="1"/>
        <v>2019</v>
      </c>
      <c r="N4" s="19">
        <f t="shared" si="1"/>
        <v>2020</v>
      </c>
      <c r="O4" s="19">
        <f t="shared" si="1"/>
        <v>2021</v>
      </c>
      <c r="P4" s="19">
        <f t="shared" si="1"/>
        <v>2022</v>
      </c>
      <c r="Q4" s="19">
        <f t="shared" si="1"/>
        <v>2023</v>
      </c>
      <c r="R4" s="19">
        <f t="shared" si="1"/>
        <v>2024</v>
      </c>
      <c r="S4" s="20">
        <f t="shared" si="1"/>
        <v>2025</v>
      </c>
      <c r="T4" s="20">
        <f t="shared" si="1"/>
        <v>2026</v>
      </c>
      <c r="U4" s="20">
        <f t="shared" si="1"/>
        <v>2027</v>
      </c>
      <c r="V4" s="21"/>
      <c r="W4" s="19" t="s">
        <v>2</v>
      </c>
      <c r="X4" s="19" t="s">
        <v>3</v>
      </c>
      <c r="Y4" s="19" t="s">
        <v>4</v>
      </c>
      <c r="Z4" s="22" t="s">
        <v>5</v>
      </c>
      <c r="AA4" s="19" t="s">
        <v>6</v>
      </c>
      <c r="AB4" s="19" t="s">
        <v>7</v>
      </c>
      <c r="AC4" s="19" t="s">
        <v>8</v>
      </c>
      <c r="AD4" s="22" t="s">
        <v>9</v>
      </c>
      <c r="AE4" s="19" t="s">
        <v>10</v>
      </c>
      <c r="AF4" s="19" t="s">
        <v>11</v>
      </c>
      <c r="AG4" s="19" t="s">
        <v>12</v>
      </c>
      <c r="AH4" s="22" t="s">
        <v>13</v>
      </c>
      <c r="AI4" s="19" t="s">
        <v>14</v>
      </c>
      <c r="AJ4" s="19" t="s">
        <v>15</v>
      </c>
      <c r="AK4" s="19" t="s">
        <v>16</v>
      </c>
      <c r="AL4" s="22" t="s">
        <v>17</v>
      </c>
      <c r="AM4" s="19" t="s">
        <v>18</v>
      </c>
      <c r="AN4" s="19" t="s">
        <v>19</v>
      </c>
      <c r="AO4" s="19" t="s">
        <v>20</v>
      </c>
      <c r="AP4" s="22" t="s">
        <v>21</v>
      </c>
      <c r="AQ4" s="19" t="s">
        <v>22</v>
      </c>
      <c r="AR4" s="19" t="s">
        <v>23</v>
      </c>
      <c r="AS4" s="19" t="s">
        <v>24</v>
      </c>
      <c r="AT4" s="22" t="s">
        <v>25</v>
      </c>
      <c r="AU4" s="19" t="s">
        <v>26</v>
      </c>
      <c r="AV4" s="23" t="s">
        <v>27</v>
      </c>
      <c r="AW4" s="23" t="s">
        <v>28</v>
      </c>
      <c r="AX4" s="24" t="s">
        <v>29</v>
      </c>
      <c r="AY4" s="23" t="s">
        <v>30</v>
      </c>
      <c r="AZ4" s="23" t="s">
        <v>31</v>
      </c>
      <c r="BA4" s="23" t="s">
        <v>32</v>
      </c>
      <c r="BB4" s="24" t="s">
        <v>33</v>
      </c>
      <c r="BC4" s="23" t="s">
        <v>34</v>
      </c>
      <c r="BD4" s="23" t="s">
        <v>35</v>
      </c>
      <c r="BE4" s="23" t="s">
        <v>36</v>
      </c>
      <c r="BF4" s="24" t="s">
        <v>37</v>
      </c>
      <c r="BG4" s="23" t="s">
        <v>38</v>
      </c>
      <c r="BH4" s="23" t="s">
        <v>39</v>
      </c>
      <c r="BI4" s="23" t="s">
        <v>40</v>
      </c>
      <c r="BJ4" s="24" t="s">
        <v>41</v>
      </c>
      <c r="BK4" s="23" t="s">
        <v>42</v>
      </c>
      <c r="BL4" s="23" t="s">
        <v>43</v>
      </c>
      <c r="BM4" s="23" t="s">
        <v>44</v>
      </c>
      <c r="BN4" s="22" t="s">
        <v>45</v>
      </c>
      <c r="BO4" s="19" t="s">
        <v>46</v>
      </c>
      <c r="BP4" s="25" t="s">
        <v>47</v>
      </c>
      <c r="BQ4" s="25" t="s">
        <v>48</v>
      </c>
      <c r="BR4" s="26" t="s">
        <v>49</v>
      </c>
      <c r="BS4" s="25" t="s">
        <v>50</v>
      </c>
      <c r="BT4" s="25" t="s">
        <v>51</v>
      </c>
      <c r="BU4" s="25" t="s">
        <v>52</v>
      </c>
      <c r="BV4" s="26" t="s">
        <v>53</v>
      </c>
      <c r="BW4" s="25" t="s">
        <v>54</v>
      </c>
      <c r="BX4" s="25" t="s">
        <v>55</v>
      </c>
      <c r="BY4" s="25" t="s">
        <v>56</v>
      </c>
      <c r="BZ4" s="26" t="s">
        <v>57</v>
      </c>
      <c r="CA4" s="27"/>
      <c r="CB4" s="27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</row>
    <row r="5" spans="1:115" x14ac:dyDescent="0.4">
      <c r="A5" s="29"/>
      <c r="B5" s="15" t="s">
        <v>58</v>
      </c>
      <c r="C5" s="23">
        <f t="shared" ref="C5:U5" si="2">C4</f>
        <v>2009</v>
      </c>
      <c r="D5" s="23">
        <f t="shared" si="2"/>
        <v>2010</v>
      </c>
      <c r="E5" s="23">
        <f t="shared" si="2"/>
        <v>2011</v>
      </c>
      <c r="F5" s="23">
        <f t="shared" si="2"/>
        <v>2012</v>
      </c>
      <c r="G5" s="23">
        <f t="shared" si="2"/>
        <v>2013</v>
      </c>
      <c r="H5" s="23">
        <f t="shared" si="2"/>
        <v>2014</v>
      </c>
      <c r="I5" s="23">
        <f t="shared" si="2"/>
        <v>2015</v>
      </c>
      <c r="J5" s="23">
        <f t="shared" si="2"/>
        <v>2016</v>
      </c>
      <c r="K5" s="23">
        <f t="shared" si="2"/>
        <v>2017</v>
      </c>
      <c r="L5" s="23">
        <f t="shared" si="2"/>
        <v>2018</v>
      </c>
      <c r="M5" s="23">
        <f t="shared" si="2"/>
        <v>2019</v>
      </c>
      <c r="N5" s="23">
        <f t="shared" si="2"/>
        <v>2020</v>
      </c>
      <c r="O5" s="23">
        <f t="shared" si="2"/>
        <v>2021</v>
      </c>
      <c r="P5" s="23">
        <f t="shared" si="2"/>
        <v>2022</v>
      </c>
      <c r="Q5" s="23">
        <f t="shared" si="2"/>
        <v>2023</v>
      </c>
      <c r="R5" s="19">
        <f t="shared" si="2"/>
        <v>2024</v>
      </c>
      <c r="S5" s="20">
        <f t="shared" si="2"/>
        <v>2025</v>
      </c>
      <c r="T5" s="20">
        <f t="shared" si="2"/>
        <v>2026</v>
      </c>
      <c r="U5" s="20">
        <f t="shared" si="2"/>
        <v>2027</v>
      </c>
      <c r="V5" s="11"/>
      <c r="W5" s="23" t="str">
        <f t="shared" ref="W5:BZ5" si="3">W4</f>
        <v>1Q14</v>
      </c>
      <c r="X5" s="23" t="str">
        <f t="shared" si="3"/>
        <v>2Q14</v>
      </c>
      <c r="Y5" s="23" t="str">
        <f t="shared" si="3"/>
        <v>3Q14</v>
      </c>
      <c r="Z5" s="24" t="str">
        <f t="shared" si="3"/>
        <v>4Q14</v>
      </c>
      <c r="AA5" s="23" t="str">
        <f t="shared" si="3"/>
        <v>1Q15</v>
      </c>
      <c r="AB5" s="23" t="str">
        <f t="shared" si="3"/>
        <v>2Q15</v>
      </c>
      <c r="AC5" s="23" t="str">
        <f t="shared" si="3"/>
        <v>3Q15</v>
      </c>
      <c r="AD5" s="24" t="str">
        <f t="shared" si="3"/>
        <v>4Q15</v>
      </c>
      <c r="AE5" s="23" t="str">
        <f t="shared" si="3"/>
        <v>1Q16</v>
      </c>
      <c r="AF5" s="23" t="str">
        <f t="shared" si="3"/>
        <v>2Q16</v>
      </c>
      <c r="AG5" s="23" t="str">
        <f t="shared" si="3"/>
        <v>3Q16</v>
      </c>
      <c r="AH5" s="24" t="str">
        <f t="shared" si="3"/>
        <v>4Q16</v>
      </c>
      <c r="AI5" s="23" t="str">
        <f t="shared" si="3"/>
        <v>1Q17</v>
      </c>
      <c r="AJ5" s="23" t="str">
        <f t="shared" si="3"/>
        <v>2Q17</v>
      </c>
      <c r="AK5" s="23" t="str">
        <f t="shared" si="3"/>
        <v>3Q17</v>
      </c>
      <c r="AL5" s="24" t="str">
        <f t="shared" si="3"/>
        <v>4Q17</v>
      </c>
      <c r="AM5" s="23" t="str">
        <f t="shared" si="3"/>
        <v>1Q18</v>
      </c>
      <c r="AN5" s="23" t="str">
        <f t="shared" si="3"/>
        <v>2Q18</v>
      </c>
      <c r="AO5" s="23" t="str">
        <f t="shared" si="3"/>
        <v>3Q18</v>
      </c>
      <c r="AP5" s="24" t="str">
        <f t="shared" si="3"/>
        <v>4Q18</v>
      </c>
      <c r="AQ5" s="23" t="str">
        <f t="shared" si="3"/>
        <v>1Q19</v>
      </c>
      <c r="AR5" s="23" t="str">
        <f t="shared" si="3"/>
        <v>2Q19</v>
      </c>
      <c r="AS5" s="23" t="str">
        <f t="shared" si="3"/>
        <v>3Q19</v>
      </c>
      <c r="AT5" s="24" t="str">
        <f t="shared" si="3"/>
        <v>4Q19</v>
      </c>
      <c r="AU5" s="23" t="str">
        <f t="shared" si="3"/>
        <v>1Q20</v>
      </c>
      <c r="AV5" s="23" t="str">
        <f t="shared" si="3"/>
        <v>2Q20</v>
      </c>
      <c r="AW5" s="23" t="str">
        <f t="shared" si="3"/>
        <v>3Q20</v>
      </c>
      <c r="AX5" s="24" t="str">
        <f t="shared" si="3"/>
        <v>4Q20</v>
      </c>
      <c r="AY5" s="23" t="str">
        <f t="shared" si="3"/>
        <v>1Q21</v>
      </c>
      <c r="AZ5" s="23" t="str">
        <f t="shared" si="3"/>
        <v>2Q21</v>
      </c>
      <c r="BA5" s="23" t="str">
        <f>BA4</f>
        <v>3Q21</v>
      </c>
      <c r="BB5" s="24" t="str">
        <f t="shared" si="3"/>
        <v>4Q21</v>
      </c>
      <c r="BC5" s="23" t="str">
        <f t="shared" si="3"/>
        <v>1Q22</v>
      </c>
      <c r="BD5" s="23" t="str">
        <f t="shared" si="3"/>
        <v>2Q22</v>
      </c>
      <c r="BE5" s="23" t="str">
        <f t="shared" si="3"/>
        <v>3Q22</v>
      </c>
      <c r="BF5" s="24" t="str">
        <f t="shared" si="3"/>
        <v>4Q22</v>
      </c>
      <c r="BG5" s="23" t="str">
        <f t="shared" si="3"/>
        <v>1Q23</v>
      </c>
      <c r="BH5" s="23" t="str">
        <f t="shared" si="3"/>
        <v>2Q23</v>
      </c>
      <c r="BI5" s="23" t="str">
        <f t="shared" si="3"/>
        <v>3Q23</v>
      </c>
      <c r="BJ5" s="24" t="str">
        <f t="shared" si="3"/>
        <v>4Q23</v>
      </c>
      <c r="BK5" s="23" t="str">
        <f t="shared" si="3"/>
        <v>1Q24</v>
      </c>
      <c r="BL5" s="23" t="str">
        <f t="shared" si="3"/>
        <v>2Q24</v>
      </c>
      <c r="BM5" s="23" t="str">
        <f t="shared" si="3"/>
        <v>3Q24</v>
      </c>
      <c r="BN5" s="22" t="str">
        <f t="shared" si="3"/>
        <v>4Q24</v>
      </c>
      <c r="BO5" s="19" t="str">
        <f t="shared" si="3"/>
        <v>1Q25</v>
      </c>
      <c r="BP5" s="25" t="str">
        <f t="shared" si="3"/>
        <v>2Q25</v>
      </c>
      <c r="BQ5" s="25" t="str">
        <f t="shared" si="3"/>
        <v>3Q25</v>
      </c>
      <c r="BR5" s="26" t="str">
        <f t="shared" si="3"/>
        <v>4Q25</v>
      </c>
      <c r="BS5" s="25" t="str">
        <f t="shared" si="3"/>
        <v>1Q26</v>
      </c>
      <c r="BT5" s="25" t="str">
        <f t="shared" si="3"/>
        <v>2Q26</v>
      </c>
      <c r="BU5" s="25" t="str">
        <f t="shared" si="3"/>
        <v>3Q26</v>
      </c>
      <c r="BV5" s="26" t="str">
        <f t="shared" si="3"/>
        <v>4Q26</v>
      </c>
      <c r="BW5" s="25" t="str">
        <f t="shared" si="3"/>
        <v>1Q27</v>
      </c>
      <c r="BX5" s="25" t="str">
        <f t="shared" si="3"/>
        <v>2Q27</v>
      </c>
      <c r="BY5" s="25" t="str">
        <f t="shared" si="3"/>
        <v>3Q27</v>
      </c>
      <c r="BZ5" s="26" t="str">
        <f t="shared" si="3"/>
        <v>4Q27</v>
      </c>
      <c r="CA5" s="27"/>
      <c r="CB5" s="27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</row>
    <row r="6" spans="1:115" x14ac:dyDescent="0.4">
      <c r="A6" s="29"/>
      <c r="B6" s="30"/>
      <c r="C6" s="31"/>
      <c r="D6" s="31"/>
      <c r="E6" s="31"/>
      <c r="F6" s="31"/>
      <c r="G6" s="31"/>
      <c r="H6" s="32"/>
      <c r="I6" s="32"/>
      <c r="J6" s="32"/>
      <c r="K6" s="32"/>
      <c r="L6" s="33"/>
      <c r="M6" s="33"/>
      <c r="N6" s="31"/>
      <c r="O6" s="31"/>
      <c r="P6" s="31"/>
      <c r="Q6" s="31"/>
      <c r="R6" s="31"/>
      <c r="S6" s="31"/>
      <c r="T6" s="31"/>
      <c r="U6" s="31"/>
      <c r="V6" s="34"/>
      <c r="W6" s="32"/>
      <c r="X6" s="32"/>
      <c r="Y6" s="32"/>
      <c r="Z6" s="35"/>
      <c r="AA6" s="32"/>
      <c r="AB6" s="32"/>
      <c r="AC6" s="32"/>
      <c r="AD6" s="35"/>
      <c r="AE6" s="32"/>
      <c r="AF6" s="32"/>
      <c r="AG6" s="32"/>
      <c r="AH6" s="35"/>
      <c r="AI6" s="32"/>
      <c r="AJ6" s="32"/>
      <c r="AK6" s="32"/>
      <c r="AL6" s="35"/>
      <c r="AM6" s="32"/>
      <c r="AN6" s="32"/>
      <c r="AO6" s="32"/>
      <c r="AP6" s="36"/>
      <c r="AQ6" s="37"/>
      <c r="AR6" s="38"/>
      <c r="AS6" s="37"/>
      <c r="AT6" s="36"/>
      <c r="AU6" s="37"/>
      <c r="AV6" s="37"/>
      <c r="AW6" s="37"/>
      <c r="AX6" s="36"/>
      <c r="AY6" s="37"/>
      <c r="AZ6" s="37"/>
      <c r="BA6" s="37"/>
      <c r="BB6" s="36"/>
      <c r="BC6" s="37"/>
      <c r="BD6" s="37"/>
      <c r="BE6" s="37"/>
      <c r="BF6" s="36"/>
      <c r="BG6" s="37"/>
      <c r="BH6" s="37"/>
      <c r="BI6" s="37"/>
      <c r="BJ6" s="36"/>
      <c r="BK6" s="37"/>
      <c r="BL6" s="39"/>
      <c r="BM6" s="37"/>
      <c r="BN6" s="36"/>
      <c r="BO6" s="37"/>
      <c r="BP6" s="37"/>
      <c r="BQ6" s="37"/>
      <c r="BR6" s="36"/>
      <c r="BS6" s="37"/>
      <c r="BT6" s="37"/>
      <c r="BU6" s="37"/>
      <c r="BV6" s="36"/>
      <c r="BW6" s="37"/>
      <c r="BX6" s="37"/>
      <c r="BY6" s="37"/>
      <c r="BZ6" s="36"/>
      <c r="CA6" s="37"/>
      <c r="CB6" s="37"/>
      <c r="CV6" s="40"/>
      <c r="CZ6" s="40"/>
      <c r="DD6" s="40"/>
      <c r="DH6" s="40"/>
    </row>
    <row r="7" spans="1:115" x14ac:dyDescent="0.4">
      <c r="A7" s="41"/>
      <c r="B7" s="42" t="s">
        <v>59</v>
      </c>
      <c r="C7" s="42">
        <v>90.37371804</v>
      </c>
      <c r="D7" s="42">
        <v>123.54712531</v>
      </c>
      <c r="E7" s="42">
        <v>162.07917421000002</v>
      </c>
      <c r="F7" s="42">
        <v>116.65962784999999</v>
      </c>
      <c r="G7" s="42">
        <v>90.526150400000006</v>
      </c>
      <c r="H7" s="42">
        <v>118.74620693000001</v>
      </c>
      <c r="I7" s="42">
        <v>121.4099374</v>
      </c>
      <c r="J7" s="42">
        <v>131.62038490999998</v>
      </c>
      <c r="K7" s="42">
        <v>2357.08347026</v>
      </c>
      <c r="L7" s="42">
        <v>5156.3142398999998</v>
      </c>
      <c r="M7" s="42">
        <v>4757.6770233500001</v>
      </c>
      <c r="N7" s="42">
        <v>7049.5901254399996</v>
      </c>
      <c r="O7" s="42">
        <v>7695.4048056899992</v>
      </c>
      <c r="P7" s="42">
        <f t="shared" ref="P7:S8" si="4">SUMIF($W$3:$BR$3,P$4,$W7:$BR7)</f>
        <v>9641.79476608</v>
      </c>
      <c r="Q7" s="42">
        <f t="shared" si="4"/>
        <v>10717.98447103</v>
      </c>
      <c r="R7" s="42">
        <f t="shared" si="4"/>
        <v>23862.159738369999</v>
      </c>
      <c r="S7" s="42">
        <f t="shared" si="4"/>
        <v>35041.956627810621</v>
      </c>
      <c r="T7" s="42">
        <f>SUMIF($W$3:$BZ$3,T$4,$W7:$BZ7)</f>
        <v>50582.612139231722</v>
      </c>
      <c r="U7" s="42">
        <f>SUMIF($W$3:$BZ$3,U$4,$W7:$BZ7)</f>
        <v>61409.384106570222</v>
      </c>
      <c r="V7" s="43"/>
      <c r="W7" s="42">
        <v>38.360695849999999</v>
      </c>
      <c r="X7" s="42">
        <v>19.824628300000001</v>
      </c>
      <c r="Y7" s="42">
        <v>21.88656636</v>
      </c>
      <c r="Z7" s="44">
        <v>38.674316420000004</v>
      </c>
      <c r="AA7" s="42">
        <v>19.188020429999998</v>
      </c>
      <c r="AB7" s="42">
        <v>23.88869004</v>
      </c>
      <c r="AC7" s="42">
        <v>26.209578059999998</v>
      </c>
      <c r="AD7" s="44">
        <v>52.123648869999997</v>
      </c>
      <c r="AE7" s="42">
        <v>10.325244470000001</v>
      </c>
      <c r="AF7" s="42">
        <v>46.362725399999995</v>
      </c>
      <c r="AG7" s="42">
        <v>25.951711170000003</v>
      </c>
      <c r="AH7" s="44">
        <v>48.980703869999999</v>
      </c>
      <c r="AI7" s="42">
        <v>14.56457612</v>
      </c>
      <c r="AJ7" s="42">
        <v>56.023104240000002</v>
      </c>
      <c r="AK7" s="42">
        <v>1068.8855258599999</v>
      </c>
      <c r="AL7" s="44">
        <v>1217.6102640399999</v>
      </c>
      <c r="AM7" s="42">
        <v>1398.5981857500001</v>
      </c>
      <c r="AN7" s="42">
        <v>1426.9622579300001</v>
      </c>
      <c r="AO7" s="42">
        <v>1377.26064735</v>
      </c>
      <c r="AP7" s="44">
        <v>953.49314887000003</v>
      </c>
      <c r="AQ7" s="42">
        <v>875.64683685</v>
      </c>
      <c r="AR7" s="42">
        <v>1159.55584411</v>
      </c>
      <c r="AS7" s="42">
        <v>1248.7111097699999</v>
      </c>
      <c r="AT7" s="44">
        <v>1473.7632326199998</v>
      </c>
      <c r="AU7" s="42">
        <v>1326.09040082</v>
      </c>
      <c r="AV7" s="42">
        <v>1918.58557021</v>
      </c>
      <c r="AW7" s="42">
        <v>1960.1096252</v>
      </c>
      <c r="AX7" s="44">
        <v>1844.8045292100001</v>
      </c>
      <c r="AY7" s="42">
        <v>1471.75842302</v>
      </c>
      <c r="AZ7" s="42">
        <v>1826.0939685799999</v>
      </c>
      <c r="BA7" s="42">
        <v>2024.2344343299999</v>
      </c>
      <c r="BB7" s="44">
        <v>2373.3179797600001</v>
      </c>
      <c r="BC7" s="42">
        <v>2088.6226499899999</v>
      </c>
      <c r="BD7" s="42">
        <v>2142.4211805099999</v>
      </c>
      <c r="BE7" s="42">
        <v>2633.94441366</v>
      </c>
      <c r="BF7" s="44">
        <v>2776.8065219200003</v>
      </c>
      <c r="BG7" s="45">
        <v>1837.1632160300001</v>
      </c>
      <c r="BH7" s="45">
        <v>2166.8180282800004</v>
      </c>
      <c r="BI7" s="45">
        <v>3026.3091272900001</v>
      </c>
      <c r="BJ7" s="46">
        <v>3687.6940994299998</v>
      </c>
      <c r="BK7" s="42">
        <v>4842.5469242299996</v>
      </c>
      <c r="BL7" s="42">
        <v>5956.0472615200006</v>
      </c>
      <c r="BM7" s="42">
        <v>6514.0076343999999</v>
      </c>
      <c r="BN7" s="44">
        <v>6549.5579182199999</v>
      </c>
      <c r="BO7" s="42">
        <v>6674.1764872299991</v>
      </c>
      <c r="BP7" s="42">
        <v>8114.8983505699998</v>
      </c>
      <c r="BQ7" s="42">
        <f>Assumption!P12</f>
        <v>9544.9327530953124</v>
      </c>
      <c r="BR7" s="44">
        <f>Assumption!Q12</f>
        <v>10707.94903691531</v>
      </c>
      <c r="BS7" s="42">
        <f>Assumption!R12</f>
        <v>10818.018666377266</v>
      </c>
      <c r="BT7" s="42">
        <f>Assumption!S12</f>
        <v>12058.532827994612</v>
      </c>
      <c r="BU7" s="42">
        <f>Assumption!T12</f>
        <v>13278.77693051992</v>
      </c>
      <c r="BV7" s="44">
        <f>Assumption!U12</f>
        <v>14427.283714339923</v>
      </c>
      <c r="BW7" s="42">
        <f>Assumption!V12</f>
        <v>13381.138232430643</v>
      </c>
      <c r="BX7" s="42">
        <f>Assumption!W12</f>
        <v>15125.613303422986</v>
      </c>
      <c r="BY7" s="42">
        <f>Assumption!X12</f>
        <v>16150.278705948298</v>
      </c>
      <c r="BZ7" s="44">
        <f>Assumption!Y12</f>
        <v>16752.353864768294</v>
      </c>
      <c r="CA7" s="42"/>
      <c r="CB7" s="47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</row>
    <row r="8" spans="1:115" x14ac:dyDescent="0.4">
      <c r="A8" s="41"/>
      <c r="B8" s="49" t="s">
        <v>60</v>
      </c>
      <c r="C8" s="50">
        <v>45.395266790000001</v>
      </c>
      <c r="D8" s="50">
        <v>60.78984999</v>
      </c>
      <c r="E8" s="50">
        <v>80.740715140000006</v>
      </c>
      <c r="F8" s="50">
        <v>59.86206258</v>
      </c>
      <c r="G8" s="50">
        <v>53.853129819999999</v>
      </c>
      <c r="H8" s="50">
        <v>80.199977799999999</v>
      </c>
      <c r="I8" s="50">
        <v>88.44992336</v>
      </c>
      <c r="J8" s="50">
        <v>91.398229459999996</v>
      </c>
      <c r="K8" s="50">
        <v>1725.50883623</v>
      </c>
      <c r="L8" s="50">
        <v>3749.9691516399998</v>
      </c>
      <c r="M8" s="50">
        <v>3467.7751267399999</v>
      </c>
      <c r="N8" s="50">
        <v>5256.9582163000005</v>
      </c>
      <c r="O8" s="50">
        <v>5727.3998645299998</v>
      </c>
      <c r="P8" s="50">
        <f t="shared" si="4"/>
        <v>6815.5916766</v>
      </c>
      <c r="Q8" s="50">
        <f t="shared" si="4"/>
        <v>7181.8773574499992</v>
      </c>
      <c r="R8" s="50">
        <f t="shared" si="4"/>
        <v>15795.566604470001</v>
      </c>
      <c r="S8" s="50">
        <f t="shared" si="4"/>
        <v>20461.891566808517</v>
      </c>
      <c r="T8" s="50">
        <f>SUMIF($W$3:$BZ$3,T$4,$W8:$BZ8)</f>
        <v>27736.864667578651</v>
      </c>
      <c r="U8" s="50">
        <f>SUMIF($W$3:$BZ$3,U$4,$W8:$BZ8)</f>
        <v>33440.371729675542</v>
      </c>
      <c r="V8" s="8"/>
      <c r="W8" s="50">
        <v>25.23197304</v>
      </c>
      <c r="X8" s="50">
        <v>13.89356766</v>
      </c>
      <c r="Y8" s="50">
        <v>15.72147148</v>
      </c>
      <c r="Z8" s="51">
        <v>25.352965620000003</v>
      </c>
      <c r="AA8" s="50">
        <v>16.146460390000001</v>
      </c>
      <c r="AB8" s="50">
        <v>14.79114452</v>
      </c>
      <c r="AC8" s="50">
        <v>19.536104350000002</v>
      </c>
      <c r="AD8" s="51">
        <v>37.9762141</v>
      </c>
      <c r="AE8" s="50">
        <v>6.9304560400000002</v>
      </c>
      <c r="AF8" s="50">
        <v>33.933494009999997</v>
      </c>
      <c r="AG8" s="50">
        <v>18.631501030000003</v>
      </c>
      <c r="AH8" s="51">
        <v>31.902778379999997</v>
      </c>
      <c r="AI8" s="50">
        <v>9.9617218300000001</v>
      </c>
      <c r="AJ8" s="50">
        <v>36.661040229999998</v>
      </c>
      <c r="AK8" s="50">
        <v>781.51312940000003</v>
      </c>
      <c r="AL8" s="51">
        <v>897.37294477</v>
      </c>
      <c r="AM8" s="50">
        <v>1058.9192232099999</v>
      </c>
      <c r="AN8" s="50">
        <v>1056.90591178</v>
      </c>
      <c r="AO8" s="50">
        <v>992.99301952999997</v>
      </c>
      <c r="AP8" s="51">
        <v>641.15099712000006</v>
      </c>
      <c r="AQ8" s="50">
        <v>629.53872271</v>
      </c>
      <c r="AR8" s="50">
        <v>826.71742950999999</v>
      </c>
      <c r="AS8" s="50">
        <v>898.30543463000004</v>
      </c>
      <c r="AT8" s="51">
        <v>1113.21353989</v>
      </c>
      <c r="AU8" s="50">
        <v>995.31095602999994</v>
      </c>
      <c r="AV8" s="50">
        <v>1428.55327057</v>
      </c>
      <c r="AW8" s="50">
        <v>1482.65444972</v>
      </c>
      <c r="AX8" s="51">
        <v>1350.4395399800001</v>
      </c>
      <c r="AY8" s="50">
        <v>1102.21237918</v>
      </c>
      <c r="AZ8" s="50">
        <v>1390.9275402400001</v>
      </c>
      <c r="BA8" s="50">
        <v>1527.9706472600001</v>
      </c>
      <c r="BB8" s="51">
        <v>1706.2892978499999</v>
      </c>
      <c r="BC8" s="50">
        <v>1539.70998472</v>
      </c>
      <c r="BD8" s="50">
        <v>1558.0470011800001</v>
      </c>
      <c r="BE8" s="50">
        <v>1850.7676937399999</v>
      </c>
      <c r="BF8" s="51">
        <v>1867.0669969600001</v>
      </c>
      <c r="BG8" s="50">
        <v>1294.2924686199999</v>
      </c>
      <c r="BH8" s="50">
        <v>1492.9705500099999</v>
      </c>
      <c r="BI8" s="50">
        <v>2011.1547182199999</v>
      </c>
      <c r="BJ8" s="51">
        <v>2383.4596206000001</v>
      </c>
      <c r="BK8" s="50">
        <v>3256.1728667500001</v>
      </c>
      <c r="BL8" s="50">
        <v>3964.60101691</v>
      </c>
      <c r="BM8" s="50">
        <v>4323.0184962900003</v>
      </c>
      <c r="BN8" s="51">
        <v>4251.7742245199997</v>
      </c>
      <c r="BO8" s="50">
        <v>4224.6870515999999</v>
      </c>
      <c r="BP8" s="50">
        <v>4748.27978816</v>
      </c>
      <c r="BQ8" s="50">
        <f>(BQ7-BQ12)</f>
        <v>5453.9066229853333</v>
      </c>
      <c r="BR8" s="51">
        <f>(BR7-BR12)</f>
        <v>6035.0181040631833</v>
      </c>
      <c r="BS8" s="50">
        <f t="shared" ref="BS8:BZ8" si="5">(BS7-BS12)</f>
        <v>6021.4456242359192</v>
      </c>
      <c r="BT8" s="50">
        <f t="shared" si="5"/>
        <v>6689.9261862154162</v>
      </c>
      <c r="BU8" s="50">
        <f t="shared" si="5"/>
        <v>7235.9949668357676</v>
      </c>
      <c r="BV8" s="51">
        <f t="shared" si="5"/>
        <v>7789.4978902915445</v>
      </c>
      <c r="BW8" s="50">
        <f t="shared" si="5"/>
        <v>7398.096884118253</v>
      </c>
      <c r="BX8" s="50">
        <f t="shared" si="5"/>
        <v>8331.0321029836396</v>
      </c>
      <c r="BY8" s="50">
        <f t="shared" si="5"/>
        <v>8765.9773751567554</v>
      </c>
      <c r="BZ8" s="51">
        <f t="shared" si="5"/>
        <v>8945.2653674168923</v>
      </c>
      <c r="CA8" s="50"/>
      <c r="CB8" s="47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</row>
    <row r="9" spans="1:115" x14ac:dyDescent="0.4">
      <c r="A9" s="41"/>
      <c r="B9" s="53" t="s">
        <v>61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0"/>
      <c r="P9" s="50"/>
      <c r="Q9" s="50"/>
      <c r="R9" s="50"/>
      <c r="S9" s="50"/>
      <c r="T9" s="50"/>
      <c r="U9" s="50"/>
      <c r="V9" s="8"/>
      <c r="W9" s="52"/>
      <c r="X9" s="52"/>
      <c r="Y9" s="52"/>
      <c r="Z9" s="54"/>
      <c r="AA9" s="52"/>
      <c r="AB9" s="52"/>
      <c r="AC9" s="52"/>
      <c r="AD9" s="54"/>
      <c r="AE9" s="52"/>
      <c r="AF9" s="52"/>
      <c r="AG9" s="52"/>
      <c r="AH9" s="54"/>
      <c r="AI9" s="52"/>
      <c r="AJ9" s="52"/>
      <c r="AK9" s="52"/>
      <c r="AL9" s="54"/>
      <c r="AM9" s="52"/>
      <c r="AN9" s="52"/>
      <c r="AO9" s="52"/>
      <c r="AP9" s="54"/>
      <c r="AQ9" s="52"/>
      <c r="AR9" s="52"/>
      <c r="AS9" s="52"/>
      <c r="AT9" s="54"/>
      <c r="AU9" s="52"/>
      <c r="AV9" s="52"/>
      <c r="AW9" s="55"/>
      <c r="AX9" s="56"/>
      <c r="AY9" s="55"/>
      <c r="AZ9" s="55"/>
      <c r="BA9" s="55">
        <v>0</v>
      </c>
      <c r="BB9" s="56">
        <v>0</v>
      </c>
      <c r="BC9" s="55">
        <v>0</v>
      </c>
      <c r="BD9" s="55">
        <v>0</v>
      </c>
      <c r="BE9" s="55">
        <v>0</v>
      </c>
      <c r="BF9" s="56">
        <v>0</v>
      </c>
      <c r="BG9" s="55">
        <v>0</v>
      </c>
      <c r="BH9" s="55">
        <v>0</v>
      </c>
      <c r="BI9" s="55">
        <v>0</v>
      </c>
      <c r="BJ9" s="56">
        <v>0</v>
      </c>
      <c r="BK9" s="55">
        <v>0</v>
      </c>
      <c r="BL9" s="55">
        <v>0</v>
      </c>
      <c r="BM9" s="55">
        <v>0</v>
      </c>
      <c r="BN9" s="56">
        <v>0</v>
      </c>
      <c r="BO9" s="55">
        <v>0</v>
      </c>
      <c r="BP9" s="55">
        <v>0</v>
      </c>
      <c r="BQ9" s="55">
        <v>0</v>
      </c>
      <c r="BR9" s="56">
        <v>0</v>
      </c>
      <c r="BS9" s="55">
        <v>0</v>
      </c>
      <c r="BT9" s="55">
        <v>0</v>
      </c>
      <c r="BU9" s="55">
        <v>0</v>
      </c>
      <c r="BV9" s="56">
        <v>0</v>
      </c>
      <c r="BW9" s="55">
        <v>0</v>
      </c>
      <c r="BX9" s="55">
        <v>0</v>
      </c>
      <c r="BY9" s="55">
        <v>0</v>
      </c>
      <c r="BZ9" s="56">
        <v>0</v>
      </c>
      <c r="CA9" s="55"/>
      <c r="CB9" s="55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</row>
    <row r="10" spans="1:115" x14ac:dyDescent="0.4">
      <c r="A10" s="41"/>
      <c r="B10" s="42" t="s">
        <v>62</v>
      </c>
      <c r="C10" s="42">
        <f>C8+C9</f>
        <v>45.395266790000001</v>
      </c>
      <c r="D10" s="42">
        <f t="shared" ref="D10:U10" si="6">D8+D9</f>
        <v>60.78984999</v>
      </c>
      <c r="E10" s="42">
        <f t="shared" si="6"/>
        <v>80.740715140000006</v>
      </c>
      <c r="F10" s="42">
        <f t="shared" si="6"/>
        <v>59.86206258</v>
      </c>
      <c r="G10" s="42">
        <f t="shared" si="6"/>
        <v>53.853129819999999</v>
      </c>
      <c r="H10" s="42">
        <f t="shared" si="6"/>
        <v>80.199977799999999</v>
      </c>
      <c r="I10" s="42">
        <f t="shared" si="6"/>
        <v>88.44992336</v>
      </c>
      <c r="J10" s="42">
        <f t="shared" si="6"/>
        <v>91.398229459999996</v>
      </c>
      <c r="K10" s="42">
        <f t="shared" si="6"/>
        <v>1725.50883623</v>
      </c>
      <c r="L10" s="42">
        <f t="shared" si="6"/>
        <v>3749.9691516399998</v>
      </c>
      <c r="M10" s="42">
        <f t="shared" si="6"/>
        <v>3467.7751267399999</v>
      </c>
      <c r="N10" s="42">
        <f t="shared" si="6"/>
        <v>5256.9582163000005</v>
      </c>
      <c r="O10" s="42">
        <f t="shared" si="6"/>
        <v>5727.3998645299998</v>
      </c>
      <c r="P10" s="42">
        <f t="shared" si="6"/>
        <v>6815.5916766</v>
      </c>
      <c r="Q10" s="42">
        <f>Q8+Q9</f>
        <v>7181.8773574499992</v>
      </c>
      <c r="R10" s="42">
        <f t="shared" si="6"/>
        <v>15795.566604470001</v>
      </c>
      <c r="S10" s="42">
        <f t="shared" si="6"/>
        <v>20461.891566808517</v>
      </c>
      <c r="T10" s="42">
        <f t="shared" si="6"/>
        <v>27736.864667578651</v>
      </c>
      <c r="U10" s="42">
        <f t="shared" si="6"/>
        <v>33440.371729675542</v>
      </c>
      <c r="V10" s="8"/>
      <c r="W10" s="42">
        <f>W8+W9</f>
        <v>25.23197304</v>
      </c>
      <c r="X10" s="42">
        <f t="shared" ref="X10:BZ10" si="7">X8+X9</f>
        <v>13.89356766</v>
      </c>
      <c r="Y10" s="42">
        <f t="shared" si="7"/>
        <v>15.72147148</v>
      </c>
      <c r="Z10" s="44">
        <f>Z8+Z9</f>
        <v>25.352965620000003</v>
      </c>
      <c r="AA10" s="42">
        <f t="shared" si="7"/>
        <v>16.146460390000001</v>
      </c>
      <c r="AB10" s="42">
        <f t="shared" si="7"/>
        <v>14.79114452</v>
      </c>
      <c r="AC10" s="42">
        <f t="shared" si="7"/>
        <v>19.536104350000002</v>
      </c>
      <c r="AD10" s="44">
        <f t="shared" si="7"/>
        <v>37.9762141</v>
      </c>
      <c r="AE10" s="42">
        <f t="shared" si="7"/>
        <v>6.9304560400000002</v>
      </c>
      <c r="AF10" s="42">
        <f t="shared" si="7"/>
        <v>33.933494009999997</v>
      </c>
      <c r="AG10" s="42">
        <f t="shared" si="7"/>
        <v>18.631501030000003</v>
      </c>
      <c r="AH10" s="44">
        <f t="shared" si="7"/>
        <v>31.902778379999997</v>
      </c>
      <c r="AI10" s="42">
        <f t="shared" si="7"/>
        <v>9.9617218300000001</v>
      </c>
      <c r="AJ10" s="42">
        <f t="shared" si="7"/>
        <v>36.661040229999998</v>
      </c>
      <c r="AK10" s="42">
        <f t="shared" si="7"/>
        <v>781.51312940000003</v>
      </c>
      <c r="AL10" s="44">
        <f t="shared" si="7"/>
        <v>897.37294477</v>
      </c>
      <c r="AM10" s="42">
        <f t="shared" si="7"/>
        <v>1058.9192232099999</v>
      </c>
      <c r="AN10" s="42">
        <f t="shared" si="7"/>
        <v>1056.90591178</v>
      </c>
      <c r="AO10" s="42">
        <f t="shared" si="7"/>
        <v>992.99301952999997</v>
      </c>
      <c r="AP10" s="44">
        <f t="shared" si="7"/>
        <v>641.15099712000006</v>
      </c>
      <c r="AQ10" s="42">
        <f t="shared" si="7"/>
        <v>629.53872271</v>
      </c>
      <c r="AR10" s="42">
        <f t="shared" si="7"/>
        <v>826.71742950999999</v>
      </c>
      <c r="AS10" s="42">
        <f t="shared" si="7"/>
        <v>898.30543463000004</v>
      </c>
      <c r="AT10" s="44">
        <f t="shared" si="7"/>
        <v>1113.21353989</v>
      </c>
      <c r="AU10" s="42">
        <f t="shared" si="7"/>
        <v>995.31095602999994</v>
      </c>
      <c r="AV10" s="42">
        <f t="shared" si="7"/>
        <v>1428.55327057</v>
      </c>
      <c r="AW10" s="42">
        <f t="shared" si="7"/>
        <v>1482.65444972</v>
      </c>
      <c r="AX10" s="44">
        <f t="shared" si="7"/>
        <v>1350.4395399800001</v>
      </c>
      <c r="AY10" s="42">
        <f t="shared" si="7"/>
        <v>1102.21237918</v>
      </c>
      <c r="AZ10" s="42">
        <f t="shared" si="7"/>
        <v>1390.9275402400001</v>
      </c>
      <c r="BA10" s="42">
        <f t="shared" si="7"/>
        <v>1527.9706472600001</v>
      </c>
      <c r="BB10" s="57">
        <f t="shared" si="7"/>
        <v>1706.2892978499999</v>
      </c>
      <c r="BC10" s="42">
        <f t="shared" si="7"/>
        <v>1539.70998472</v>
      </c>
      <c r="BD10" s="58">
        <f t="shared" si="7"/>
        <v>1558.0470011800001</v>
      </c>
      <c r="BE10" s="58">
        <f t="shared" si="7"/>
        <v>1850.7676937399999</v>
      </c>
      <c r="BF10" s="57">
        <f t="shared" si="7"/>
        <v>1867.0669969600001</v>
      </c>
      <c r="BG10" s="58">
        <f t="shared" si="7"/>
        <v>1294.2924686199999</v>
      </c>
      <c r="BH10" s="58">
        <f t="shared" si="7"/>
        <v>1492.9705500099999</v>
      </c>
      <c r="BI10" s="58">
        <f t="shared" si="7"/>
        <v>2011.1547182199999</v>
      </c>
      <c r="BJ10" s="57">
        <f t="shared" si="7"/>
        <v>2383.4596206000001</v>
      </c>
      <c r="BK10" s="58">
        <f t="shared" si="7"/>
        <v>3256.1728667500001</v>
      </c>
      <c r="BL10" s="58">
        <f t="shared" si="7"/>
        <v>3964.60101691</v>
      </c>
      <c r="BM10" s="58">
        <f t="shared" si="7"/>
        <v>4323.0184962900003</v>
      </c>
      <c r="BN10" s="57">
        <f t="shared" si="7"/>
        <v>4251.7742245199997</v>
      </c>
      <c r="BO10" s="58">
        <f t="shared" si="7"/>
        <v>4224.6870515999999</v>
      </c>
      <c r="BP10" s="58">
        <f t="shared" si="7"/>
        <v>4748.27978816</v>
      </c>
      <c r="BQ10" s="58">
        <f t="shared" si="7"/>
        <v>5453.9066229853333</v>
      </c>
      <c r="BR10" s="57">
        <f t="shared" si="7"/>
        <v>6035.0181040631833</v>
      </c>
      <c r="BS10" s="58">
        <f t="shared" si="7"/>
        <v>6021.4456242359192</v>
      </c>
      <c r="BT10" s="58">
        <f t="shared" si="7"/>
        <v>6689.9261862154162</v>
      </c>
      <c r="BU10" s="58">
        <f t="shared" si="7"/>
        <v>7235.9949668357676</v>
      </c>
      <c r="BV10" s="57">
        <f t="shared" si="7"/>
        <v>7789.4978902915445</v>
      </c>
      <c r="BW10" s="58">
        <f t="shared" si="7"/>
        <v>7398.096884118253</v>
      </c>
      <c r="BX10" s="58">
        <f t="shared" si="7"/>
        <v>8331.0321029836396</v>
      </c>
      <c r="BY10" s="58">
        <f t="shared" si="7"/>
        <v>8765.9773751567554</v>
      </c>
      <c r="BZ10" s="57">
        <f t="shared" si="7"/>
        <v>8945.2653674168923</v>
      </c>
      <c r="CA10" s="58"/>
      <c r="CB10" s="58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</row>
    <row r="11" spans="1:115" x14ac:dyDescent="0.4">
      <c r="A11" s="41"/>
      <c r="B11" s="59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60"/>
      <c r="P11" s="50"/>
      <c r="Q11" s="50"/>
      <c r="R11" s="50"/>
      <c r="S11" s="50"/>
      <c r="T11" s="50"/>
      <c r="U11" s="60"/>
      <c r="V11" s="8"/>
      <c r="W11" s="50"/>
      <c r="X11" s="50"/>
      <c r="Y11" s="50"/>
      <c r="Z11" s="51"/>
      <c r="AA11" s="50"/>
      <c r="AB11" s="50"/>
      <c r="AC11" s="50"/>
      <c r="AD11" s="51"/>
      <c r="AE11" s="50"/>
      <c r="AF11" s="50"/>
      <c r="AG11" s="50"/>
      <c r="AH11" s="51"/>
      <c r="AI11" s="50"/>
      <c r="AJ11" s="50"/>
      <c r="AK11" s="50"/>
      <c r="AL11" s="51"/>
      <c r="AM11" s="50"/>
      <c r="AN11" s="50"/>
      <c r="AO11" s="50"/>
      <c r="AP11" s="51"/>
      <c r="AQ11" s="50"/>
      <c r="AR11" s="50"/>
      <c r="AS11" s="50"/>
      <c r="AT11" s="51"/>
      <c r="AU11" s="50"/>
      <c r="AV11" s="50"/>
      <c r="AW11" s="42"/>
      <c r="AX11" s="44"/>
      <c r="AY11" s="42"/>
      <c r="AZ11" s="61"/>
      <c r="BA11" s="61"/>
      <c r="BB11" s="62"/>
      <c r="BC11" s="42"/>
      <c r="BD11" s="61"/>
      <c r="BE11" s="61"/>
      <c r="BF11" s="62"/>
      <c r="BG11" s="61"/>
      <c r="BH11" s="61"/>
      <c r="BI11" s="61"/>
      <c r="BJ11" s="62"/>
      <c r="BK11" s="61"/>
      <c r="BL11" s="61"/>
      <c r="BM11" s="61"/>
      <c r="BN11" s="62"/>
      <c r="BO11" s="61"/>
      <c r="BP11" s="61"/>
      <c r="BQ11" s="61"/>
      <c r="BR11" s="62"/>
      <c r="BS11" s="37"/>
      <c r="BT11" s="37"/>
      <c r="BU11" s="37"/>
      <c r="BV11" s="36"/>
      <c r="BW11" s="37"/>
      <c r="BX11" s="37"/>
      <c r="BY11" s="37"/>
      <c r="BZ11" s="36"/>
      <c r="CA11" s="37"/>
      <c r="CB11" s="37"/>
    </row>
    <row r="12" spans="1:115" x14ac:dyDescent="0.4">
      <c r="A12" s="41"/>
      <c r="B12" s="63" t="s">
        <v>63</v>
      </c>
      <c r="C12" s="63">
        <f>+C7-C10</f>
        <v>44.978451249999999</v>
      </c>
      <c r="D12" s="63">
        <f t="shared" ref="D12:S12" si="8">+D7-D10</f>
        <v>62.757275319999998</v>
      </c>
      <c r="E12" s="63">
        <f t="shared" si="8"/>
        <v>81.338459070000013</v>
      </c>
      <c r="F12" s="63">
        <f t="shared" si="8"/>
        <v>56.797565269999993</v>
      </c>
      <c r="G12" s="63">
        <f t="shared" si="8"/>
        <v>36.673020580000006</v>
      </c>
      <c r="H12" s="63">
        <f t="shared" si="8"/>
        <v>38.546229130000015</v>
      </c>
      <c r="I12" s="63">
        <f t="shared" si="8"/>
        <v>32.960014040000004</v>
      </c>
      <c r="J12" s="63">
        <f t="shared" si="8"/>
        <v>40.222155449999988</v>
      </c>
      <c r="K12" s="63">
        <f t="shared" si="8"/>
        <v>631.57463402999997</v>
      </c>
      <c r="L12" s="63">
        <f>+L7-L10</f>
        <v>1406.34508826</v>
      </c>
      <c r="M12" s="63">
        <f>+M7-M10</f>
        <v>1289.9018966100002</v>
      </c>
      <c r="N12" s="63">
        <f>+N7-N10</f>
        <v>1792.6319091399992</v>
      </c>
      <c r="O12" s="63">
        <f>+O7-O10</f>
        <v>1968.0049411599994</v>
      </c>
      <c r="P12" s="63">
        <f t="shared" si="8"/>
        <v>2826.20308948</v>
      </c>
      <c r="Q12" s="63">
        <f>+Q7-Q10</f>
        <v>3536.1071135800012</v>
      </c>
      <c r="R12" s="63">
        <f t="shared" si="8"/>
        <v>8066.5931338999981</v>
      </c>
      <c r="S12" s="63">
        <f t="shared" si="8"/>
        <v>14580.065061002104</v>
      </c>
      <c r="T12" s="63">
        <f>+T7-T10</f>
        <v>22845.747471653071</v>
      </c>
      <c r="U12" s="42">
        <f>+U7-U10</f>
        <v>27969.01237689468</v>
      </c>
      <c r="V12" s="8"/>
      <c r="W12" s="63">
        <f>+W7-W8</f>
        <v>13.128722809999999</v>
      </c>
      <c r="X12" s="63">
        <f t="shared" ref="X12:BP12" si="9">+X7-X8</f>
        <v>5.9310606400000001</v>
      </c>
      <c r="Y12" s="63">
        <f t="shared" si="9"/>
        <v>6.1650948799999998</v>
      </c>
      <c r="Z12" s="64">
        <f>+Z7-Z8</f>
        <v>13.321350800000001</v>
      </c>
      <c r="AA12" s="63">
        <f t="shared" si="9"/>
        <v>3.0415600399999967</v>
      </c>
      <c r="AB12" s="63">
        <f t="shared" si="9"/>
        <v>9.0975455200000006</v>
      </c>
      <c r="AC12" s="63">
        <f t="shared" si="9"/>
        <v>6.6734737099999961</v>
      </c>
      <c r="AD12" s="64">
        <f t="shared" si="9"/>
        <v>14.147434769999997</v>
      </c>
      <c r="AE12" s="63">
        <f t="shared" si="9"/>
        <v>3.3947884300000011</v>
      </c>
      <c r="AF12" s="63">
        <f t="shared" si="9"/>
        <v>12.429231389999998</v>
      </c>
      <c r="AG12" s="63">
        <f t="shared" si="9"/>
        <v>7.3202101400000004</v>
      </c>
      <c r="AH12" s="64">
        <f t="shared" si="9"/>
        <v>17.077925490000002</v>
      </c>
      <c r="AI12" s="63">
        <f t="shared" si="9"/>
        <v>4.6028542899999998</v>
      </c>
      <c r="AJ12" s="63">
        <f t="shared" si="9"/>
        <v>19.362064010000005</v>
      </c>
      <c r="AK12" s="63">
        <f t="shared" si="9"/>
        <v>287.37239645999989</v>
      </c>
      <c r="AL12" s="64">
        <f t="shared" si="9"/>
        <v>320.23731926999994</v>
      </c>
      <c r="AM12" s="63">
        <f t="shared" si="9"/>
        <v>339.67896254000016</v>
      </c>
      <c r="AN12" s="63">
        <f t="shared" si="9"/>
        <v>370.05634615000008</v>
      </c>
      <c r="AO12" s="63">
        <f t="shared" si="9"/>
        <v>384.26762782000003</v>
      </c>
      <c r="AP12" s="64">
        <f t="shared" si="9"/>
        <v>312.34215174999997</v>
      </c>
      <c r="AQ12" s="63">
        <f t="shared" si="9"/>
        <v>246.10811414</v>
      </c>
      <c r="AR12" s="63">
        <f t="shared" si="9"/>
        <v>332.83841459999996</v>
      </c>
      <c r="AS12" s="63">
        <f t="shared" si="9"/>
        <v>350.40567513999986</v>
      </c>
      <c r="AT12" s="64">
        <f t="shared" si="9"/>
        <v>360.54969272999983</v>
      </c>
      <c r="AU12" s="63">
        <f t="shared" si="9"/>
        <v>330.77944479000007</v>
      </c>
      <c r="AV12" s="63">
        <f t="shared" si="9"/>
        <v>490.03229964000002</v>
      </c>
      <c r="AW12" s="63">
        <f t="shared" si="9"/>
        <v>477.45517547999998</v>
      </c>
      <c r="AX12" s="64">
        <f t="shared" si="9"/>
        <v>494.36498922999999</v>
      </c>
      <c r="AY12" s="63">
        <f t="shared" si="9"/>
        <v>369.54604384000004</v>
      </c>
      <c r="AZ12" s="63">
        <f t="shared" si="9"/>
        <v>435.16642833999981</v>
      </c>
      <c r="BA12" s="63">
        <f t="shared" si="9"/>
        <v>496.26378706999981</v>
      </c>
      <c r="BB12" s="64">
        <f t="shared" si="9"/>
        <v>667.02868191000016</v>
      </c>
      <c r="BC12" s="63">
        <f t="shared" si="9"/>
        <v>548.91266526999993</v>
      </c>
      <c r="BD12" s="63">
        <f t="shared" si="9"/>
        <v>584.37417932999983</v>
      </c>
      <c r="BE12" s="63">
        <f t="shared" si="9"/>
        <v>783.1767199200001</v>
      </c>
      <c r="BF12" s="64">
        <f t="shared" si="9"/>
        <v>909.73952496000015</v>
      </c>
      <c r="BG12" s="63">
        <f t="shared" si="9"/>
        <v>542.87074741000015</v>
      </c>
      <c r="BH12" s="63">
        <f t="shared" si="9"/>
        <v>673.84747827000047</v>
      </c>
      <c r="BI12" s="63">
        <f t="shared" si="9"/>
        <v>1015.1544090700002</v>
      </c>
      <c r="BJ12" s="64">
        <f t="shared" si="9"/>
        <v>1304.2344788299997</v>
      </c>
      <c r="BK12" s="63">
        <f t="shared" si="9"/>
        <v>1586.3740574799995</v>
      </c>
      <c r="BL12" s="63">
        <f t="shared" si="9"/>
        <v>1991.4462446100006</v>
      </c>
      <c r="BM12" s="63">
        <f t="shared" si="9"/>
        <v>2190.9891381099997</v>
      </c>
      <c r="BN12" s="64">
        <f t="shared" si="9"/>
        <v>2297.7836937000002</v>
      </c>
      <c r="BO12" s="63">
        <f t="shared" si="9"/>
        <v>2449.4894356299992</v>
      </c>
      <c r="BP12" s="63">
        <f t="shared" si="9"/>
        <v>3366.6185624099999</v>
      </c>
      <c r="BQ12" s="63">
        <f>+Assumption!P260</f>
        <v>4091.026130109979</v>
      </c>
      <c r="BR12" s="64">
        <f>+Assumption!Q260</f>
        <v>4672.9309328521267</v>
      </c>
      <c r="BS12" s="63">
        <f>+Assumption!R260</f>
        <v>4796.5730421413464</v>
      </c>
      <c r="BT12" s="63">
        <f>+Assumption!S260</f>
        <v>5368.6066417791953</v>
      </c>
      <c r="BU12" s="63">
        <f>+Assumption!T260</f>
        <v>6042.7819636841523</v>
      </c>
      <c r="BV12" s="64">
        <f>+Assumption!U260</f>
        <v>6637.7858240483783</v>
      </c>
      <c r="BW12" s="63">
        <f>+Assumption!V260</f>
        <v>5983.0413483123903</v>
      </c>
      <c r="BX12" s="63">
        <f>+Assumption!W260</f>
        <v>6794.5812004393465</v>
      </c>
      <c r="BY12" s="63">
        <f>+Assumption!X260</f>
        <v>7384.3013307915426</v>
      </c>
      <c r="BZ12" s="64">
        <f>+Assumption!Y260</f>
        <v>7807.0884973514021</v>
      </c>
      <c r="CA12" s="42"/>
      <c r="CB12" s="42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</row>
    <row r="13" spans="1:115" x14ac:dyDescent="0.4">
      <c r="A13" s="65"/>
      <c r="B13" s="66" t="s">
        <v>64</v>
      </c>
      <c r="C13" s="67">
        <f>C12/C$7</f>
        <v>0.49769393387237032</v>
      </c>
      <c r="D13" s="67">
        <f t="shared" ref="D13:U13" si="10">D12/D$7</f>
        <v>0.50796224649122113</v>
      </c>
      <c r="E13" s="67">
        <f t="shared" si="10"/>
        <v>0.50184398746141667</v>
      </c>
      <c r="F13" s="67">
        <f t="shared" si="10"/>
        <v>0.48686564766887347</v>
      </c>
      <c r="G13" s="67">
        <f t="shared" si="10"/>
        <v>0.40510968839342143</v>
      </c>
      <c r="H13" s="67">
        <f t="shared" si="10"/>
        <v>0.3246101928352349</v>
      </c>
      <c r="I13" s="67">
        <f t="shared" si="10"/>
        <v>0.27147706971801799</v>
      </c>
      <c r="J13" s="67">
        <f t="shared" si="10"/>
        <v>0.30559214271788737</v>
      </c>
      <c r="K13" s="67">
        <f t="shared" si="10"/>
        <v>0.26794750461693817</v>
      </c>
      <c r="L13" s="67">
        <f t="shared" si="10"/>
        <v>0.27274231608647542</v>
      </c>
      <c r="M13" s="67">
        <f t="shared" si="10"/>
        <v>0.27112010552194815</v>
      </c>
      <c r="N13" s="67">
        <f t="shared" si="10"/>
        <v>0.25428881356816646</v>
      </c>
      <c r="O13" s="67">
        <f t="shared" si="10"/>
        <v>0.25573767603555464</v>
      </c>
      <c r="P13" s="67">
        <f t="shared" si="10"/>
        <v>0.29312002153609734</v>
      </c>
      <c r="Q13" s="67">
        <f>Q12/Q$7</f>
        <v>0.3299227688879251</v>
      </c>
      <c r="R13" s="67">
        <f t="shared" si="10"/>
        <v>0.33804958236571669</v>
      </c>
      <c r="S13" s="67">
        <f t="shared" si="10"/>
        <v>0.41607451364262044</v>
      </c>
      <c r="T13" s="67">
        <f t="shared" si="10"/>
        <v>0.45165218847869615</v>
      </c>
      <c r="U13" s="67">
        <f t="shared" si="10"/>
        <v>0.45545176496733925</v>
      </c>
      <c r="W13" s="67">
        <f t="shared" ref="W13:BZ13" si="11">W12/W$7</f>
        <v>0.34224412563673556</v>
      </c>
      <c r="X13" s="67">
        <f t="shared" si="11"/>
        <v>0.29917638556683557</v>
      </c>
      <c r="Y13" s="67">
        <f t="shared" si="11"/>
        <v>0.28168396899695325</v>
      </c>
      <c r="Z13" s="68">
        <f t="shared" si="11"/>
        <v>0.34444954773941416</v>
      </c>
      <c r="AA13" s="67">
        <f t="shared" si="11"/>
        <v>0.15851348767820742</v>
      </c>
      <c r="AB13" s="67">
        <f t="shared" si="11"/>
        <v>0.38083065688268275</v>
      </c>
      <c r="AC13" s="67">
        <f t="shared" si="11"/>
        <v>0.25461965449130153</v>
      </c>
      <c r="AD13" s="68">
        <f t="shared" si="11"/>
        <v>0.27142065217430733</v>
      </c>
      <c r="AE13" s="67">
        <f t="shared" si="11"/>
        <v>0.328785283473293</v>
      </c>
      <c r="AF13" s="67">
        <f t="shared" si="11"/>
        <v>0.26808672878406753</v>
      </c>
      <c r="AG13" s="67">
        <f t="shared" si="11"/>
        <v>0.28207042271887306</v>
      </c>
      <c r="AH13" s="68">
        <f t="shared" si="11"/>
        <v>0.34866639596128779</v>
      </c>
      <c r="AI13" s="67">
        <f t="shared" si="11"/>
        <v>0.31603077577241567</v>
      </c>
      <c r="AJ13" s="67">
        <f t="shared" si="11"/>
        <v>0.34560855333995688</v>
      </c>
      <c r="AK13" s="67">
        <f t="shared" si="11"/>
        <v>0.26885236024576803</v>
      </c>
      <c r="AL13" s="68">
        <f t="shared" si="11"/>
        <v>0.26300477971289488</v>
      </c>
      <c r="AM13" s="67">
        <f t="shared" si="11"/>
        <v>0.24287101613666606</v>
      </c>
      <c r="AN13" s="67">
        <f t="shared" si="11"/>
        <v>0.25933155841613947</v>
      </c>
      <c r="AO13" s="67">
        <f t="shared" si="11"/>
        <v>0.27900864557436744</v>
      </c>
      <c r="AP13" s="68">
        <f t="shared" si="11"/>
        <v>0.32757671318368847</v>
      </c>
      <c r="AQ13" s="67">
        <f t="shared" si="11"/>
        <v>0.28105864577246087</v>
      </c>
      <c r="AR13" s="67">
        <f t="shared" si="11"/>
        <v>0.2870395732043981</v>
      </c>
      <c r="AS13" s="67">
        <f t="shared" si="11"/>
        <v>0.28061388450731495</v>
      </c>
      <c r="AT13" s="68">
        <f t="shared" si="11"/>
        <v>0.24464560164730695</v>
      </c>
      <c r="AU13" s="67">
        <f t="shared" si="11"/>
        <v>0.2494395891754134</v>
      </c>
      <c r="AV13" s="67">
        <f t="shared" si="11"/>
        <v>0.25541331450041255</v>
      </c>
      <c r="AW13" s="67">
        <f t="shared" si="11"/>
        <v>0.24358595526578408</v>
      </c>
      <c r="AX13" s="68">
        <f t="shared" si="11"/>
        <v>0.26797689478879461</v>
      </c>
      <c r="AY13" s="67">
        <f t="shared" si="11"/>
        <v>0.25109150935362318</v>
      </c>
      <c r="AZ13" s="67">
        <f t="shared" si="11"/>
        <v>0.23830450996910757</v>
      </c>
      <c r="BA13" s="67">
        <f t="shared" si="11"/>
        <v>0.24516122177037161</v>
      </c>
      <c r="BB13" s="68">
        <f t="shared" si="11"/>
        <v>0.28105322910731623</v>
      </c>
      <c r="BC13" s="67">
        <f t="shared" si="11"/>
        <v>0.26281083625739099</v>
      </c>
      <c r="BD13" s="67">
        <f t="shared" si="11"/>
        <v>0.27276344382988715</v>
      </c>
      <c r="BE13" s="67">
        <f t="shared" si="11"/>
        <v>0.29733988153217561</v>
      </c>
      <c r="BF13" s="68">
        <f t="shared" si="11"/>
        <v>0.327620782283012</v>
      </c>
      <c r="BG13" s="67">
        <f t="shared" si="11"/>
        <v>0.29549402180123735</v>
      </c>
      <c r="BH13" s="67">
        <f t="shared" si="11"/>
        <v>0.31098480328082473</v>
      </c>
      <c r="BI13" s="67">
        <f t="shared" si="11"/>
        <v>0.33544306492544296</v>
      </c>
      <c r="BJ13" s="68">
        <f t="shared" si="11"/>
        <v>0.35367208983836074</v>
      </c>
      <c r="BK13" s="67">
        <f t="shared" si="11"/>
        <v>0.32759084884494838</v>
      </c>
      <c r="BL13" s="67">
        <f t="shared" si="11"/>
        <v>0.33435702524996042</v>
      </c>
      <c r="BM13" s="67">
        <f t="shared" si="11"/>
        <v>0.33635040992883486</v>
      </c>
      <c r="BN13" s="68">
        <f t="shared" si="11"/>
        <v>0.35083034952754161</v>
      </c>
      <c r="BO13" s="67">
        <f t="shared" si="11"/>
        <v>0.36700998847074501</v>
      </c>
      <c r="BP13" s="67">
        <f t="shared" si="11"/>
        <v>0.41486885195222745</v>
      </c>
      <c r="BQ13" s="67">
        <f t="shared" si="11"/>
        <v>0.4286071191840829</v>
      </c>
      <c r="BR13" s="68">
        <f t="shared" si="11"/>
        <v>0.43639831649761757</v>
      </c>
      <c r="BS13" s="67">
        <f t="shared" si="11"/>
        <v>0.44338738821455753</v>
      </c>
      <c r="BT13" s="67">
        <f t="shared" si="11"/>
        <v>0.44521225909968509</v>
      </c>
      <c r="BU13" s="67">
        <f t="shared" si="11"/>
        <v>0.45507067370003268</v>
      </c>
      <c r="BV13" s="68">
        <f t="shared" si="11"/>
        <v>0.46008562356410765</v>
      </c>
      <c r="BW13" s="67">
        <f t="shared" si="11"/>
        <v>0.44712499373273334</v>
      </c>
      <c r="BX13" s="67">
        <f t="shared" si="11"/>
        <v>0.44921029409774121</v>
      </c>
      <c r="BY13" s="67">
        <f t="shared" si="11"/>
        <v>0.45722439007023674</v>
      </c>
      <c r="BZ13" s="68">
        <f t="shared" si="11"/>
        <v>0.46602934491315939</v>
      </c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  <c r="DK13" s="67"/>
    </row>
    <row r="14" spans="1:115" x14ac:dyDescent="0.4">
      <c r="A14" s="69"/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2"/>
      <c r="P14" s="72"/>
      <c r="Q14" s="72"/>
      <c r="R14" s="72"/>
      <c r="S14" s="72"/>
      <c r="T14" s="73"/>
      <c r="U14" s="72"/>
      <c r="V14" s="71"/>
      <c r="W14" s="71"/>
      <c r="X14" s="71"/>
      <c r="Y14" s="71"/>
      <c r="Z14" s="74"/>
      <c r="AA14" s="71"/>
      <c r="AB14" s="71"/>
      <c r="AC14" s="71"/>
      <c r="AD14" s="74"/>
      <c r="AE14" s="71"/>
      <c r="AF14" s="71"/>
      <c r="AG14" s="71"/>
      <c r="AH14" s="74"/>
      <c r="AI14" s="71"/>
      <c r="AJ14" s="71"/>
      <c r="AK14" s="71"/>
      <c r="AL14" s="74"/>
      <c r="AM14" s="71"/>
      <c r="AN14" s="71"/>
      <c r="AO14" s="71"/>
      <c r="AP14" s="74"/>
      <c r="AQ14" s="71"/>
      <c r="AR14" s="71"/>
      <c r="AS14" s="71"/>
      <c r="AT14" s="74"/>
      <c r="AU14" s="71"/>
      <c r="AV14" s="71"/>
      <c r="AW14" s="75"/>
      <c r="AX14" s="76"/>
      <c r="AY14" s="75"/>
      <c r="AZ14" s="75"/>
      <c r="BA14" s="75"/>
      <c r="BB14" s="76"/>
      <c r="BC14" s="75"/>
      <c r="BD14" s="77"/>
      <c r="BE14" s="75"/>
      <c r="BF14" s="76"/>
      <c r="BG14" s="75"/>
      <c r="BH14" s="75"/>
      <c r="BI14" s="75"/>
      <c r="BJ14" s="76"/>
      <c r="BK14" s="78"/>
      <c r="BL14" s="78"/>
      <c r="BM14" s="78"/>
      <c r="BN14" s="79"/>
      <c r="BO14" s="78"/>
      <c r="BP14" s="78"/>
      <c r="BQ14" s="75"/>
      <c r="BR14" s="76"/>
      <c r="BS14" s="75"/>
      <c r="BT14" s="75"/>
      <c r="BU14" s="75"/>
      <c r="BV14" s="76"/>
      <c r="BW14" s="75"/>
      <c r="BX14" s="75"/>
      <c r="BY14" s="75"/>
      <c r="BZ14" s="76"/>
      <c r="CA14" s="75"/>
      <c r="CB14" s="75"/>
    </row>
    <row r="15" spans="1:115" x14ac:dyDescent="0.4">
      <c r="A15" s="42"/>
      <c r="B15" s="42" t="s">
        <v>65</v>
      </c>
      <c r="C15" s="80">
        <f>C16+C17+C18+C19</f>
        <v>11.332817729999999</v>
      </c>
      <c r="D15" s="80">
        <f t="shared" ref="D15:P15" si="12">D16+D17+D18+D19</f>
        <v>12.913830910000001</v>
      </c>
      <c r="E15" s="80">
        <f t="shared" si="12"/>
        <v>20.299494500000002</v>
      </c>
      <c r="F15" s="80">
        <f t="shared" si="12"/>
        <v>26.722240599999999</v>
      </c>
      <c r="G15" s="80">
        <f t="shared" si="12"/>
        <v>35.194178019999995</v>
      </c>
      <c r="H15" s="80">
        <f t="shared" si="12"/>
        <v>40.911795590000004</v>
      </c>
      <c r="I15" s="80">
        <f t="shared" si="12"/>
        <v>36.656887189999999</v>
      </c>
      <c r="J15" s="80">
        <f t="shared" si="12"/>
        <v>47.264306789999999</v>
      </c>
      <c r="K15" s="80">
        <f t="shared" si="12"/>
        <v>284.37771232</v>
      </c>
      <c r="L15" s="80">
        <f t="shared" si="12"/>
        <v>633.23580224</v>
      </c>
      <c r="M15" s="80">
        <f>M16+M17+M18+M19</f>
        <v>708.37450473999991</v>
      </c>
      <c r="N15" s="80">
        <f>N16+N17+N18+N19</f>
        <v>1005.2526120499999</v>
      </c>
      <c r="O15" s="80">
        <f t="shared" si="12"/>
        <v>1069.3134427800001</v>
      </c>
      <c r="P15" s="80">
        <f t="shared" si="12"/>
        <v>1427.5515450600001</v>
      </c>
      <c r="Q15" s="80">
        <f>Q16+Q17+Q18+Q19</f>
        <v>1348.43368627</v>
      </c>
      <c r="R15" s="80">
        <f>R16+R17+R18+R19</f>
        <v>2169.7398190900003</v>
      </c>
      <c r="S15" s="80">
        <f>S16+S17+S18+S19</f>
        <v>2640.249834553681</v>
      </c>
      <c r="T15" s="42">
        <f t="shared" ref="T15:U19" si="13">SUMIF($W$3:$BZ$3,T$4,$W15:$BZ15)</f>
        <v>3112.8343425452831</v>
      </c>
      <c r="U15" s="42">
        <f t="shared" si="13"/>
        <v>3605.8216412090705</v>
      </c>
      <c r="V15" s="81"/>
      <c r="W15" s="80">
        <f>W16+W17+W18+W19</f>
        <v>11.258246510000001</v>
      </c>
      <c r="X15" s="80">
        <f t="shared" ref="X15:BZ15" si="14">X16+X17+X18+X19</f>
        <v>11.489717109999999</v>
      </c>
      <c r="Y15" s="80">
        <f t="shared" si="14"/>
        <v>10.45725762</v>
      </c>
      <c r="Z15" s="82">
        <f t="shared" si="14"/>
        <v>7.7065743500000004</v>
      </c>
      <c r="AA15" s="80">
        <f t="shared" si="14"/>
        <v>8.2691804700000002</v>
      </c>
      <c r="AB15" s="80">
        <f t="shared" si="14"/>
        <v>9.6986420899999999</v>
      </c>
      <c r="AC15" s="80">
        <f t="shared" si="14"/>
        <v>8.320412769999999</v>
      </c>
      <c r="AD15" s="82">
        <f t="shared" si="14"/>
        <v>10.36865186</v>
      </c>
      <c r="AE15" s="80">
        <f t="shared" si="14"/>
        <v>11.34554223</v>
      </c>
      <c r="AF15" s="80">
        <f t="shared" si="14"/>
        <v>13.380588089999998</v>
      </c>
      <c r="AG15" s="80">
        <f t="shared" si="14"/>
        <v>9.4224529199999978</v>
      </c>
      <c r="AH15" s="82">
        <f t="shared" si="14"/>
        <v>13.11572355</v>
      </c>
      <c r="AI15" s="80">
        <f t="shared" si="14"/>
        <v>10.862135740000001</v>
      </c>
      <c r="AJ15" s="80">
        <f t="shared" si="14"/>
        <v>12.342274289999999</v>
      </c>
      <c r="AK15" s="80">
        <f t="shared" si="14"/>
        <v>116.67334314999999</v>
      </c>
      <c r="AL15" s="82">
        <f t="shared" si="14"/>
        <v>144.49995914000002</v>
      </c>
      <c r="AM15" s="80">
        <f t="shared" si="14"/>
        <v>152.13891921999999</v>
      </c>
      <c r="AN15" s="80">
        <f t="shared" si="14"/>
        <v>159.35646573000002</v>
      </c>
      <c r="AO15" s="80">
        <f t="shared" si="14"/>
        <v>166.61629514999998</v>
      </c>
      <c r="AP15" s="82">
        <f t="shared" si="14"/>
        <v>155.12412214</v>
      </c>
      <c r="AQ15" s="80">
        <f t="shared" si="14"/>
        <v>122.80927725999999</v>
      </c>
      <c r="AR15" s="80">
        <f>AR16+AR17+AR18+AR19</f>
        <v>172.11901252000001</v>
      </c>
      <c r="AS15" s="80">
        <f>AS16+AS17+AS18+AS19</f>
        <v>163.74805492000002</v>
      </c>
      <c r="AT15" s="82">
        <f>AT16+AT17+AT18+AT19</f>
        <v>249.69816004000003</v>
      </c>
      <c r="AU15" s="80">
        <f>AU16+AU17+AU18+AU19</f>
        <v>177.65974247</v>
      </c>
      <c r="AV15" s="80">
        <f>AV16+AV17+AV18+AV19</f>
        <v>189.35853346000002</v>
      </c>
      <c r="AW15" s="80">
        <f t="shared" si="14"/>
        <v>262.20329981999998</v>
      </c>
      <c r="AX15" s="82">
        <f>AX16+AX17+AX18+AX19</f>
        <v>376.03103632</v>
      </c>
      <c r="AY15" s="80">
        <f>AY16+AY17+AY18+AY19</f>
        <v>233.16566664999999</v>
      </c>
      <c r="AZ15" s="80">
        <f>AZ16+AZ17+AZ18+AZ19</f>
        <v>231.74708132000001</v>
      </c>
      <c r="BA15" s="80">
        <f>BA16+BA17+BA18+BA19</f>
        <v>247.04468163000001</v>
      </c>
      <c r="BB15" s="82">
        <f t="shared" si="14"/>
        <v>357.35601317999999</v>
      </c>
      <c r="BC15" s="80">
        <f t="shared" si="14"/>
        <v>315.63683589000004</v>
      </c>
      <c r="BD15" s="80">
        <f t="shared" si="14"/>
        <v>327.58014104</v>
      </c>
      <c r="BE15" s="80">
        <f t="shared" si="14"/>
        <v>384.15611630000001</v>
      </c>
      <c r="BF15" s="82">
        <f t="shared" si="14"/>
        <v>400.17845182999997</v>
      </c>
      <c r="BG15" s="80">
        <f t="shared" si="14"/>
        <v>273.87353067999999</v>
      </c>
      <c r="BH15" s="80">
        <f t="shared" si="14"/>
        <v>288.54832424</v>
      </c>
      <c r="BI15" s="80">
        <f t="shared" si="14"/>
        <v>295.00970545000001</v>
      </c>
      <c r="BJ15" s="82">
        <f t="shared" si="14"/>
        <v>491.00212590000001</v>
      </c>
      <c r="BK15" s="80">
        <f t="shared" si="14"/>
        <v>467.00203931999999</v>
      </c>
      <c r="BL15" s="80">
        <f t="shared" si="14"/>
        <v>474.94488743000005</v>
      </c>
      <c r="BM15" s="80">
        <f t="shared" si="14"/>
        <v>439.81541762000001</v>
      </c>
      <c r="BN15" s="82">
        <f t="shared" si="14"/>
        <v>787.97747471999992</v>
      </c>
      <c r="BO15" s="80">
        <f t="shared" si="14"/>
        <v>499.45572174</v>
      </c>
      <c r="BP15" s="80">
        <f t="shared" si="14"/>
        <v>522.83667845000002</v>
      </c>
      <c r="BQ15" s="80">
        <f t="shared" si="14"/>
        <v>664.72714196816423</v>
      </c>
      <c r="BR15" s="82">
        <f t="shared" si="14"/>
        <v>953.2302923955167</v>
      </c>
      <c r="BS15" s="80">
        <f t="shared" si="14"/>
        <v>626.34316980345011</v>
      </c>
      <c r="BT15" s="80">
        <f t="shared" si="14"/>
        <v>658.94088930935311</v>
      </c>
      <c r="BU15" s="80">
        <f t="shared" si="14"/>
        <v>721.61475987974006</v>
      </c>
      <c r="BV15" s="82">
        <f t="shared" si="14"/>
        <v>1105.9355235527394</v>
      </c>
      <c r="BW15" s="80">
        <f t="shared" si="14"/>
        <v>724.2928223340881</v>
      </c>
      <c r="BX15" s="80">
        <f t="shared" si="14"/>
        <v>762.61180120603217</v>
      </c>
      <c r="BY15" s="80">
        <f t="shared" si="14"/>
        <v>834.32118947100128</v>
      </c>
      <c r="BZ15" s="82">
        <f t="shared" si="14"/>
        <v>1284.5958281979495</v>
      </c>
      <c r="CA15" s="80"/>
      <c r="CB15" s="8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</row>
    <row r="16" spans="1:115" x14ac:dyDescent="0.4">
      <c r="A16" s="41"/>
      <c r="B16" s="83" t="s">
        <v>66</v>
      </c>
      <c r="C16" s="50">
        <v>0</v>
      </c>
      <c r="D16" s="50">
        <v>6.2985410000000006E-2</v>
      </c>
      <c r="E16" s="50">
        <v>1.4004867700000001</v>
      </c>
      <c r="F16" s="50">
        <v>1.099027</v>
      </c>
      <c r="G16" s="50">
        <v>0.56964762000000002</v>
      </c>
      <c r="H16" s="50">
        <v>0.82507993999999996</v>
      </c>
      <c r="I16" s="50">
        <v>1.07017316</v>
      </c>
      <c r="J16" s="50">
        <v>2.7481564600000001</v>
      </c>
      <c r="K16" s="50">
        <v>6.4469655899999996</v>
      </c>
      <c r="L16" s="50">
        <v>10.18249775</v>
      </c>
      <c r="M16" s="50">
        <v>16.597006499999999</v>
      </c>
      <c r="N16" s="50">
        <v>21.973474800000002</v>
      </c>
      <c r="O16" s="50">
        <v>21.012072570000001</v>
      </c>
      <c r="P16" s="50">
        <f t="shared" ref="P16:S19" si="15">SUMIF($W$3:$BR$3,P$4,$W16:$BR16)</f>
        <v>62.999788429999995</v>
      </c>
      <c r="Q16" s="50">
        <f t="shared" si="15"/>
        <v>50.633780119999997</v>
      </c>
      <c r="R16" s="50">
        <f t="shared" si="15"/>
        <v>46.908394370000003</v>
      </c>
      <c r="S16" s="50">
        <f t="shared" si="15"/>
        <v>85.463532320021244</v>
      </c>
      <c r="T16" s="50">
        <f t="shared" si="13"/>
        <v>101.16522427846344</v>
      </c>
      <c r="U16" s="50">
        <f t="shared" si="13"/>
        <v>122.81876821314046</v>
      </c>
      <c r="V16" s="8"/>
      <c r="W16" s="50">
        <v>0.55219574999999999</v>
      </c>
      <c r="X16" s="50">
        <v>0.10853597</v>
      </c>
      <c r="Y16" s="50">
        <v>2.2991599999999997E-3</v>
      </c>
      <c r="Z16" s="51">
        <v>0.16204905999999999</v>
      </c>
      <c r="AA16" s="50">
        <v>0.14487755999999999</v>
      </c>
      <c r="AB16" s="50">
        <v>7.2818630000000009E-2</v>
      </c>
      <c r="AC16" s="50">
        <v>2.8393400000000003E-2</v>
      </c>
      <c r="AD16" s="51">
        <v>0.82408356999999999</v>
      </c>
      <c r="AE16" s="50">
        <v>3.1861189999999998E-2</v>
      </c>
      <c r="AF16" s="50">
        <v>0.72010979000000008</v>
      </c>
      <c r="AG16" s="50">
        <v>5.1954109999999998E-2</v>
      </c>
      <c r="AH16" s="51">
        <v>1.94423137</v>
      </c>
      <c r="AI16" s="50">
        <v>0.51099421</v>
      </c>
      <c r="AJ16" s="50">
        <v>0.92781884999999997</v>
      </c>
      <c r="AK16" s="50">
        <v>2.2470596600000001</v>
      </c>
      <c r="AL16" s="51">
        <v>2.7610928700000001</v>
      </c>
      <c r="AM16" s="50">
        <v>2.3088486800000001</v>
      </c>
      <c r="AN16" s="50">
        <v>2.55293467</v>
      </c>
      <c r="AO16" s="50">
        <v>2.7681516299999998</v>
      </c>
      <c r="AP16" s="51">
        <v>2.5525627700000002</v>
      </c>
      <c r="AQ16" s="50">
        <v>1.99116607</v>
      </c>
      <c r="AR16" s="50">
        <v>6.1621617500000001</v>
      </c>
      <c r="AS16" s="50">
        <v>4.7861506699999996</v>
      </c>
      <c r="AT16" s="51">
        <v>3.6575280099999996</v>
      </c>
      <c r="AU16" s="50">
        <v>2.9466197300000001</v>
      </c>
      <c r="AV16" s="50">
        <v>3.9161950099999996</v>
      </c>
      <c r="AW16" s="50">
        <v>5.0707368300000004</v>
      </c>
      <c r="AX16" s="51">
        <v>10.039923230000001</v>
      </c>
      <c r="AY16" s="50">
        <v>4.71784201</v>
      </c>
      <c r="AZ16" s="50">
        <v>4.4937591299999999</v>
      </c>
      <c r="BA16" s="50">
        <v>0.88746471999999998</v>
      </c>
      <c r="BB16" s="51">
        <v>10.913006710000001</v>
      </c>
      <c r="BC16" s="50">
        <v>5.8975237500000004</v>
      </c>
      <c r="BD16" s="50">
        <v>5.8595587400000007</v>
      </c>
      <c r="BE16" s="50">
        <v>5.5426410300000004</v>
      </c>
      <c r="BF16" s="51">
        <v>45.700064909999995</v>
      </c>
      <c r="BG16" s="50">
        <v>4.4719718799999999</v>
      </c>
      <c r="BH16" s="50">
        <v>4.7102711600000005</v>
      </c>
      <c r="BI16" s="50">
        <v>6.9594304299999994</v>
      </c>
      <c r="BJ16" s="51">
        <v>34.492106649999997</v>
      </c>
      <c r="BK16" s="50">
        <v>35.521544540000001</v>
      </c>
      <c r="BL16" s="50">
        <v>-13.935084439999999</v>
      </c>
      <c r="BM16" s="50">
        <v>11.29486436</v>
      </c>
      <c r="BN16" s="51">
        <v>14.02706991</v>
      </c>
      <c r="BO16" s="50">
        <v>10.62514492</v>
      </c>
      <c r="BP16" s="50">
        <v>34.332623820000002</v>
      </c>
      <c r="BQ16" s="50">
        <f t="shared" ref="BQ16:BZ16" si="16">BQ$7*BQ80</f>
        <v>19.089865506190627</v>
      </c>
      <c r="BR16" s="51">
        <f t="shared" si="16"/>
        <v>21.415898073830622</v>
      </c>
      <c r="BS16" s="50">
        <f t="shared" si="16"/>
        <v>21.636037332754533</v>
      </c>
      <c r="BT16" s="50">
        <f t="shared" si="16"/>
        <v>24.117065655989222</v>
      </c>
      <c r="BU16" s="50">
        <f t="shared" si="16"/>
        <v>26.557553861039839</v>
      </c>
      <c r="BV16" s="51">
        <f t="shared" si="16"/>
        <v>28.854567428679847</v>
      </c>
      <c r="BW16" s="50">
        <f t="shared" si="16"/>
        <v>26.762276464861287</v>
      </c>
      <c r="BX16" s="50">
        <f t="shared" si="16"/>
        <v>30.251226606845972</v>
      </c>
      <c r="BY16" s="50">
        <f t="shared" si="16"/>
        <v>32.300557411896598</v>
      </c>
      <c r="BZ16" s="51">
        <f t="shared" si="16"/>
        <v>33.504707729536591</v>
      </c>
      <c r="CA16" s="50"/>
      <c r="CB16" s="47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</row>
    <row r="17" spans="1:115" x14ac:dyDescent="0.4">
      <c r="A17" s="41"/>
      <c r="B17" s="83" t="s">
        <v>67</v>
      </c>
      <c r="C17" s="50">
        <v>2.4544343900000003</v>
      </c>
      <c r="D17" s="50">
        <v>2.34202135</v>
      </c>
      <c r="E17" s="50">
        <v>3.0847900799999999</v>
      </c>
      <c r="F17" s="50">
        <v>3.8827589300000001</v>
      </c>
      <c r="G17" s="50">
        <v>3.2593719399999999</v>
      </c>
      <c r="H17" s="50">
        <v>4.60130237</v>
      </c>
      <c r="I17" s="50">
        <v>3.8401569500000003</v>
      </c>
      <c r="J17" s="50">
        <v>3.69714944</v>
      </c>
      <c r="K17" s="50">
        <v>32.022265959999999</v>
      </c>
      <c r="L17" s="50">
        <v>60.23308926</v>
      </c>
      <c r="M17" s="50">
        <v>54.840090320000002</v>
      </c>
      <c r="N17" s="50">
        <v>106.7135151</v>
      </c>
      <c r="O17" s="50">
        <v>73.036515340000008</v>
      </c>
      <c r="P17" s="50">
        <f t="shared" si="15"/>
        <v>90.729655149999985</v>
      </c>
      <c r="Q17" s="50">
        <f t="shared" si="15"/>
        <v>124.83987223000001</v>
      </c>
      <c r="R17" s="50">
        <f t="shared" si="15"/>
        <v>199.26812022000001</v>
      </c>
      <c r="S17" s="50">
        <f t="shared" si="15"/>
        <v>235.03778294</v>
      </c>
      <c r="T17" s="50">
        <f t="shared" si="13"/>
        <v>276</v>
      </c>
      <c r="U17" s="50">
        <f t="shared" si="13"/>
        <v>327</v>
      </c>
      <c r="V17" s="8"/>
      <c r="W17" s="50">
        <v>0.73327105000000004</v>
      </c>
      <c r="X17" s="50">
        <v>1.0667551000000002</v>
      </c>
      <c r="Y17" s="50">
        <v>1.53642827</v>
      </c>
      <c r="Z17" s="51">
        <v>1.2648479500000001</v>
      </c>
      <c r="AA17" s="50">
        <v>0.67469142000000004</v>
      </c>
      <c r="AB17" s="50">
        <v>1.40967894</v>
      </c>
      <c r="AC17" s="50">
        <v>1.01566052</v>
      </c>
      <c r="AD17" s="51">
        <v>0.74012606999999997</v>
      </c>
      <c r="AE17" s="50">
        <v>1.11591102</v>
      </c>
      <c r="AF17" s="50">
        <v>1.03060529</v>
      </c>
      <c r="AG17" s="50">
        <v>0.70578328000000001</v>
      </c>
      <c r="AH17" s="51">
        <v>0.84484985000000001</v>
      </c>
      <c r="AI17" s="50">
        <v>0.79184656999999992</v>
      </c>
      <c r="AJ17" s="50">
        <v>0.87935077000000006</v>
      </c>
      <c r="AK17" s="50">
        <v>16.740203189999999</v>
      </c>
      <c r="AL17" s="51">
        <v>13.61086543</v>
      </c>
      <c r="AM17" s="50">
        <v>13.991237890000001</v>
      </c>
      <c r="AN17" s="50">
        <v>13.120207789999998</v>
      </c>
      <c r="AO17" s="50">
        <v>15.72199449</v>
      </c>
      <c r="AP17" s="51">
        <v>17.39964909</v>
      </c>
      <c r="AQ17" s="50">
        <v>13.217812260000001</v>
      </c>
      <c r="AR17" s="50">
        <v>11.2883674</v>
      </c>
      <c r="AS17" s="50">
        <v>13.066561460000001</v>
      </c>
      <c r="AT17" s="51">
        <v>17.267349199999998</v>
      </c>
      <c r="AU17" s="50">
        <v>14.232697210000001</v>
      </c>
      <c r="AV17" s="50">
        <v>16.34749369</v>
      </c>
      <c r="AW17" s="50">
        <v>43.276411969999998</v>
      </c>
      <c r="AX17" s="51">
        <v>32.85691224</v>
      </c>
      <c r="AY17" s="50">
        <v>15.48843769</v>
      </c>
      <c r="AZ17" s="50">
        <v>14.383020160000001</v>
      </c>
      <c r="BA17" s="50">
        <v>17.745673109999998</v>
      </c>
      <c r="BB17" s="51">
        <v>25.41938438</v>
      </c>
      <c r="BC17" s="50">
        <v>18.569296250000001</v>
      </c>
      <c r="BD17" s="50">
        <v>20.622353159999999</v>
      </c>
      <c r="BE17" s="50">
        <v>30.167125840000001</v>
      </c>
      <c r="BF17" s="51">
        <v>21.370879899999998</v>
      </c>
      <c r="BG17" s="50">
        <v>22.253674409999999</v>
      </c>
      <c r="BH17" s="50">
        <v>21.415118020000001</v>
      </c>
      <c r="BI17" s="50">
        <v>36.879482630000005</v>
      </c>
      <c r="BJ17" s="51">
        <v>44.291597170000003</v>
      </c>
      <c r="BK17" s="50">
        <v>44.826387359999998</v>
      </c>
      <c r="BL17" s="50">
        <v>44.347235900000001</v>
      </c>
      <c r="BM17" s="50">
        <v>45.975534469999999</v>
      </c>
      <c r="BN17" s="51">
        <v>64.118962490000001</v>
      </c>
      <c r="BO17" s="50">
        <v>50.101677639999998</v>
      </c>
      <c r="BP17" s="50">
        <v>50.986105299999998</v>
      </c>
      <c r="BQ17" s="50">
        <f>+Assumption!P278</f>
        <v>63.45</v>
      </c>
      <c r="BR17" s="51">
        <f>+Assumption!Q278</f>
        <v>70.5</v>
      </c>
      <c r="BS17" s="50">
        <f>+Assumption!R278</f>
        <v>60.72</v>
      </c>
      <c r="BT17" s="50">
        <f>+Assumption!S278</f>
        <v>63.480000000000004</v>
      </c>
      <c r="BU17" s="50">
        <f>+Assumption!T278</f>
        <v>69</v>
      </c>
      <c r="BV17" s="51">
        <f>+Assumption!U278</f>
        <v>82.8</v>
      </c>
      <c r="BW17" s="50">
        <f>+Assumption!V278</f>
        <v>71.94</v>
      </c>
      <c r="BX17" s="50">
        <f>+Assumption!W278</f>
        <v>75.210000000000008</v>
      </c>
      <c r="BY17" s="50">
        <f>+Assumption!X278</f>
        <v>81.75</v>
      </c>
      <c r="BZ17" s="51">
        <f>+Assumption!Y278</f>
        <v>98.1</v>
      </c>
      <c r="CA17" s="50"/>
      <c r="CB17" s="47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</row>
    <row r="18" spans="1:115" x14ac:dyDescent="0.4">
      <c r="A18" s="41"/>
      <c r="B18" s="83" t="s">
        <v>68</v>
      </c>
      <c r="C18" s="50">
        <v>2.3807042499999991</v>
      </c>
      <c r="D18" s="50">
        <v>3.1882012900000003</v>
      </c>
      <c r="E18" s="50">
        <v>7.462343259999999</v>
      </c>
      <c r="F18" s="50">
        <v>13.732330790000001</v>
      </c>
      <c r="G18" s="50">
        <v>22.669533559999998</v>
      </c>
      <c r="H18" s="50">
        <v>28.164790420000003</v>
      </c>
      <c r="I18" s="50">
        <v>25.248877989999997</v>
      </c>
      <c r="J18" s="50">
        <v>34.069813689999997</v>
      </c>
      <c r="K18" s="50">
        <v>116.58222441750002</v>
      </c>
      <c r="L18" s="50">
        <v>253.34741205</v>
      </c>
      <c r="M18" s="50">
        <v>274.58427076999999</v>
      </c>
      <c r="N18" s="50">
        <v>370.13664064</v>
      </c>
      <c r="O18" s="50">
        <v>434.16554494999997</v>
      </c>
      <c r="P18" s="50">
        <f t="shared" si="15"/>
        <v>506.80313767000001</v>
      </c>
      <c r="Q18" s="50">
        <f t="shared" si="15"/>
        <v>433.59245152</v>
      </c>
      <c r="R18" s="50">
        <f t="shared" si="15"/>
        <v>679.53645420999999</v>
      </c>
      <c r="S18" s="50">
        <f t="shared" si="15"/>
        <v>726.20984992000012</v>
      </c>
      <c r="T18" s="50">
        <f t="shared" si="13"/>
        <v>807</v>
      </c>
      <c r="U18" s="50">
        <f t="shared" si="13"/>
        <v>865</v>
      </c>
      <c r="V18" s="8"/>
      <c r="W18" s="50">
        <v>8.142623995000001</v>
      </c>
      <c r="X18" s="50">
        <v>8.4842703249999989</v>
      </c>
      <c r="Y18" s="50">
        <v>7.0883744750000002</v>
      </c>
      <c r="Z18" s="51">
        <v>4.449521625</v>
      </c>
      <c r="AA18" s="50">
        <v>5.825191717500001</v>
      </c>
      <c r="AB18" s="50">
        <v>6.5917247475000007</v>
      </c>
      <c r="AC18" s="50">
        <v>5.6519390774999998</v>
      </c>
      <c r="AD18" s="51">
        <v>7.1800224475000007</v>
      </c>
      <c r="AE18" s="50">
        <v>8.5104732199999997</v>
      </c>
      <c r="AF18" s="50">
        <v>9.9425762099999986</v>
      </c>
      <c r="AG18" s="50">
        <v>6.9774187299999983</v>
      </c>
      <c r="AH18" s="51">
        <v>8.6393455299999999</v>
      </c>
      <c r="AI18" s="50">
        <v>7.5592949600000008</v>
      </c>
      <c r="AJ18" s="50">
        <v>8.5351046699999991</v>
      </c>
      <c r="AK18" s="50">
        <v>65.359823947500004</v>
      </c>
      <c r="AL18" s="51">
        <f>K18-SUM(AI18:AK18)</f>
        <v>35.128000840000013</v>
      </c>
      <c r="AM18" s="50">
        <v>58.470631855000008</v>
      </c>
      <c r="AN18" s="50">
        <v>66.315122475000024</v>
      </c>
      <c r="AO18" s="50">
        <v>67.906137879999989</v>
      </c>
      <c r="AP18" s="51">
        <v>62.967675590000006</v>
      </c>
      <c r="AQ18" s="50">
        <v>58.167641609999997</v>
      </c>
      <c r="AR18" s="50">
        <v>60.689628859999999</v>
      </c>
      <c r="AS18" s="50">
        <v>64.81574105</v>
      </c>
      <c r="AT18" s="51">
        <v>90.911259250000001</v>
      </c>
      <c r="AU18" s="50">
        <v>72.470846650000013</v>
      </c>
      <c r="AV18" s="50">
        <v>81.432431090000009</v>
      </c>
      <c r="AW18" s="50">
        <v>97.284162590000008</v>
      </c>
      <c r="AX18" s="51">
        <v>118.94920031999999</v>
      </c>
      <c r="AY18" s="50">
        <v>93.026836239999994</v>
      </c>
      <c r="AZ18" s="50">
        <v>105.21693827</v>
      </c>
      <c r="BA18" s="50">
        <v>103.7785233</v>
      </c>
      <c r="BB18" s="51">
        <v>132.14324714</v>
      </c>
      <c r="BC18" s="50">
        <v>136.72007761</v>
      </c>
      <c r="BD18" s="50">
        <v>106.51917539</v>
      </c>
      <c r="BE18" s="50">
        <v>136.89125497999999</v>
      </c>
      <c r="BF18" s="51">
        <v>126.67262968999999</v>
      </c>
      <c r="BG18" s="50">
        <v>90.762640279999999</v>
      </c>
      <c r="BH18" s="50">
        <v>96.312496240000002</v>
      </c>
      <c r="BI18" s="50">
        <v>102.30281327</v>
      </c>
      <c r="BJ18" s="51">
        <v>144.21450172999999</v>
      </c>
      <c r="BK18" s="50">
        <v>129.26852976000001</v>
      </c>
      <c r="BL18" s="50">
        <v>177.20631039</v>
      </c>
      <c r="BM18" s="50">
        <v>165.2793805</v>
      </c>
      <c r="BN18" s="51">
        <v>207.78223356000001</v>
      </c>
      <c r="BO18" s="50">
        <v>148.38784899000001</v>
      </c>
      <c r="BP18" s="50">
        <v>142.24200093000002</v>
      </c>
      <c r="BQ18" s="50">
        <f>+Assumption!P279</f>
        <v>195.26000000000002</v>
      </c>
      <c r="BR18" s="51">
        <f>+Assumption!Q279</f>
        <v>240.32</v>
      </c>
      <c r="BS18" s="50">
        <f>+Assumption!R279</f>
        <v>177.54</v>
      </c>
      <c r="BT18" s="50">
        <f>+Assumption!S279</f>
        <v>185.61</v>
      </c>
      <c r="BU18" s="50">
        <f>+Assumption!T279</f>
        <v>201.75</v>
      </c>
      <c r="BV18" s="51">
        <f>+Assumption!U279</f>
        <v>242.1</v>
      </c>
      <c r="BW18" s="50">
        <f>+Assumption!V279</f>
        <v>190.3</v>
      </c>
      <c r="BX18" s="50">
        <f>+Assumption!W279</f>
        <v>198.95000000000002</v>
      </c>
      <c r="BY18" s="50">
        <f>+Assumption!X279</f>
        <v>216.25</v>
      </c>
      <c r="BZ18" s="51">
        <f>+Assumption!Y279</f>
        <v>259.5</v>
      </c>
      <c r="CA18" s="50"/>
      <c r="CB18" s="47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</row>
    <row r="19" spans="1:115" x14ac:dyDescent="0.4">
      <c r="A19" s="41"/>
      <c r="B19" s="83" t="s">
        <v>69</v>
      </c>
      <c r="C19" s="50">
        <v>6.4976790900000001</v>
      </c>
      <c r="D19" s="50">
        <v>7.3206228600000003</v>
      </c>
      <c r="E19" s="50">
        <v>8.3518743900000008</v>
      </c>
      <c r="F19" s="50">
        <v>8.0081238800000012</v>
      </c>
      <c r="G19" s="50">
        <v>8.6956249000000003</v>
      </c>
      <c r="H19" s="50">
        <v>7.3206228600000003</v>
      </c>
      <c r="I19" s="50">
        <v>6.4976790900000001</v>
      </c>
      <c r="J19" s="50">
        <v>6.7491872000000006</v>
      </c>
      <c r="K19" s="50">
        <f>SUM(AI19:AL19)</f>
        <v>129.3262563525</v>
      </c>
      <c r="L19" s="50">
        <v>309.47280318000003</v>
      </c>
      <c r="M19" s="50">
        <v>362.35313714999995</v>
      </c>
      <c r="N19" s="50">
        <v>506.42898150999997</v>
      </c>
      <c r="O19" s="50">
        <v>541.09930992</v>
      </c>
      <c r="P19" s="50">
        <f t="shared" si="15"/>
        <v>767.01896381000006</v>
      </c>
      <c r="Q19" s="50">
        <f t="shared" si="15"/>
        <v>739.36758239999995</v>
      </c>
      <c r="R19" s="50">
        <f t="shared" si="15"/>
        <v>1244.0268502900001</v>
      </c>
      <c r="S19" s="50">
        <f t="shared" si="15"/>
        <v>1593.5386693736596</v>
      </c>
      <c r="T19" s="50">
        <f t="shared" si="13"/>
        <v>1928.6691182668194</v>
      </c>
      <c r="U19" s="50">
        <f t="shared" si="13"/>
        <v>2291.0028729959304</v>
      </c>
      <c r="V19" s="8"/>
      <c r="W19" s="50">
        <v>1.8301557150000001</v>
      </c>
      <c r="X19" s="50">
        <v>1.8301557150000001</v>
      </c>
      <c r="Y19" s="50">
        <v>1.8301557150000001</v>
      </c>
      <c r="Z19" s="51">
        <v>1.8301557150000001</v>
      </c>
      <c r="AA19" s="50">
        <v>1.6244197725</v>
      </c>
      <c r="AB19" s="50">
        <v>1.6244197725</v>
      </c>
      <c r="AC19" s="50">
        <v>1.6244197725</v>
      </c>
      <c r="AD19" s="51">
        <v>1.6244197725</v>
      </c>
      <c r="AE19" s="50">
        <v>1.6872968000000002</v>
      </c>
      <c r="AF19" s="50">
        <v>1.6872968000000002</v>
      </c>
      <c r="AG19" s="50">
        <v>1.6872968000000002</v>
      </c>
      <c r="AH19" s="51">
        <v>1.6872968000000002</v>
      </c>
      <c r="AI19" s="50">
        <v>2</v>
      </c>
      <c r="AJ19" s="50">
        <v>2</v>
      </c>
      <c r="AK19" s="50">
        <v>32.326256352499996</v>
      </c>
      <c r="AL19" s="51">
        <v>93</v>
      </c>
      <c r="AM19" s="50">
        <v>77.368200794999993</v>
      </c>
      <c r="AN19" s="50">
        <v>77.368200794999993</v>
      </c>
      <c r="AO19" s="50">
        <v>80.220011150000005</v>
      </c>
      <c r="AP19" s="51">
        <v>72.204234689999993</v>
      </c>
      <c r="AQ19" s="50">
        <v>49.432657319999997</v>
      </c>
      <c r="AR19" s="50">
        <v>93.978854510000005</v>
      </c>
      <c r="AS19" s="50">
        <v>81.079601740000001</v>
      </c>
      <c r="AT19" s="51">
        <v>137.86202358000003</v>
      </c>
      <c r="AU19" s="50">
        <v>88.009578879999992</v>
      </c>
      <c r="AV19" s="50">
        <v>87.662413670000007</v>
      </c>
      <c r="AW19" s="50">
        <v>116.57198843</v>
      </c>
      <c r="AX19" s="51">
        <v>214.18500053</v>
      </c>
      <c r="AY19" s="50">
        <v>119.93255070999999</v>
      </c>
      <c r="AZ19" s="50">
        <v>107.65336376</v>
      </c>
      <c r="BA19" s="50">
        <v>124.6330205</v>
      </c>
      <c r="BB19" s="51">
        <v>188.88037494999998</v>
      </c>
      <c r="BC19" s="50">
        <v>154.44993828</v>
      </c>
      <c r="BD19" s="50">
        <v>194.57905375000001</v>
      </c>
      <c r="BE19" s="50">
        <v>211.55509444999998</v>
      </c>
      <c r="BF19" s="51">
        <v>206.43487733000001</v>
      </c>
      <c r="BG19" s="50">
        <v>156.38524411</v>
      </c>
      <c r="BH19" s="50">
        <v>166.11043881999998</v>
      </c>
      <c r="BI19" s="50">
        <v>148.86797912</v>
      </c>
      <c r="BJ19" s="51">
        <v>268.00392034999999</v>
      </c>
      <c r="BK19" s="50">
        <v>257.38557766000002</v>
      </c>
      <c r="BL19" s="50">
        <v>267.32642558000003</v>
      </c>
      <c r="BM19" s="50">
        <v>217.26563829</v>
      </c>
      <c r="BN19" s="51">
        <v>502.04920876</v>
      </c>
      <c r="BO19" s="50">
        <v>290.34105018999998</v>
      </c>
      <c r="BP19" s="50">
        <v>295.2759484</v>
      </c>
      <c r="BQ19" s="50">
        <f>+Assumption!P280</f>
        <v>386.92727646197358</v>
      </c>
      <c r="BR19" s="51">
        <f>+Assumption!Q280</f>
        <v>620.99439432168606</v>
      </c>
      <c r="BS19" s="50">
        <f>+Assumption!R280</f>
        <v>366.44713247069564</v>
      </c>
      <c r="BT19" s="50">
        <f>+Assumption!S280</f>
        <v>385.73382365336386</v>
      </c>
      <c r="BU19" s="50">
        <f>+Assumption!T280</f>
        <v>424.30720601870024</v>
      </c>
      <c r="BV19" s="51">
        <f>+Assumption!U280</f>
        <v>752.18095612405955</v>
      </c>
      <c r="BW19" s="50">
        <f>+Assumption!V280</f>
        <v>435.29054586922678</v>
      </c>
      <c r="BX19" s="50">
        <f>+Assumption!W280</f>
        <v>458.2005745991861</v>
      </c>
      <c r="BY19" s="50">
        <f>+Assumption!X280</f>
        <v>504.02063205910468</v>
      </c>
      <c r="BZ19" s="51">
        <f>+Assumption!Y280</f>
        <v>893.49112046841287</v>
      </c>
      <c r="CA19" s="50"/>
      <c r="CB19" s="47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</row>
    <row r="20" spans="1:115" x14ac:dyDescent="0.4">
      <c r="A20" s="84"/>
      <c r="B20" s="85" t="s">
        <v>70</v>
      </c>
      <c r="C20" s="63">
        <f t="shared" ref="C20:U20" si="17">+C12-C15</f>
        <v>33.645633520000004</v>
      </c>
      <c r="D20" s="63">
        <f t="shared" si="17"/>
        <v>49.843444409999996</v>
      </c>
      <c r="E20" s="63">
        <f t="shared" si="17"/>
        <v>61.038964570000012</v>
      </c>
      <c r="F20" s="63">
        <f t="shared" si="17"/>
        <v>30.075324669999993</v>
      </c>
      <c r="G20" s="63">
        <f t="shared" si="17"/>
        <v>1.478842560000011</v>
      </c>
      <c r="H20" s="63">
        <f t="shared" si="17"/>
        <v>-2.3655664599999895</v>
      </c>
      <c r="I20" s="63">
        <f t="shared" si="17"/>
        <v>-3.6968731499999947</v>
      </c>
      <c r="J20" s="63">
        <f t="shared" si="17"/>
        <v>-7.0421513400000109</v>
      </c>
      <c r="K20" s="86">
        <f t="shared" si="17"/>
        <v>347.19692170999997</v>
      </c>
      <c r="L20" s="63">
        <f>+L12-L15</f>
        <v>773.10928602000001</v>
      </c>
      <c r="M20" s="63">
        <f>+M12-M15</f>
        <v>581.52739187000032</v>
      </c>
      <c r="N20" s="63">
        <f>+N12-N15</f>
        <v>787.37929708999923</v>
      </c>
      <c r="O20" s="63">
        <f>+O12-O15</f>
        <v>898.6914983799993</v>
      </c>
      <c r="P20" s="63">
        <f t="shared" si="17"/>
        <v>1398.6515444199999</v>
      </c>
      <c r="Q20" s="63">
        <f t="shared" si="17"/>
        <v>2187.673427310001</v>
      </c>
      <c r="R20" s="63">
        <f t="shared" si="17"/>
        <v>5896.8533148099978</v>
      </c>
      <c r="S20" s="63">
        <f t="shared" si="17"/>
        <v>11939.815226448423</v>
      </c>
      <c r="T20" s="63">
        <f t="shared" si="17"/>
        <v>19732.913129107787</v>
      </c>
      <c r="U20" s="63">
        <f t="shared" si="17"/>
        <v>24363.19073568561</v>
      </c>
      <c r="V20" s="8"/>
      <c r="W20" s="63">
        <f t="shared" ref="W20:BZ20" si="18">W12-W15</f>
        <v>1.8704762999999982</v>
      </c>
      <c r="X20" s="63">
        <f t="shared" si="18"/>
        <v>-5.558656469999999</v>
      </c>
      <c r="Y20" s="63">
        <f t="shared" si="18"/>
        <v>-4.2921627400000002</v>
      </c>
      <c r="Z20" s="64">
        <f>Z12-Z15</f>
        <v>5.6147764500000008</v>
      </c>
      <c r="AA20" s="63">
        <f t="shared" si="18"/>
        <v>-5.2276204300000035</v>
      </c>
      <c r="AB20" s="63">
        <f t="shared" si="18"/>
        <v>-0.60109656999999928</v>
      </c>
      <c r="AC20" s="63">
        <f t="shared" si="18"/>
        <v>-1.6469390600000029</v>
      </c>
      <c r="AD20" s="64">
        <f t="shared" si="18"/>
        <v>3.7787829099999968</v>
      </c>
      <c r="AE20" s="63">
        <f t="shared" si="18"/>
        <v>-7.9507537999999984</v>
      </c>
      <c r="AF20" s="63">
        <f t="shared" si="18"/>
        <v>-0.95135669999999983</v>
      </c>
      <c r="AG20" s="63">
        <f t="shared" si="18"/>
        <v>-2.1022427799999974</v>
      </c>
      <c r="AH20" s="64">
        <f t="shared" si="18"/>
        <v>3.9622019400000017</v>
      </c>
      <c r="AI20" s="63">
        <f t="shared" si="18"/>
        <v>-6.2592814500000014</v>
      </c>
      <c r="AJ20" s="63">
        <f t="shared" si="18"/>
        <v>7.0197897200000057</v>
      </c>
      <c r="AK20" s="63">
        <f t="shared" si="18"/>
        <v>170.6990533099999</v>
      </c>
      <c r="AL20" s="64">
        <f t="shared" si="18"/>
        <v>175.73736012999993</v>
      </c>
      <c r="AM20" s="63">
        <f t="shared" si="18"/>
        <v>187.54004332000017</v>
      </c>
      <c r="AN20" s="63">
        <f t="shared" si="18"/>
        <v>210.69988042000006</v>
      </c>
      <c r="AO20" s="63">
        <f t="shared" si="18"/>
        <v>217.65133267000004</v>
      </c>
      <c r="AP20" s="64">
        <f t="shared" si="18"/>
        <v>157.21802960999997</v>
      </c>
      <c r="AQ20" s="63">
        <f t="shared" si="18"/>
        <v>123.29883688000001</v>
      </c>
      <c r="AR20" s="63">
        <f t="shared" si="18"/>
        <v>160.71940207999995</v>
      </c>
      <c r="AS20" s="63">
        <f t="shared" si="18"/>
        <v>186.65762021999984</v>
      </c>
      <c r="AT20" s="64">
        <f t="shared" si="18"/>
        <v>110.8515326899998</v>
      </c>
      <c r="AU20" s="63">
        <f t="shared" si="18"/>
        <v>153.11970232000007</v>
      </c>
      <c r="AV20" s="63">
        <f>AV12-AV15</f>
        <v>300.67376618000003</v>
      </c>
      <c r="AW20" s="63">
        <f t="shared" si="18"/>
        <v>215.25187566</v>
      </c>
      <c r="AX20" s="64">
        <f>AX12-AX15</f>
        <v>118.33395290999999</v>
      </c>
      <c r="AY20" s="63">
        <f>AY12-AY15</f>
        <v>136.38037719000005</v>
      </c>
      <c r="AZ20" s="63">
        <f>AZ12-AZ15</f>
        <v>203.4193470199998</v>
      </c>
      <c r="BA20" s="63">
        <f>BA12-BA15</f>
        <v>249.21910543999979</v>
      </c>
      <c r="BB20" s="64">
        <f t="shared" si="18"/>
        <v>309.67266873000017</v>
      </c>
      <c r="BC20" s="63">
        <f t="shared" si="18"/>
        <v>233.27582937999989</v>
      </c>
      <c r="BD20" s="63">
        <f t="shared" si="18"/>
        <v>256.79403828999983</v>
      </c>
      <c r="BE20" s="63">
        <f t="shared" si="18"/>
        <v>399.02060362000009</v>
      </c>
      <c r="BF20" s="64">
        <f t="shared" si="18"/>
        <v>509.56107313000018</v>
      </c>
      <c r="BG20" s="63">
        <f t="shared" si="18"/>
        <v>268.99721673000016</v>
      </c>
      <c r="BH20" s="63">
        <f t="shared" si="18"/>
        <v>385.29915403000047</v>
      </c>
      <c r="BI20" s="63">
        <f t="shared" si="18"/>
        <v>720.1447036200002</v>
      </c>
      <c r="BJ20" s="64">
        <f t="shared" si="18"/>
        <v>813.23235292999971</v>
      </c>
      <c r="BK20" s="63">
        <f t="shared" si="18"/>
        <v>1119.3720181599995</v>
      </c>
      <c r="BL20" s="63">
        <f t="shared" si="18"/>
        <v>1516.5013571800005</v>
      </c>
      <c r="BM20" s="63">
        <f t="shared" si="18"/>
        <v>1751.1737204899996</v>
      </c>
      <c r="BN20" s="64">
        <f t="shared" si="18"/>
        <v>1509.8062189800003</v>
      </c>
      <c r="BO20" s="63">
        <f t="shared" si="18"/>
        <v>1950.0337138899993</v>
      </c>
      <c r="BP20" s="63">
        <f t="shared" si="18"/>
        <v>2843.78188396</v>
      </c>
      <c r="BQ20" s="63">
        <f t="shared" si="18"/>
        <v>3426.2989881418148</v>
      </c>
      <c r="BR20" s="64">
        <f t="shared" si="18"/>
        <v>3719.70064045661</v>
      </c>
      <c r="BS20" s="63">
        <f t="shared" si="18"/>
        <v>4170.2298723378963</v>
      </c>
      <c r="BT20" s="63">
        <f t="shared" si="18"/>
        <v>4709.6657524698421</v>
      </c>
      <c r="BU20" s="63">
        <f t="shared" si="18"/>
        <v>5321.1672038044126</v>
      </c>
      <c r="BV20" s="64">
        <f t="shared" si="18"/>
        <v>5531.8503004956392</v>
      </c>
      <c r="BW20" s="63">
        <f t="shared" si="18"/>
        <v>5258.7485259783025</v>
      </c>
      <c r="BX20" s="63">
        <f t="shared" si="18"/>
        <v>6031.9693992333141</v>
      </c>
      <c r="BY20" s="63">
        <f t="shared" si="18"/>
        <v>6549.9801413205414</v>
      </c>
      <c r="BZ20" s="64">
        <f t="shared" si="18"/>
        <v>6522.4926691534529</v>
      </c>
      <c r="CA20" s="42"/>
      <c r="CB20" s="42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</row>
    <row r="21" spans="1:115" x14ac:dyDescent="0.4">
      <c r="A21" s="69"/>
      <c r="B21" s="88"/>
      <c r="C21" s="89"/>
      <c r="D21" s="89"/>
      <c r="E21" s="89"/>
      <c r="F21" s="89"/>
      <c r="G21" s="89"/>
      <c r="H21" s="89"/>
      <c r="I21" s="90"/>
      <c r="J21" s="90"/>
      <c r="K21" s="90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8"/>
      <c r="W21" s="89"/>
      <c r="X21" s="89"/>
      <c r="Y21" s="89"/>
      <c r="Z21" s="92"/>
      <c r="AA21" s="89"/>
      <c r="AB21" s="89"/>
      <c r="AC21" s="89"/>
      <c r="AD21" s="92"/>
      <c r="AE21" s="89"/>
      <c r="AF21" s="89"/>
      <c r="AG21" s="89"/>
      <c r="AH21" s="92"/>
      <c r="AI21" s="89"/>
      <c r="AJ21" s="89"/>
      <c r="AK21" s="89"/>
      <c r="AL21" s="92"/>
      <c r="AM21" s="89"/>
      <c r="AN21" s="89"/>
      <c r="AO21" s="89"/>
      <c r="AP21" s="92"/>
      <c r="AQ21" s="89"/>
      <c r="AR21" s="89"/>
      <c r="AS21" s="89"/>
      <c r="AT21" s="92"/>
      <c r="AU21" s="89"/>
      <c r="AV21" s="89"/>
      <c r="AW21" s="89"/>
      <c r="AX21" s="92"/>
      <c r="AY21" s="89"/>
      <c r="AZ21" s="89"/>
      <c r="BA21" s="89"/>
      <c r="BB21" s="92"/>
      <c r="BC21" s="89"/>
      <c r="BD21" s="89"/>
      <c r="BE21" s="89"/>
      <c r="BF21" s="92"/>
      <c r="BG21" s="89"/>
      <c r="BH21" s="89"/>
      <c r="BI21" s="89"/>
      <c r="BJ21" s="92"/>
      <c r="BK21" s="89"/>
      <c r="BL21" s="89"/>
      <c r="BM21" s="89"/>
      <c r="BN21" s="92"/>
      <c r="BO21" s="89"/>
      <c r="BP21" s="89"/>
      <c r="BQ21" s="89"/>
      <c r="BR21" s="92"/>
      <c r="BS21" s="89"/>
      <c r="BT21" s="89"/>
      <c r="BU21" s="89"/>
      <c r="BV21" s="92"/>
      <c r="BW21" s="89"/>
      <c r="BX21" s="89"/>
      <c r="BY21" s="89"/>
      <c r="BZ21" s="92"/>
      <c r="CA21" s="89"/>
      <c r="CB21" s="89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</row>
    <row r="22" spans="1:115" x14ac:dyDescent="0.4">
      <c r="A22" s="69"/>
      <c r="B22" s="93" t="s">
        <v>71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94"/>
      <c r="O22" s="94"/>
      <c r="P22" s="94"/>
      <c r="Q22" s="94"/>
      <c r="R22" s="94"/>
      <c r="S22" s="94"/>
      <c r="T22" s="94"/>
      <c r="U22" s="94"/>
      <c r="V22" s="8"/>
      <c r="W22" s="42"/>
      <c r="X22" s="42"/>
      <c r="Y22" s="42"/>
      <c r="Z22" s="44"/>
      <c r="AA22" s="42"/>
      <c r="AB22" s="42"/>
      <c r="AC22" s="42"/>
      <c r="AD22" s="44"/>
      <c r="AE22" s="42"/>
      <c r="AF22" s="42"/>
      <c r="AG22" s="42"/>
      <c r="AH22" s="44"/>
      <c r="AI22" s="42"/>
      <c r="AJ22" s="42"/>
      <c r="AK22" s="42"/>
      <c r="AL22" s="44"/>
      <c r="AM22" s="42"/>
      <c r="AN22" s="42"/>
      <c r="AO22" s="42"/>
      <c r="AP22" s="44"/>
      <c r="AQ22" s="42"/>
      <c r="AR22" s="42"/>
      <c r="AS22" s="42"/>
      <c r="AT22" s="44"/>
      <c r="AU22" s="42"/>
      <c r="AV22" s="42"/>
      <c r="AW22" s="42"/>
      <c r="AX22" s="44"/>
      <c r="AY22" s="42"/>
      <c r="AZ22" s="42"/>
      <c r="BA22" s="42"/>
      <c r="BB22" s="44"/>
      <c r="BC22" s="42"/>
      <c r="BD22" s="42"/>
      <c r="BE22" s="42"/>
      <c r="BF22" s="44"/>
      <c r="BG22" s="42"/>
      <c r="BH22" s="42"/>
      <c r="BI22" s="42"/>
      <c r="BJ22" s="44"/>
      <c r="BK22" s="42"/>
      <c r="BL22" s="42"/>
      <c r="BM22" s="42"/>
      <c r="BN22" s="44"/>
      <c r="BO22" s="42"/>
      <c r="BP22" s="42"/>
      <c r="BQ22" s="42"/>
      <c r="BR22" s="44"/>
      <c r="BS22" s="42"/>
      <c r="BT22" s="42"/>
      <c r="BU22" s="42"/>
      <c r="BV22" s="44"/>
      <c r="BW22" s="42"/>
      <c r="BX22" s="42"/>
      <c r="BY22" s="42"/>
      <c r="BZ22" s="44"/>
      <c r="CA22" s="42"/>
      <c r="CB22" s="42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</row>
    <row r="23" spans="1:115" x14ac:dyDescent="0.4">
      <c r="A23" s="41"/>
      <c r="B23" s="50" t="s">
        <v>72</v>
      </c>
      <c r="C23" s="50">
        <f>C24+C25</f>
        <v>0.43140000000000001</v>
      </c>
      <c r="D23" s="50">
        <f t="shared" ref="D23:U23" si="19">D24+D25</f>
        <v>0.80520000000000003</v>
      </c>
      <c r="E23" s="50">
        <f t="shared" si="19"/>
        <v>0.90568252000000005</v>
      </c>
      <c r="F23" s="50">
        <f t="shared" si="19"/>
        <v>7.5852687699999999</v>
      </c>
      <c r="G23" s="50">
        <f t="shared" si="19"/>
        <v>12.76234869</v>
      </c>
      <c r="H23" s="50">
        <f t="shared" si="19"/>
        <v>11.705659519999999</v>
      </c>
      <c r="I23" s="50">
        <f t="shared" si="19"/>
        <v>6.90467092</v>
      </c>
      <c r="J23" s="50">
        <f t="shared" si="19"/>
        <v>6.0126569299999995</v>
      </c>
      <c r="K23" s="50">
        <f t="shared" si="19"/>
        <v>3.83272689</v>
      </c>
      <c r="L23" s="50">
        <f>L24+L25</f>
        <v>-44.504940669999996</v>
      </c>
      <c r="M23" s="50">
        <f>M24+M25</f>
        <v>-32.031555990000001</v>
      </c>
      <c r="N23" s="50">
        <f>N24+N25</f>
        <v>-52.0022977</v>
      </c>
      <c r="O23" s="50">
        <f t="shared" si="19"/>
        <v>-67.265121270000009</v>
      </c>
      <c r="P23" s="50">
        <f t="shared" si="19"/>
        <v>-25.789399430000003</v>
      </c>
      <c r="Q23" s="50">
        <f t="shared" si="19"/>
        <v>50.602283180000001</v>
      </c>
      <c r="R23" s="50">
        <f t="shared" si="19"/>
        <v>54.477314919999991</v>
      </c>
      <c r="S23" s="50">
        <f t="shared" si="19"/>
        <v>116.79783323000001</v>
      </c>
      <c r="T23" s="50">
        <f t="shared" si="19"/>
        <v>80</v>
      </c>
      <c r="U23" s="50">
        <f t="shared" si="19"/>
        <v>80</v>
      </c>
      <c r="V23" s="50"/>
      <c r="W23" s="50">
        <f>W24+W25</f>
        <v>3.0064433050000003</v>
      </c>
      <c r="X23" s="50">
        <f t="shared" ref="X23:BZ23" si="20">X24+X25</f>
        <v>3.0064433050000003</v>
      </c>
      <c r="Y23" s="50">
        <f t="shared" si="20"/>
        <v>2.8463864549999998</v>
      </c>
      <c r="Z23" s="51">
        <f t="shared" si="20"/>
        <v>2.8463864549999998</v>
      </c>
      <c r="AA23" s="50">
        <f t="shared" si="20"/>
        <v>2.8703946600000001</v>
      </c>
      <c r="AB23" s="50">
        <f t="shared" si="20"/>
        <v>2.8703946600000001</v>
      </c>
      <c r="AC23" s="50">
        <f t="shared" si="20"/>
        <v>0.58194079999999981</v>
      </c>
      <c r="AD23" s="51">
        <f t="shared" si="20"/>
        <v>0.58194079999999981</v>
      </c>
      <c r="AE23" s="50">
        <f t="shared" si="20"/>
        <v>0.40029653000000004</v>
      </c>
      <c r="AF23" s="50">
        <f t="shared" si="20"/>
        <v>0.40029653000000004</v>
      </c>
      <c r="AG23" s="50">
        <f t="shared" si="20"/>
        <v>2.6060319349999994</v>
      </c>
      <c r="AH23" s="51">
        <f t="shared" si="20"/>
        <v>2.6060319349999994</v>
      </c>
      <c r="AI23" s="50">
        <f t="shared" si="20"/>
        <v>9.8226634999999993E-2</v>
      </c>
      <c r="AJ23" s="50">
        <f t="shared" si="20"/>
        <v>9.8226634999999993E-2</v>
      </c>
      <c r="AK23" s="50">
        <f t="shared" si="20"/>
        <v>1.8181368100000002</v>
      </c>
      <c r="AL23" s="51">
        <f t="shared" si="20"/>
        <v>1.8181368100000002</v>
      </c>
      <c r="AM23" s="50">
        <f t="shared" si="20"/>
        <v>1.2000017549999999</v>
      </c>
      <c r="AN23" s="50">
        <f t="shared" si="20"/>
        <v>1.2000017549999999</v>
      </c>
      <c r="AO23" s="50">
        <f t="shared" si="20"/>
        <v>-11.13174865</v>
      </c>
      <c r="AP23" s="51">
        <f t="shared" si="20"/>
        <v>-9.0494041999999997</v>
      </c>
      <c r="AQ23" s="50">
        <f t="shared" si="20"/>
        <v>-12.663829290000001</v>
      </c>
      <c r="AR23" s="50">
        <f t="shared" si="20"/>
        <v>-0.68355486000000099</v>
      </c>
      <c r="AS23" s="50">
        <f t="shared" si="20"/>
        <v>-7.9650334599999981</v>
      </c>
      <c r="AT23" s="51">
        <f t="shared" si="20"/>
        <v>-10.719138379999999</v>
      </c>
      <c r="AU23" s="50">
        <f t="shared" si="20"/>
        <v>-10.450522500000002</v>
      </c>
      <c r="AV23" s="50">
        <f>AV24+AV25</f>
        <v>-21.270221279999998</v>
      </c>
      <c r="AW23" s="50">
        <f t="shared" si="20"/>
        <v>-11.16611365</v>
      </c>
      <c r="AX23" s="51">
        <f>AX24+AX25</f>
        <v>-9.1154402700000006</v>
      </c>
      <c r="AY23" s="50">
        <f>AY24+AY25</f>
        <v>-14.025872829999999</v>
      </c>
      <c r="AZ23" s="50">
        <f>AZ24+AZ25</f>
        <v>-16.591402069999997</v>
      </c>
      <c r="BA23" s="50">
        <f>BA24+BA25</f>
        <v>-22.128600360000004</v>
      </c>
      <c r="BB23" s="51">
        <f t="shared" si="20"/>
        <v>-14.51924601</v>
      </c>
      <c r="BC23" s="50">
        <f t="shared" si="20"/>
        <v>-9.579417369999998</v>
      </c>
      <c r="BD23" s="50">
        <f t="shared" si="20"/>
        <v>-7.3265996599999994</v>
      </c>
      <c r="BE23" s="50">
        <f t="shared" si="20"/>
        <v>-6.3450942600000015</v>
      </c>
      <c r="BF23" s="51">
        <f t="shared" si="20"/>
        <v>-2.5382881400000006</v>
      </c>
      <c r="BG23" s="50">
        <f t="shared" si="20"/>
        <v>-0.1247873300000002</v>
      </c>
      <c r="BH23" s="50">
        <f t="shared" si="20"/>
        <v>8.225063089999999</v>
      </c>
      <c r="BI23" s="50">
        <f t="shared" si="20"/>
        <v>13.784387279999997</v>
      </c>
      <c r="BJ23" s="51">
        <f t="shared" si="20"/>
        <v>28.717620140000001</v>
      </c>
      <c r="BK23" s="50">
        <f t="shared" si="20"/>
        <v>11.013937519999999</v>
      </c>
      <c r="BL23" s="50">
        <f t="shared" si="20"/>
        <v>7.6493757999999996</v>
      </c>
      <c r="BM23" s="50">
        <f t="shared" si="20"/>
        <v>9.4876460999999956</v>
      </c>
      <c r="BN23" s="51">
        <f t="shared" si="20"/>
        <v>26.326355499999998</v>
      </c>
      <c r="BO23" s="50">
        <f t="shared" si="20"/>
        <v>24.962532560000003</v>
      </c>
      <c r="BP23" s="50">
        <f t="shared" si="20"/>
        <v>51.835300670000002</v>
      </c>
      <c r="BQ23" s="50">
        <f t="shared" si="20"/>
        <v>20</v>
      </c>
      <c r="BR23" s="51">
        <f t="shared" si="20"/>
        <v>20</v>
      </c>
      <c r="BS23" s="50">
        <f t="shared" si="20"/>
        <v>20</v>
      </c>
      <c r="BT23" s="50">
        <f t="shared" si="20"/>
        <v>20</v>
      </c>
      <c r="BU23" s="50">
        <f t="shared" si="20"/>
        <v>20</v>
      </c>
      <c r="BV23" s="51">
        <f t="shared" si="20"/>
        <v>20</v>
      </c>
      <c r="BW23" s="50">
        <f t="shared" si="20"/>
        <v>20</v>
      </c>
      <c r="BX23" s="50">
        <f t="shared" si="20"/>
        <v>20</v>
      </c>
      <c r="BY23" s="50">
        <f t="shared" si="20"/>
        <v>20</v>
      </c>
      <c r="BZ23" s="51">
        <f t="shared" si="20"/>
        <v>20</v>
      </c>
      <c r="CA23" s="50"/>
      <c r="CB23" s="4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50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0"/>
      <c r="DH23" s="50"/>
      <c r="DI23" s="50"/>
      <c r="DJ23" s="50"/>
      <c r="DK23" s="50"/>
    </row>
    <row r="24" spans="1:115" x14ac:dyDescent="0.4">
      <c r="A24" s="41"/>
      <c r="B24" s="53" t="s">
        <v>73</v>
      </c>
      <c r="C24" s="50">
        <v>0.43140000000000001</v>
      </c>
      <c r="D24" s="50">
        <v>0.80520000000000003</v>
      </c>
      <c r="E24" s="50">
        <v>0.90568252000000005</v>
      </c>
      <c r="F24" s="50">
        <v>7.5852687699999999</v>
      </c>
      <c r="G24" s="50">
        <v>12.76234869</v>
      </c>
      <c r="H24" s="50">
        <v>11.705659519999999</v>
      </c>
      <c r="I24" s="50">
        <v>6.90467092</v>
      </c>
      <c r="J24" s="50">
        <v>6.0126569299999995</v>
      </c>
      <c r="K24" s="50">
        <v>3.83272689</v>
      </c>
      <c r="L24" s="50">
        <v>5.7473989400000001</v>
      </c>
      <c r="M24" s="50">
        <v>18.132316299999999</v>
      </c>
      <c r="N24" s="50">
        <v>9.80384587</v>
      </c>
      <c r="O24" s="50">
        <v>15.721944499999999</v>
      </c>
      <c r="P24" s="50">
        <f t="shared" ref="P24:S31" si="21">SUMIF($W$3:$BR$3,P$4,$W24:$BR24)</f>
        <v>37.571587989999998</v>
      </c>
      <c r="Q24" s="50">
        <f t="shared" si="21"/>
        <v>104.62682103</v>
      </c>
      <c r="R24" s="50">
        <f t="shared" si="21"/>
        <v>108.03043289</v>
      </c>
      <c r="S24" s="50">
        <f t="shared" si="21"/>
        <v>190.55613468000001</v>
      </c>
      <c r="T24" s="50">
        <f t="shared" ref="T24:U31" si="22">SUMIF($W$3:$BZ$3,T$4,$W24:$BZ24)</f>
        <v>160</v>
      </c>
      <c r="U24" s="50">
        <f t="shared" si="22"/>
        <v>160</v>
      </c>
      <c r="V24" s="50"/>
      <c r="W24" s="50">
        <v>3.0064433050000003</v>
      </c>
      <c r="X24" s="50">
        <v>3.0064433050000003</v>
      </c>
      <c r="Y24" s="50">
        <v>2.8463864549999998</v>
      </c>
      <c r="Z24" s="51">
        <v>2.8463864549999998</v>
      </c>
      <c r="AA24" s="50">
        <v>2.8703946600000001</v>
      </c>
      <c r="AB24" s="50">
        <v>2.8703946600000001</v>
      </c>
      <c r="AC24" s="50">
        <v>0.58194079999999981</v>
      </c>
      <c r="AD24" s="51">
        <v>0.58194079999999981</v>
      </c>
      <c r="AE24" s="50">
        <v>0.40029653000000004</v>
      </c>
      <c r="AF24" s="50">
        <v>0.40029653000000004</v>
      </c>
      <c r="AG24" s="50">
        <v>2.6060319349999994</v>
      </c>
      <c r="AH24" s="51">
        <v>2.6060319349999994</v>
      </c>
      <c r="AI24" s="50">
        <v>9.8226634999999993E-2</v>
      </c>
      <c r="AJ24" s="50">
        <v>9.8226634999999993E-2</v>
      </c>
      <c r="AK24" s="50">
        <v>1.8181368100000002</v>
      </c>
      <c r="AL24" s="51">
        <v>1.8181368100000002</v>
      </c>
      <c r="AM24" s="50">
        <v>1.2000017549999999</v>
      </c>
      <c r="AN24" s="50">
        <v>1.2000017549999999</v>
      </c>
      <c r="AO24" s="50">
        <v>3.45960256</v>
      </c>
      <c r="AP24" s="51">
        <v>0</v>
      </c>
      <c r="AQ24" s="50">
        <v>2.8260327099999998</v>
      </c>
      <c r="AR24" s="50">
        <v>8.0180393599999995</v>
      </c>
      <c r="AS24" s="50">
        <v>5.1867574900000006</v>
      </c>
      <c r="AT24" s="51">
        <v>2.1014867400000004</v>
      </c>
      <c r="AU24" s="50">
        <v>1.4523238300000001</v>
      </c>
      <c r="AV24" s="50">
        <v>3.54425897</v>
      </c>
      <c r="AW24" s="50">
        <v>2.1558404800000002</v>
      </c>
      <c r="AX24" s="51">
        <v>2.6514225899999997</v>
      </c>
      <c r="AY24" s="50">
        <v>3.03670617</v>
      </c>
      <c r="AZ24" s="50">
        <v>2.2257640400000001</v>
      </c>
      <c r="BA24" s="50">
        <v>2.15724706</v>
      </c>
      <c r="BB24" s="51">
        <v>8.3022272299999997</v>
      </c>
      <c r="BC24" s="50">
        <v>6.2698819100000005</v>
      </c>
      <c r="BD24" s="50">
        <v>7.3917768800000001</v>
      </c>
      <c r="BE24" s="50">
        <v>10.946837619999998</v>
      </c>
      <c r="BF24" s="51">
        <v>12.96309158</v>
      </c>
      <c r="BG24" s="50">
        <v>15.11408348</v>
      </c>
      <c r="BH24" s="50">
        <v>30.854243480000001</v>
      </c>
      <c r="BI24" s="50">
        <v>29.940873929999999</v>
      </c>
      <c r="BJ24" s="51">
        <v>28.717620140000001</v>
      </c>
      <c r="BK24" s="50">
        <v>24.634074949999999</v>
      </c>
      <c r="BL24" s="50">
        <v>17.3533905</v>
      </c>
      <c r="BM24" s="50">
        <v>37.966749649999997</v>
      </c>
      <c r="BN24" s="51">
        <v>28.076217789999998</v>
      </c>
      <c r="BO24" s="50">
        <v>41.677725340000002</v>
      </c>
      <c r="BP24" s="50">
        <v>68.878409340000005</v>
      </c>
      <c r="BQ24" s="96">
        <v>40</v>
      </c>
      <c r="BR24" s="97">
        <v>40</v>
      </c>
      <c r="BS24" s="96">
        <v>40</v>
      </c>
      <c r="BT24" s="96">
        <v>40</v>
      </c>
      <c r="BU24" s="96">
        <v>40</v>
      </c>
      <c r="BV24" s="97">
        <v>40</v>
      </c>
      <c r="BW24" s="96">
        <v>40</v>
      </c>
      <c r="BX24" s="96">
        <v>40</v>
      </c>
      <c r="BY24" s="96">
        <v>40</v>
      </c>
      <c r="BZ24" s="97">
        <v>40</v>
      </c>
      <c r="CA24" s="55"/>
      <c r="CB24" s="4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50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</row>
    <row r="25" spans="1:115" x14ac:dyDescent="0.4">
      <c r="A25" s="41"/>
      <c r="B25" s="53" t="s">
        <v>74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-50.25233961</v>
      </c>
      <c r="M25" s="50">
        <v>-50.16387229</v>
      </c>
      <c r="N25" s="50">
        <v>-61.806143570000003</v>
      </c>
      <c r="O25" s="50">
        <v>-82.987065770000001</v>
      </c>
      <c r="P25" s="50">
        <f t="shared" si="21"/>
        <v>-63.360987420000001</v>
      </c>
      <c r="Q25" s="50">
        <f t="shared" si="21"/>
        <v>-54.024537850000002</v>
      </c>
      <c r="R25" s="50">
        <f t="shared" si="21"/>
        <v>-53.55311797000001</v>
      </c>
      <c r="S25" s="50">
        <f t="shared" si="21"/>
        <v>-73.758301450000005</v>
      </c>
      <c r="T25" s="50">
        <f t="shared" si="22"/>
        <v>-80</v>
      </c>
      <c r="U25" s="50">
        <f t="shared" si="22"/>
        <v>-80</v>
      </c>
      <c r="V25" s="50"/>
      <c r="W25" s="50">
        <v>0</v>
      </c>
      <c r="X25" s="50">
        <v>0</v>
      </c>
      <c r="Y25" s="50">
        <v>0</v>
      </c>
      <c r="Z25" s="51">
        <v>0</v>
      </c>
      <c r="AA25" s="50">
        <v>0</v>
      </c>
      <c r="AB25" s="50">
        <v>0</v>
      </c>
      <c r="AC25" s="50">
        <v>0</v>
      </c>
      <c r="AD25" s="51">
        <v>0</v>
      </c>
      <c r="AE25" s="50">
        <v>0</v>
      </c>
      <c r="AF25" s="50">
        <v>0</v>
      </c>
      <c r="AG25" s="50">
        <v>0</v>
      </c>
      <c r="AH25" s="51">
        <v>0</v>
      </c>
      <c r="AI25" s="50">
        <v>0</v>
      </c>
      <c r="AJ25" s="50">
        <v>0</v>
      </c>
      <c r="AK25" s="50">
        <v>0</v>
      </c>
      <c r="AL25" s="51">
        <v>0</v>
      </c>
      <c r="AM25" s="50">
        <v>0</v>
      </c>
      <c r="AN25" s="50">
        <v>0</v>
      </c>
      <c r="AO25" s="50">
        <v>-14.591351210000001</v>
      </c>
      <c r="AP25" s="51">
        <v>-9.0494041999999997</v>
      </c>
      <c r="AQ25" s="50">
        <v>-15.489862</v>
      </c>
      <c r="AR25" s="50">
        <v>-8.7015942200000005</v>
      </c>
      <c r="AS25" s="50">
        <v>-13.151790949999999</v>
      </c>
      <c r="AT25" s="51">
        <v>-12.820625119999999</v>
      </c>
      <c r="AU25" s="50">
        <v>-11.902846330000001</v>
      </c>
      <c r="AV25" s="50">
        <v>-24.814480249999999</v>
      </c>
      <c r="AW25" s="50">
        <v>-13.32195413</v>
      </c>
      <c r="AX25" s="51">
        <v>-11.76686286</v>
      </c>
      <c r="AY25" s="50">
        <v>-17.062578999999999</v>
      </c>
      <c r="AZ25" s="50">
        <v>-18.817166109999999</v>
      </c>
      <c r="BA25" s="50">
        <v>-24.285847420000003</v>
      </c>
      <c r="BB25" s="51">
        <v>-22.82147324</v>
      </c>
      <c r="BC25" s="50">
        <v>-15.849299279999999</v>
      </c>
      <c r="BD25" s="50">
        <v>-14.71837654</v>
      </c>
      <c r="BE25" s="50">
        <v>-17.29193188</v>
      </c>
      <c r="BF25" s="51">
        <v>-15.501379720000001</v>
      </c>
      <c r="BG25" s="50">
        <v>-15.23887081</v>
      </c>
      <c r="BH25" s="50">
        <v>-22.629180390000002</v>
      </c>
      <c r="BI25" s="50">
        <v>-16.156486650000002</v>
      </c>
      <c r="BJ25" s="51">
        <v>0</v>
      </c>
      <c r="BK25" s="50">
        <v>-13.62013743</v>
      </c>
      <c r="BL25" s="50">
        <v>-9.7040147000000001</v>
      </c>
      <c r="BM25" s="50">
        <v>-28.479103550000001</v>
      </c>
      <c r="BN25" s="51">
        <v>-1.74986229</v>
      </c>
      <c r="BO25" s="50">
        <v>-16.715192779999999</v>
      </c>
      <c r="BP25" s="50">
        <v>-17.043108670000002</v>
      </c>
      <c r="BQ25" s="96">
        <v>-20</v>
      </c>
      <c r="BR25" s="97">
        <v>-20</v>
      </c>
      <c r="BS25" s="96">
        <v>-20</v>
      </c>
      <c r="BT25" s="96">
        <v>-20</v>
      </c>
      <c r="BU25" s="96">
        <v>-20</v>
      </c>
      <c r="BV25" s="97">
        <v>-20</v>
      </c>
      <c r="BW25" s="96">
        <v>-20</v>
      </c>
      <c r="BX25" s="96">
        <v>-20</v>
      </c>
      <c r="BY25" s="96">
        <v>-20</v>
      </c>
      <c r="BZ25" s="97">
        <v>-20</v>
      </c>
      <c r="CA25" s="55"/>
      <c r="CB25" s="4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50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</row>
    <row r="26" spans="1:115" x14ac:dyDescent="0.4">
      <c r="A26" s="41"/>
      <c r="B26" s="98" t="s">
        <v>75</v>
      </c>
      <c r="C26" s="50">
        <v>1.56761499</v>
      </c>
      <c r="D26" s="50">
        <v>-0.39454544000000003</v>
      </c>
      <c r="E26" s="50">
        <v>-0.75063602000000007</v>
      </c>
      <c r="F26" s="50">
        <v>-2.4282996200000002</v>
      </c>
      <c r="G26" s="50">
        <v>-2.3239709100000003</v>
      </c>
      <c r="H26" s="50">
        <v>-1.89067662</v>
      </c>
      <c r="I26" s="50">
        <v>-0.27153873000000001</v>
      </c>
      <c r="J26" s="50">
        <v>0.13126878</v>
      </c>
      <c r="K26" s="50">
        <v>-20.289499800000002</v>
      </c>
      <c r="L26" s="50">
        <v>-66.017827310000001</v>
      </c>
      <c r="M26" s="50">
        <v>141.65826906000001</v>
      </c>
      <c r="N26" s="50">
        <v>-65.371898430000002</v>
      </c>
      <c r="O26" s="50">
        <v>-82.716343599999988</v>
      </c>
      <c r="P26" s="50">
        <f t="shared" si="21"/>
        <v>-339.97956063999999</v>
      </c>
      <c r="Q26" s="50">
        <f t="shared" si="21"/>
        <v>-149.12988677000001</v>
      </c>
      <c r="R26" s="50">
        <f t="shared" si="21"/>
        <v>-78.58036645</v>
      </c>
      <c r="S26" s="50">
        <f t="shared" si="21"/>
        <v>-136.97261183000001</v>
      </c>
      <c r="T26" s="50">
        <f t="shared" si="22"/>
        <v>-80</v>
      </c>
      <c r="U26" s="50">
        <f t="shared" si="22"/>
        <v>-80</v>
      </c>
      <c r="V26" s="50"/>
      <c r="W26" s="50">
        <v>0</v>
      </c>
      <c r="X26" s="50">
        <v>-0.71721864000000002</v>
      </c>
      <c r="Y26" s="50">
        <v>-0.29604331</v>
      </c>
      <c r="Z26" s="51">
        <v>-1.17345798</v>
      </c>
      <c r="AA26" s="50">
        <v>0</v>
      </c>
      <c r="AB26" s="50">
        <v>0.93464079</v>
      </c>
      <c r="AC26" s="50">
        <v>0</v>
      </c>
      <c r="AD26" s="51">
        <v>-1.2061795200000001</v>
      </c>
      <c r="AE26" s="50">
        <v>0</v>
      </c>
      <c r="AF26" s="50">
        <v>0.47531946000000003</v>
      </c>
      <c r="AG26" s="50">
        <v>0.44487623999999998</v>
      </c>
      <c r="AH26" s="51">
        <v>-0.78892692000000009</v>
      </c>
      <c r="AI26" s="50">
        <v>0</v>
      </c>
      <c r="AJ26" s="50">
        <v>-0.78888753</v>
      </c>
      <c r="AK26" s="50">
        <v>-8.8288289399999993</v>
      </c>
      <c r="AL26" s="51">
        <v>-10.67178333</v>
      </c>
      <c r="AM26" s="50">
        <v>0.92495291000000002</v>
      </c>
      <c r="AN26" s="50">
        <v>-2.27346695</v>
      </c>
      <c r="AO26" s="50">
        <v>-20.462010629999998</v>
      </c>
      <c r="AP26" s="51">
        <v>-44.207302640000002</v>
      </c>
      <c r="AQ26" s="50">
        <v>4.5811823</v>
      </c>
      <c r="AR26" s="50">
        <v>-4.0036553000000001</v>
      </c>
      <c r="AS26" s="50">
        <v>67.451296110000001</v>
      </c>
      <c r="AT26" s="51">
        <v>23.15606876</v>
      </c>
      <c r="AU26" s="50">
        <v>0</v>
      </c>
      <c r="AV26" s="50">
        <v>-28.980090960000002</v>
      </c>
      <c r="AW26" s="50">
        <v>-4.0616549199999996</v>
      </c>
      <c r="AX26" s="51">
        <v>-32.093174079999997</v>
      </c>
      <c r="AY26" s="50">
        <v>-0.75715220999999999</v>
      </c>
      <c r="AZ26" s="50">
        <v>-1.5925965800000002</v>
      </c>
      <c r="BA26" s="50">
        <v>-3.0793511699999998</v>
      </c>
      <c r="BB26" s="51">
        <v>-77.28724364</v>
      </c>
      <c r="BC26" s="50">
        <v>-2.0350263799999997</v>
      </c>
      <c r="BD26" s="50">
        <v>-23.482998649999999</v>
      </c>
      <c r="BE26" s="50">
        <v>-31.275358799999999</v>
      </c>
      <c r="BF26" s="51">
        <v>-283.18617681000001</v>
      </c>
      <c r="BG26" s="50">
        <v>-3.9609046800000001</v>
      </c>
      <c r="BH26" s="50">
        <v>-28.576053309999999</v>
      </c>
      <c r="BI26" s="50">
        <v>-0.94620837999999996</v>
      </c>
      <c r="BJ26" s="51">
        <v>-115.64672040000001</v>
      </c>
      <c r="BK26" s="50">
        <v>-1.7705969500000001</v>
      </c>
      <c r="BL26" s="50">
        <v>-2.68483955</v>
      </c>
      <c r="BM26" s="50">
        <v>-13.653038130000001</v>
      </c>
      <c r="BN26" s="51">
        <v>-60.471891820000003</v>
      </c>
      <c r="BO26" s="50">
        <v>-26.711330829999998</v>
      </c>
      <c r="BP26" s="50">
        <v>-25.261281</v>
      </c>
      <c r="BQ26" s="96">
        <v>-35</v>
      </c>
      <c r="BR26" s="97">
        <v>-50</v>
      </c>
      <c r="BS26" s="96">
        <v>-10</v>
      </c>
      <c r="BT26" s="96">
        <v>-10</v>
      </c>
      <c r="BU26" s="96">
        <v>-10</v>
      </c>
      <c r="BV26" s="97">
        <v>-50</v>
      </c>
      <c r="BW26" s="96">
        <v>-10</v>
      </c>
      <c r="BX26" s="96">
        <v>-10</v>
      </c>
      <c r="BY26" s="96">
        <v>-10</v>
      </c>
      <c r="BZ26" s="97">
        <v>-50</v>
      </c>
      <c r="CA26" s="55"/>
      <c r="CB26" s="4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50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</row>
    <row r="27" spans="1:115" x14ac:dyDescent="0.4">
      <c r="A27" s="41"/>
      <c r="B27" s="50" t="s">
        <v>76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f>SUMIF($W$3:$BB$3,K$4,$W27:$BB27)</f>
        <v>-1.7673325200000001</v>
      </c>
      <c r="L27" s="50">
        <f>SUMIF($W$3:$BB$3,L$4,$W27:$BB27)</f>
        <v>-2.4577700000000002E-3</v>
      </c>
      <c r="M27" s="50">
        <f>SUMIF($W$3:$BB$3,M$4,$W27:$BB27)</f>
        <v>-0.13168537999999999</v>
      </c>
      <c r="N27" s="50">
        <f>SUMIF($W$3:$BB$3,N$4,$W27:$BB27)</f>
        <v>-4.2560442900000002</v>
      </c>
      <c r="O27" s="50">
        <f>SUMIF($W$3:$BB$3,O$4,$W27:$BB27)</f>
        <v>2.5290906400000002</v>
      </c>
      <c r="P27" s="50">
        <f t="shared" si="21"/>
        <v>0.19344325000000004</v>
      </c>
      <c r="Q27" s="50">
        <f t="shared" si="21"/>
        <v>-5.7458165499999998</v>
      </c>
      <c r="R27" s="50">
        <f t="shared" si="21"/>
        <v>-8.8821037700000005</v>
      </c>
      <c r="S27" s="50">
        <f t="shared" si="21"/>
        <v>-6.3379681100000003</v>
      </c>
      <c r="T27" s="50">
        <f t="shared" si="22"/>
        <v>0</v>
      </c>
      <c r="U27" s="50">
        <f t="shared" si="22"/>
        <v>0</v>
      </c>
      <c r="V27" s="99"/>
      <c r="W27" s="50">
        <v>0</v>
      </c>
      <c r="X27" s="50">
        <v>0</v>
      </c>
      <c r="Y27" s="50">
        <v>0</v>
      </c>
      <c r="Z27" s="51">
        <v>0</v>
      </c>
      <c r="AA27" s="50">
        <v>0</v>
      </c>
      <c r="AB27" s="50">
        <v>0</v>
      </c>
      <c r="AC27" s="50">
        <v>0</v>
      </c>
      <c r="AD27" s="51">
        <v>0</v>
      </c>
      <c r="AE27" s="50">
        <v>0</v>
      </c>
      <c r="AF27" s="50">
        <v>0</v>
      </c>
      <c r="AG27" s="50">
        <v>0</v>
      </c>
      <c r="AH27" s="51">
        <f>J27-SUM(AE27:AG27)</f>
        <v>0</v>
      </c>
      <c r="AI27" s="50">
        <v>0</v>
      </c>
      <c r="AJ27" s="50">
        <v>0</v>
      </c>
      <c r="AK27" s="50">
        <v>0</v>
      </c>
      <c r="AL27" s="51">
        <v>-1.7673325200000001</v>
      </c>
      <c r="AM27" s="50">
        <v>0</v>
      </c>
      <c r="AN27" s="50">
        <v>-2.4577700000000002E-3</v>
      </c>
      <c r="AO27" s="50">
        <v>0</v>
      </c>
      <c r="AP27" s="51">
        <v>0</v>
      </c>
      <c r="AQ27" s="50">
        <v>-1.598569E-2</v>
      </c>
      <c r="AR27" s="50">
        <v>0</v>
      </c>
      <c r="AS27" s="50">
        <v>1.010615E-2</v>
      </c>
      <c r="AT27" s="51">
        <v>-0.12580584</v>
      </c>
      <c r="AU27" s="50">
        <v>-1.577185E-2</v>
      </c>
      <c r="AV27" s="50">
        <v>9.5408999999999997E-3</v>
      </c>
      <c r="AW27" s="50">
        <v>6.4488699999999996E-2</v>
      </c>
      <c r="AX27" s="51">
        <v>-4.3143020400000003</v>
      </c>
      <c r="AY27" s="50">
        <v>3.2194994100000001</v>
      </c>
      <c r="AZ27" s="50">
        <v>-0.66556456999999991</v>
      </c>
      <c r="BA27" s="50">
        <v>9.718758999999999E-2</v>
      </c>
      <c r="BB27" s="51">
        <v>-0.12203178999999999</v>
      </c>
      <c r="BC27" s="50">
        <v>-1.735809E-2</v>
      </c>
      <c r="BD27" s="50">
        <v>2.4547289999999999E-2</v>
      </c>
      <c r="BE27" s="50">
        <v>-6.6997089999999995E-2</v>
      </c>
      <c r="BF27" s="51">
        <v>0.25325114000000004</v>
      </c>
      <c r="BG27" s="50">
        <v>0</v>
      </c>
      <c r="BH27" s="50">
        <v>0.87451131000000004</v>
      </c>
      <c r="BI27" s="50">
        <v>-0.51025372000000002</v>
      </c>
      <c r="BJ27" s="51">
        <v>-6.11007414</v>
      </c>
      <c r="BK27" s="50">
        <v>-9.378976E-2</v>
      </c>
      <c r="BL27" s="50">
        <v>-6.6950292999999999</v>
      </c>
      <c r="BM27" s="50">
        <v>0.94546299</v>
      </c>
      <c r="BN27" s="51">
        <v>-3.0387477000000001</v>
      </c>
      <c r="BO27" s="50">
        <v>-3.1270358199999997</v>
      </c>
      <c r="BP27" s="50">
        <v>-3.2109322900000001</v>
      </c>
      <c r="BQ27" s="50">
        <v>0</v>
      </c>
      <c r="BR27" s="51">
        <v>0</v>
      </c>
      <c r="BS27" s="50">
        <v>0</v>
      </c>
      <c r="BT27" s="50">
        <v>0</v>
      </c>
      <c r="BU27" s="50">
        <v>0</v>
      </c>
      <c r="BV27" s="51">
        <v>0</v>
      </c>
      <c r="BW27" s="50">
        <v>0</v>
      </c>
      <c r="BX27" s="50">
        <v>0</v>
      </c>
      <c r="BY27" s="50">
        <v>0</v>
      </c>
      <c r="BZ27" s="51">
        <v>0</v>
      </c>
      <c r="CA27" s="50"/>
      <c r="CB27" s="4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50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</row>
    <row r="28" spans="1:115" x14ac:dyDescent="0.4">
      <c r="A28" s="41"/>
      <c r="B28" s="50" t="s">
        <v>77</v>
      </c>
      <c r="C28" s="100">
        <v>-0.47940460000000001</v>
      </c>
      <c r="D28" s="100">
        <v>-1.54338533</v>
      </c>
      <c r="E28" s="100">
        <v>-3.0584846299999997</v>
      </c>
      <c r="F28" s="100">
        <v>-3.9351953799999997</v>
      </c>
      <c r="G28" s="100">
        <v>-10.06027224</v>
      </c>
      <c r="H28" s="100">
        <v>-7.4208825099999993</v>
      </c>
      <c r="I28" s="100">
        <v>-3.9263415200000003</v>
      </c>
      <c r="J28" s="100">
        <v>-4.9062541599999996</v>
      </c>
      <c r="K28" s="101">
        <v>-40.959177819999994</v>
      </c>
      <c r="L28" s="101">
        <v>-34.708512099999993</v>
      </c>
      <c r="M28" s="101">
        <v>14.9543456</v>
      </c>
      <c r="N28" s="101">
        <v>-11.935534940000004</v>
      </c>
      <c r="O28" s="101">
        <v>-16.547992910000005</v>
      </c>
      <c r="P28" s="50">
        <f t="shared" si="21"/>
        <v>47.990242600000002</v>
      </c>
      <c r="Q28" s="50">
        <f t="shared" si="21"/>
        <v>32.967905420000008</v>
      </c>
      <c r="R28" s="50">
        <f t="shared" si="21"/>
        <v>89.953836980000005</v>
      </c>
      <c r="S28" s="50">
        <f t="shared" si="21"/>
        <v>-37.444100270000007</v>
      </c>
      <c r="T28" s="50">
        <f t="shared" si="22"/>
        <v>0</v>
      </c>
      <c r="U28" s="50">
        <f t="shared" si="22"/>
        <v>0</v>
      </c>
      <c r="V28" s="99"/>
      <c r="W28" s="101">
        <v>-2.5313555650000001</v>
      </c>
      <c r="X28" s="50">
        <v>-5.3889412649999997</v>
      </c>
      <c r="Y28" s="50">
        <v>-6.3544987849999996</v>
      </c>
      <c r="Z28" s="51">
        <v>4.6591015149999997</v>
      </c>
      <c r="AA28" s="50">
        <v>-1.35911761</v>
      </c>
      <c r="AB28" s="50">
        <v>-3.2503100600000003</v>
      </c>
      <c r="AC28" s="50">
        <v>-1.2995528099999998</v>
      </c>
      <c r="AD28" s="51">
        <v>1.9330389599999998</v>
      </c>
      <c r="AE28" s="50">
        <v>0.26398917999999988</v>
      </c>
      <c r="AF28" s="50">
        <v>-0.28985981000000005</v>
      </c>
      <c r="AG28" s="50">
        <v>-2.1083950549999995</v>
      </c>
      <c r="AH28" s="51">
        <v>-2.7719884749999992</v>
      </c>
      <c r="AI28" s="50">
        <v>0.24498405499999998</v>
      </c>
      <c r="AJ28" s="50">
        <v>0.57927362500000001</v>
      </c>
      <c r="AK28" s="50">
        <v>-22.439100869999997</v>
      </c>
      <c r="AL28" s="51">
        <v>-19.344334629999999</v>
      </c>
      <c r="AM28" s="50">
        <v>-34.788585965000003</v>
      </c>
      <c r="AN28" s="50">
        <v>-19.557478634999999</v>
      </c>
      <c r="AO28" s="50">
        <v>-1.5252973300000008</v>
      </c>
      <c r="AP28" s="51">
        <v>-5.5609415000000002</v>
      </c>
      <c r="AQ28" s="50">
        <v>-1.3150041899999998</v>
      </c>
      <c r="AR28" s="50">
        <v>5.070822660000001</v>
      </c>
      <c r="AS28" s="50">
        <v>16.497567809999996</v>
      </c>
      <c r="AT28" s="51">
        <v>-5.2990406800000027</v>
      </c>
      <c r="AU28" s="50">
        <v>6.5781706200000016</v>
      </c>
      <c r="AV28" s="50">
        <v>-6.0780315400000013</v>
      </c>
      <c r="AW28" s="50">
        <v>8.6274448699999997</v>
      </c>
      <c r="AX28" s="51">
        <v>-21.063118889999998</v>
      </c>
      <c r="AY28" s="50">
        <v>-2.6280031300000015</v>
      </c>
      <c r="AZ28" s="50">
        <v>-5.2522157400000005</v>
      </c>
      <c r="BA28" s="50">
        <v>2.1433355400000025</v>
      </c>
      <c r="BB28" s="51">
        <v>-10.81110958</v>
      </c>
      <c r="BC28" s="50">
        <v>-10.024342530000002</v>
      </c>
      <c r="BD28" s="50">
        <v>46.172519680000001</v>
      </c>
      <c r="BE28" s="50">
        <v>25.956611110000004</v>
      </c>
      <c r="BF28" s="51">
        <v>-14.114545659999999</v>
      </c>
      <c r="BG28" s="50">
        <v>-16.36202961</v>
      </c>
      <c r="BH28" s="50">
        <v>64.931908270000008</v>
      </c>
      <c r="BI28" s="50">
        <v>-8.460924379999998</v>
      </c>
      <c r="BJ28" s="51">
        <v>-7.1410488600000015</v>
      </c>
      <c r="BK28" s="50">
        <v>14.462298270000002</v>
      </c>
      <c r="BL28" s="50">
        <v>32.517495269999998</v>
      </c>
      <c r="BM28" s="50">
        <v>-82.418831159999996</v>
      </c>
      <c r="BN28" s="51">
        <v>125.3928746</v>
      </c>
      <c r="BO28" s="50">
        <v>-7.6687683400000033</v>
      </c>
      <c r="BP28" s="50">
        <v>-29.775331930000004</v>
      </c>
      <c r="BQ28" s="96">
        <v>0</v>
      </c>
      <c r="BR28" s="97">
        <v>0</v>
      </c>
      <c r="BS28" s="96">
        <v>0</v>
      </c>
      <c r="BT28" s="96">
        <v>0</v>
      </c>
      <c r="BU28" s="96">
        <v>0</v>
      </c>
      <c r="BV28" s="97">
        <v>0</v>
      </c>
      <c r="BW28" s="96">
        <v>0</v>
      </c>
      <c r="BX28" s="96">
        <v>0</v>
      </c>
      <c r="BY28" s="96">
        <v>0</v>
      </c>
      <c r="BZ28" s="97">
        <v>0</v>
      </c>
      <c r="CA28" s="55"/>
      <c r="CB28" s="55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50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</row>
    <row r="29" spans="1:115" x14ac:dyDescent="0.4">
      <c r="A29" s="41"/>
      <c r="B29" s="50" t="s">
        <v>78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f t="shared" ref="H29:O29" si="23">SUMIF($W$3:$BB$3,H$4,$W29:$BB29)</f>
        <v>0</v>
      </c>
      <c r="I29" s="50">
        <f t="shared" si="23"/>
        <v>0</v>
      </c>
      <c r="J29" s="50">
        <f t="shared" si="23"/>
        <v>0</v>
      </c>
      <c r="K29" s="50">
        <f t="shared" si="23"/>
        <v>0</v>
      </c>
      <c r="L29" s="50">
        <f t="shared" si="23"/>
        <v>5.0666752000000006</v>
      </c>
      <c r="M29" s="50">
        <f t="shared" si="23"/>
        <v>53.448619370000003</v>
      </c>
      <c r="N29" s="50">
        <f t="shared" si="23"/>
        <v>209.35381644</v>
      </c>
      <c r="O29" s="50">
        <f t="shared" si="23"/>
        <v>62.776311250000006</v>
      </c>
      <c r="P29" s="50">
        <f t="shared" si="21"/>
        <v>72.51898525</v>
      </c>
      <c r="Q29" s="50">
        <f t="shared" si="21"/>
        <v>294.23790658999997</v>
      </c>
      <c r="R29" s="50">
        <f t="shared" si="21"/>
        <v>-45.685118239999994</v>
      </c>
      <c r="S29" s="50">
        <f t="shared" si="21"/>
        <v>58.686649740000007</v>
      </c>
      <c r="T29" s="50">
        <f t="shared" si="22"/>
        <v>0</v>
      </c>
      <c r="U29" s="50">
        <f t="shared" si="22"/>
        <v>0</v>
      </c>
      <c r="V29" s="50"/>
      <c r="W29" s="50">
        <v>0</v>
      </c>
      <c r="X29" s="50">
        <v>0</v>
      </c>
      <c r="Y29" s="50">
        <v>0</v>
      </c>
      <c r="Z29" s="51">
        <v>0</v>
      </c>
      <c r="AA29" s="50">
        <v>0</v>
      </c>
      <c r="AB29" s="50">
        <v>0</v>
      </c>
      <c r="AC29" s="50">
        <v>0</v>
      </c>
      <c r="AD29" s="51">
        <v>0</v>
      </c>
      <c r="AE29" s="50">
        <v>0</v>
      </c>
      <c r="AF29" s="50">
        <v>0</v>
      </c>
      <c r="AG29" s="50">
        <v>0</v>
      </c>
      <c r="AH29" s="51">
        <v>0</v>
      </c>
      <c r="AI29" s="50">
        <v>0</v>
      </c>
      <c r="AJ29" s="50">
        <v>0</v>
      </c>
      <c r="AK29" s="50">
        <v>0</v>
      </c>
      <c r="AL29" s="51">
        <v>0</v>
      </c>
      <c r="AM29" s="50">
        <v>0</v>
      </c>
      <c r="AN29" s="50">
        <v>0</v>
      </c>
      <c r="AO29" s="50">
        <v>0</v>
      </c>
      <c r="AP29" s="51">
        <v>5.0666752000000006</v>
      </c>
      <c r="AQ29" s="50">
        <v>1.6457944600000001</v>
      </c>
      <c r="AR29" s="50">
        <v>0</v>
      </c>
      <c r="AS29" s="50">
        <v>0.87104400999999998</v>
      </c>
      <c r="AT29" s="51">
        <v>50.9317809</v>
      </c>
      <c r="AU29" s="50">
        <v>0</v>
      </c>
      <c r="AV29" s="50">
        <v>0</v>
      </c>
      <c r="AW29" s="50">
        <v>0</v>
      </c>
      <c r="AX29" s="51">
        <v>209.35381644</v>
      </c>
      <c r="AY29" s="50">
        <v>0</v>
      </c>
      <c r="AZ29" s="50">
        <v>30.70032162</v>
      </c>
      <c r="BA29" s="50">
        <v>0</v>
      </c>
      <c r="BB29" s="51">
        <v>32.075989630000002</v>
      </c>
      <c r="BC29" s="50">
        <v>0</v>
      </c>
      <c r="BD29" s="50">
        <v>4.1203730000000001E-2</v>
      </c>
      <c r="BE29" s="50">
        <v>0.79594673999999999</v>
      </c>
      <c r="BF29" s="51">
        <v>71.681834780000003</v>
      </c>
      <c r="BG29" s="50">
        <v>0</v>
      </c>
      <c r="BH29" s="50">
        <v>1.71</v>
      </c>
      <c r="BI29" s="50">
        <v>4.3880999999999997</v>
      </c>
      <c r="BJ29" s="51">
        <v>288.13980658999998</v>
      </c>
      <c r="BK29" s="50">
        <v>0</v>
      </c>
      <c r="BL29" s="50">
        <v>1.03325763</v>
      </c>
      <c r="BM29" s="50">
        <v>0</v>
      </c>
      <c r="BN29" s="51">
        <v>-46.718375869999996</v>
      </c>
      <c r="BO29" s="50">
        <v>19.14174307</v>
      </c>
      <c r="BP29" s="50">
        <v>39.544906670000003</v>
      </c>
      <c r="BQ29" s="96">
        <v>0</v>
      </c>
      <c r="BR29" s="97">
        <v>0</v>
      </c>
      <c r="BS29" s="96">
        <v>0</v>
      </c>
      <c r="BT29" s="96">
        <v>0</v>
      </c>
      <c r="BU29" s="96">
        <v>0</v>
      </c>
      <c r="BV29" s="97">
        <v>0</v>
      </c>
      <c r="BW29" s="96">
        <v>0</v>
      </c>
      <c r="BX29" s="96">
        <v>0</v>
      </c>
      <c r="BY29" s="96">
        <v>0</v>
      </c>
      <c r="BZ29" s="97">
        <v>0</v>
      </c>
      <c r="CA29" s="55"/>
      <c r="CB29" s="55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50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</row>
    <row r="30" spans="1:115" x14ac:dyDescent="0.4">
      <c r="A30" s="41"/>
      <c r="B30" s="50" t="s">
        <v>79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f t="shared" si="21"/>
        <v>0</v>
      </c>
      <c r="Q30" s="50">
        <f t="shared" si="21"/>
        <v>2</v>
      </c>
      <c r="R30" s="50">
        <f t="shared" si="21"/>
        <v>9</v>
      </c>
      <c r="S30" s="50">
        <f t="shared" si="21"/>
        <v>6</v>
      </c>
      <c r="T30" s="50">
        <f t="shared" si="22"/>
        <v>0</v>
      </c>
      <c r="U30" s="50">
        <f t="shared" si="22"/>
        <v>0</v>
      </c>
      <c r="V30" s="50"/>
      <c r="W30" s="50">
        <v>0</v>
      </c>
      <c r="X30" s="50">
        <v>0</v>
      </c>
      <c r="Y30" s="50">
        <v>0</v>
      </c>
      <c r="Z30" s="51">
        <v>0</v>
      </c>
      <c r="AA30" s="50">
        <v>0</v>
      </c>
      <c r="AB30" s="50">
        <v>0</v>
      </c>
      <c r="AC30" s="50">
        <v>0</v>
      </c>
      <c r="AD30" s="51">
        <v>0</v>
      </c>
      <c r="AE30" s="50">
        <v>0</v>
      </c>
      <c r="AF30" s="50">
        <v>0</v>
      </c>
      <c r="AG30" s="50">
        <v>0</v>
      </c>
      <c r="AH30" s="51">
        <v>0</v>
      </c>
      <c r="AI30" s="50">
        <v>0</v>
      </c>
      <c r="AJ30" s="50">
        <v>0</v>
      </c>
      <c r="AK30" s="50">
        <v>0</v>
      </c>
      <c r="AL30" s="51">
        <v>0</v>
      </c>
      <c r="AM30" s="50">
        <v>0</v>
      </c>
      <c r="AN30" s="50">
        <v>0</v>
      </c>
      <c r="AO30" s="50">
        <v>0</v>
      </c>
      <c r="AP30" s="51">
        <v>0</v>
      </c>
      <c r="AQ30" s="50">
        <v>0</v>
      </c>
      <c r="AR30" s="50">
        <v>0</v>
      </c>
      <c r="AS30" s="50">
        <v>0</v>
      </c>
      <c r="AT30" s="51">
        <v>0</v>
      </c>
      <c r="AU30" s="50">
        <v>0</v>
      </c>
      <c r="AV30" s="50">
        <v>0</v>
      </c>
      <c r="AW30" s="50">
        <v>0</v>
      </c>
      <c r="AX30" s="51">
        <v>0</v>
      </c>
      <c r="AY30" s="50">
        <v>0</v>
      </c>
      <c r="AZ30" s="50">
        <v>0</v>
      </c>
      <c r="BA30" s="50">
        <v>0</v>
      </c>
      <c r="BB30" s="51">
        <v>0</v>
      </c>
      <c r="BC30" s="50">
        <v>0</v>
      </c>
      <c r="BD30" s="50">
        <v>0</v>
      </c>
      <c r="BE30" s="50">
        <v>0</v>
      </c>
      <c r="BF30" s="51">
        <v>0</v>
      </c>
      <c r="BG30" s="50">
        <v>0</v>
      </c>
      <c r="BH30" s="50">
        <v>0</v>
      </c>
      <c r="BI30" s="50">
        <v>1</v>
      </c>
      <c r="BJ30" s="51">
        <v>1</v>
      </c>
      <c r="BK30" s="50">
        <v>1</v>
      </c>
      <c r="BL30" s="50">
        <v>2</v>
      </c>
      <c r="BM30" s="50">
        <v>3</v>
      </c>
      <c r="BN30" s="51">
        <v>3</v>
      </c>
      <c r="BO30" s="50">
        <v>3</v>
      </c>
      <c r="BP30" s="50">
        <v>3</v>
      </c>
      <c r="BQ30" s="96">
        <v>0</v>
      </c>
      <c r="BR30" s="97">
        <v>0</v>
      </c>
      <c r="BS30" s="96">
        <v>0</v>
      </c>
      <c r="BT30" s="96">
        <v>0</v>
      </c>
      <c r="BU30" s="96">
        <v>0</v>
      </c>
      <c r="BV30" s="97">
        <v>0</v>
      </c>
      <c r="BW30" s="96">
        <v>0</v>
      </c>
      <c r="BX30" s="96">
        <v>0</v>
      </c>
      <c r="BY30" s="96">
        <v>0</v>
      </c>
      <c r="BZ30" s="97">
        <v>0</v>
      </c>
      <c r="CA30" s="55"/>
      <c r="CB30" s="55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50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</row>
    <row r="31" spans="1:115" x14ac:dyDescent="0.4">
      <c r="A31" s="41"/>
      <c r="B31" s="50" t="s">
        <v>80</v>
      </c>
      <c r="C31" s="50">
        <f>+C32-C23-C26-C27-C29-C30-C28</f>
        <v>0.26656563999999289</v>
      </c>
      <c r="D31" s="50">
        <f t="shared" ref="D31:K31" si="24">+D32-D23-D26-D27-D29-D30-D28</f>
        <v>0.22544689999999923</v>
      </c>
      <c r="E31" s="50">
        <f t="shared" si="24"/>
        <v>1.5631600699999826</v>
      </c>
      <c r="F31" s="50">
        <f t="shared" si="24"/>
        <v>2.3436417000000049</v>
      </c>
      <c r="G31" s="50">
        <f t="shared" si="24"/>
        <v>14.35519528999999</v>
      </c>
      <c r="H31" s="50">
        <f t="shared" si="24"/>
        <v>6.3347259099999871</v>
      </c>
      <c r="I31" s="50">
        <f t="shared" si="24"/>
        <v>7.3133300199999951</v>
      </c>
      <c r="J31" s="50">
        <f t="shared" si="24"/>
        <v>16.715341360000014</v>
      </c>
      <c r="K31" s="50">
        <f t="shared" si="24"/>
        <v>-82.120815119999975</v>
      </c>
      <c r="L31" s="50">
        <f>+L32-L23-L26-L27-L29-L30-L28</f>
        <v>62.01025457999998</v>
      </c>
      <c r="M31" s="50">
        <f>+M32-M23-M26-M27-M29-M30-M28</f>
        <v>-182.7486124900004</v>
      </c>
      <c r="N31" s="50">
        <f>+N32-N23-N26-N27-N29-N30-N28</f>
        <v>123.79185381000073</v>
      </c>
      <c r="O31" s="50">
        <f>+O32-O23-O26-O27-O29-O30-O28</f>
        <v>162.44787299000069</v>
      </c>
      <c r="P31" s="50">
        <f t="shared" si="21"/>
        <v>197.96602989000002</v>
      </c>
      <c r="Q31" s="50">
        <f t="shared" si="21"/>
        <v>79.857532899999569</v>
      </c>
      <c r="R31" s="50">
        <f t="shared" si="21"/>
        <v>135.30048603000006</v>
      </c>
      <c r="S31" s="50">
        <f t="shared" si="21"/>
        <v>71.593122140000773</v>
      </c>
      <c r="T31" s="50">
        <f t="shared" si="22"/>
        <v>63</v>
      </c>
      <c r="U31" s="60">
        <f t="shared" si="22"/>
        <v>116.15217439000085</v>
      </c>
      <c r="V31" s="8"/>
      <c r="W31" s="50">
        <f t="shared" ref="W31:BP31" si="25">+W32-W23-W26-W27-W29-W30-W28</f>
        <v>3.1096155600000008</v>
      </c>
      <c r="X31" s="50">
        <f t="shared" si="25"/>
        <v>0.12677371999999743</v>
      </c>
      <c r="Y31" s="50">
        <f t="shared" si="25"/>
        <v>12.816932310000002</v>
      </c>
      <c r="Z31" s="51">
        <f t="shared" si="25"/>
        <v>-7.2277407800000004</v>
      </c>
      <c r="AA31" s="50">
        <f t="shared" si="25"/>
        <v>-0.11691667999999678</v>
      </c>
      <c r="AB31" s="50">
        <f t="shared" si="25"/>
        <v>-1.2252308799999998</v>
      </c>
      <c r="AC31" s="50">
        <f t="shared" si="25"/>
        <v>2.0992707900000029</v>
      </c>
      <c r="AD31" s="51">
        <f t="shared" si="25"/>
        <v>6.6058067900000044</v>
      </c>
      <c r="AE31" s="50">
        <f t="shared" si="25"/>
        <v>0.7893001599999987</v>
      </c>
      <c r="AF31" s="50">
        <f t="shared" si="25"/>
        <v>13.152996879999998</v>
      </c>
      <c r="AG31" s="50">
        <f t="shared" si="25"/>
        <v>-0.47157419000000278</v>
      </c>
      <c r="AH31" s="51">
        <f t="shared" si="25"/>
        <v>3.2446185099999982</v>
      </c>
      <c r="AI31" s="50">
        <f t="shared" si="25"/>
        <v>1.5345434000000007</v>
      </c>
      <c r="AJ31" s="50">
        <f t="shared" si="25"/>
        <v>1.8545541899999947</v>
      </c>
      <c r="AK31" s="50">
        <f t="shared" si="25"/>
        <v>3.5623821600001122</v>
      </c>
      <c r="AL31" s="51">
        <f t="shared" si="25"/>
        <v>-89.072294869999922</v>
      </c>
      <c r="AM31" s="50">
        <f t="shared" si="25"/>
        <v>13.717376929999816</v>
      </c>
      <c r="AN31" s="50">
        <f t="shared" si="25"/>
        <v>8.1226818299999604</v>
      </c>
      <c r="AO31" s="50">
        <f t="shared" si="25"/>
        <v>-1.2413974000000429</v>
      </c>
      <c r="AP31" s="51">
        <f t="shared" si="25"/>
        <v>41.411593220000029</v>
      </c>
      <c r="AQ31" s="50">
        <f t="shared" si="25"/>
        <v>1.5098696099999815</v>
      </c>
      <c r="AR31" s="50">
        <f t="shared" si="25"/>
        <v>-45.963507329999956</v>
      </c>
      <c r="AS31" s="50">
        <f t="shared" si="25"/>
        <v>-106.55691675999982</v>
      </c>
      <c r="AT31" s="51">
        <f t="shared" si="25"/>
        <v>18.735319180000211</v>
      </c>
      <c r="AU31" s="50">
        <f t="shared" si="25"/>
        <v>21.988499569999913</v>
      </c>
      <c r="AV31" s="50">
        <f t="shared" si="25"/>
        <v>13.413520979999966</v>
      </c>
      <c r="AW31" s="50">
        <f t="shared" si="25"/>
        <v>60.112260040000002</v>
      </c>
      <c r="AX31" s="51">
        <f t="shared" si="25"/>
        <v>28.040594769999956</v>
      </c>
      <c r="AY31" s="50">
        <f t="shared" si="25"/>
        <v>25.039246969999951</v>
      </c>
      <c r="AZ31" s="50">
        <f t="shared" si="25"/>
        <v>12.736367830000198</v>
      </c>
      <c r="BA31" s="50">
        <f t="shared" si="25"/>
        <v>15.881514470000194</v>
      </c>
      <c r="BB31" s="51">
        <f t="shared" si="25"/>
        <v>108.79074371999982</v>
      </c>
      <c r="BC31" s="50">
        <f t="shared" si="25"/>
        <v>21.641547200000112</v>
      </c>
      <c r="BD31" s="50">
        <f t="shared" si="25"/>
        <v>17.812198130000155</v>
      </c>
      <c r="BE31" s="50">
        <f t="shared" si="25"/>
        <v>21.052408919999948</v>
      </c>
      <c r="BF31" s="51">
        <f t="shared" si="25"/>
        <v>137.45987563999981</v>
      </c>
      <c r="BG31" s="50">
        <f t="shared" si="25"/>
        <v>21.544700699999872</v>
      </c>
      <c r="BH31" s="50">
        <f t="shared" si="25"/>
        <v>11.735560329999558</v>
      </c>
      <c r="BI31" s="50">
        <f t="shared" si="25"/>
        <v>25.312461139999794</v>
      </c>
      <c r="BJ31" s="51">
        <f t="shared" si="25"/>
        <v>21.264810730000352</v>
      </c>
      <c r="BK31" s="50">
        <f t="shared" si="25"/>
        <v>31.350088550000418</v>
      </c>
      <c r="BL31" s="50">
        <f t="shared" si="25"/>
        <v>3.8622890199994373</v>
      </c>
      <c r="BM31" s="50">
        <f t="shared" si="25"/>
        <v>14.601300840000505</v>
      </c>
      <c r="BN31" s="51">
        <f t="shared" si="25"/>
        <v>85.486807619999695</v>
      </c>
      <c r="BO31" s="50">
        <f t="shared" si="25"/>
        <v>30.152174390000845</v>
      </c>
      <c r="BP31" s="50">
        <f t="shared" si="25"/>
        <v>11.440947749999925</v>
      </c>
      <c r="BQ31" s="96">
        <v>11</v>
      </c>
      <c r="BR31" s="97">
        <v>19</v>
      </c>
      <c r="BS31" s="96">
        <v>15</v>
      </c>
      <c r="BT31" s="96">
        <v>15</v>
      </c>
      <c r="BU31" s="96">
        <v>15</v>
      </c>
      <c r="BV31" s="97">
        <v>18</v>
      </c>
      <c r="BW31" s="96">
        <v>30.152174390000845</v>
      </c>
      <c r="BX31" s="96">
        <v>30</v>
      </c>
      <c r="BY31" s="96">
        <v>30</v>
      </c>
      <c r="BZ31" s="97">
        <v>26</v>
      </c>
      <c r="CA31" s="55"/>
      <c r="CB31" s="55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50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</row>
    <row r="32" spans="1:115" x14ac:dyDescent="0.4">
      <c r="A32" s="41"/>
      <c r="B32" s="85" t="s">
        <v>71</v>
      </c>
      <c r="C32" s="63">
        <f t="shared" ref="C32:K32" si="26">+C33-C20</f>
        <v>1.7861760299999929</v>
      </c>
      <c r="D32" s="63">
        <f t="shared" si="26"/>
        <v>-0.90728387000000055</v>
      </c>
      <c r="E32" s="63">
        <f t="shared" si="26"/>
        <v>-1.340278060000017</v>
      </c>
      <c r="F32" s="63">
        <f t="shared" si="26"/>
        <v>3.5654154700000049</v>
      </c>
      <c r="G32" s="63">
        <f t="shared" si="26"/>
        <v>14.73330082999999</v>
      </c>
      <c r="H32" s="63">
        <f t="shared" si="26"/>
        <v>8.7288262999999873</v>
      </c>
      <c r="I32" s="63">
        <f t="shared" si="26"/>
        <v>10.020120689999995</v>
      </c>
      <c r="J32" s="63">
        <f t="shared" si="26"/>
        <v>17.953012910000012</v>
      </c>
      <c r="K32" s="63">
        <f t="shared" si="26"/>
        <v>-141.30409836999996</v>
      </c>
      <c r="L32" s="63">
        <f>+L33-L20</f>
        <v>-78.156808070000011</v>
      </c>
      <c r="M32" s="63">
        <f>+M33-M20</f>
        <v>-4.8506198300003689</v>
      </c>
      <c r="N32" s="63">
        <f>+N33-N20</f>
        <v>199.57989489000079</v>
      </c>
      <c r="O32" s="63">
        <f>+O33-O20</f>
        <v>61.223817100000701</v>
      </c>
      <c r="P32" s="63">
        <f t="shared" ref="P32:U32" si="27">SUM(P24:P31)</f>
        <v>-47.100259080000001</v>
      </c>
      <c r="Q32" s="63">
        <f>SUM(Q24:Q31)</f>
        <v>304.78992476999952</v>
      </c>
      <c r="R32" s="63">
        <f t="shared" si="27"/>
        <v>155.58404947000005</v>
      </c>
      <c r="S32" s="63">
        <f t="shared" si="27"/>
        <v>72.322924900000771</v>
      </c>
      <c r="T32" s="63">
        <f t="shared" si="27"/>
        <v>63</v>
      </c>
      <c r="U32" s="42">
        <f t="shared" si="27"/>
        <v>116.15217439000085</v>
      </c>
      <c r="V32" s="8"/>
      <c r="W32" s="63">
        <f t="shared" ref="W32:BP32" si="28">+W33-W20</f>
        <v>3.584703300000001</v>
      </c>
      <c r="X32" s="63">
        <f t="shared" si="28"/>
        <v>-2.9729428800000015</v>
      </c>
      <c r="Y32" s="63">
        <f t="shared" si="28"/>
        <v>9.0127766700000009</v>
      </c>
      <c r="Z32" s="64">
        <f t="shared" si="28"/>
        <v>-0.89571079000000076</v>
      </c>
      <c r="AA32" s="63">
        <f t="shared" si="28"/>
        <v>1.3943603700000033</v>
      </c>
      <c r="AB32" s="63">
        <f t="shared" si="28"/>
        <v>-0.6705054900000007</v>
      </c>
      <c r="AC32" s="63">
        <f t="shared" si="28"/>
        <v>1.3816587800000029</v>
      </c>
      <c r="AD32" s="64">
        <f t="shared" si="28"/>
        <v>7.9146070300000027</v>
      </c>
      <c r="AE32" s="63">
        <f t="shared" si="28"/>
        <v>1.4535858699999986</v>
      </c>
      <c r="AF32" s="63">
        <f t="shared" si="28"/>
        <v>13.738753059999999</v>
      </c>
      <c r="AG32" s="63">
        <f t="shared" si="28"/>
        <v>0.47093892999999731</v>
      </c>
      <c r="AH32" s="64">
        <f t="shared" si="28"/>
        <v>2.2897350499999982</v>
      </c>
      <c r="AI32" s="63">
        <f t="shared" si="28"/>
        <v>1.8777540900000007</v>
      </c>
      <c r="AJ32" s="63">
        <f t="shared" si="28"/>
        <v>1.7431669199999948</v>
      </c>
      <c r="AK32" s="63">
        <f t="shared" si="28"/>
        <v>-25.887410839999887</v>
      </c>
      <c r="AL32" s="64">
        <f t="shared" si="28"/>
        <v>-119.03760853999992</v>
      </c>
      <c r="AM32" s="63">
        <f t="shared" si="28"/>
        <v>-18.94625437000019</v>
      </c>
      <c r="AN32" s="63">
        <f t="shared" si="28"/>
        <v>-12.510719770000037</v>
      </c>
      <c r="AO32" s="63">
        <f t="shared" si="28"/>
        <v>-34.360454010000041</v>
      </c>
      <c r="AP32" s="64">
        <f t="shared" si="28"/>
        <v>-12.339379919999971</v>
      </c>
      <c r="AQ32" s="63">
        <f t="shared" si="28"/>
        <v>-6.2579728000000188</v>
      </c>
      <c r="AR32" s="63">
        <f t="shared" si="28"/>
        <v>-45.579894829999958</v>
      </c>
      <c r="AS32" s="63">
        <f t="shared" si="28"/>
        <v>-29.691936139999825</v>
      </c>
      <c r="AT32" s="64">
        <f t="shared" si="28"/>
        <v>76.6791839400002</v>
      </c>
      <c r="AU32" s="63">
        <f t="shared" si="28"/>
        <v>18.100375839999913</v>
      </c>
      <c r="AV32" s="63">
        <f t="shared" si="28"/>
        <v>-42.905281900000034</v>
      </c>
      <c r="AW32" s="63">
        <f t="shared" si="28"/>
        <v>53.576425040000004</v>
      </c>
      <c r="AX32" s="64">
        <f t="shared" si="28"/>
        <v>170.80837592999995</v>
      </c>
      <c r="AY32" s="63">
        <f t="shared" si="28"/>
        <v>10.847718209999954</v>
      </c>
      <c r="AZ32" s="63">
        <f t="shared" si="28"/>
        <v>19.334910490000198</v>
      </c>
      <c r="BA32" s="63">
        <f t="shared" si="28"/>
        <v>-7.0859139299998049</v>
      </c>
      <c r="BB32" s="64">
        <f t="shared" si="28"/>
        <v>38.127102329999843</v>
      </c>
      <c r="BC32" s="63">
        <f t="shared" si="28"/>
        <v>-1.4597169999888138E-2</v>
      </c>
      <c r="BD32" s="63">
        <f t="shared" si="28"/>
        <v>33.240870520000158</v>
      </c>
      <c r="BE32" s="63">
        <f t="shared" si="28"/>
        <v>10.117516619999947</v>
      </c>
      <c r="BF32" s="64">
        <f t="shared" si="28"/>
        <v>-90.444049050000217</v>
      </c>
      <c r="BG32" s="63">
        <f t="shared" si="28"/>
        <v>1.0969790799998691</v>
      </c>
      <c r="BH32" s="63">
        <f t="shared" si="28"/>
        <v>58.900989689999562</v>
      </c>
      <c r="BI32" s="63">
        <f t="shared" si="28"/>
        <v>34.567561939999791</v>
      </c>
      <c r="BJ32" s="64">
        <f t="shared" si="28"/>
        <v>210.22439406000035</v>
      </c>
      <c r="BK32" s="63">
        <f t="shared" si="28"/>
        <v>55.961937630000421</v>
      </c>
      <c r="BL32" s="63">
        <f t="shared" si="28"/>
        <v>37.682548869999437</v>
      </c>
      <c r="BM32" s="63">
        <f t="shared" si="28"/>
        <v>-68.037459359999502</v>
      </c>
      <c r="BN32" s="64">
        <f t="shared" si="28"/>
        <v>129.97702232999973</v>
      </c>
      <c r="BO32" s="63">
        <f t="shared" si="28"/>
        <v>39.749315030000844</v>
      </c>
      <c r="BP32" s="63">
        <f t="shared" si="28"/>
        <v>47.573609869999927</v>
      </c>
      <c r="BQ32" s="63">
        <f t="shared" ref="BQ32:BZ32" si="29">SUM(BQ24:BQ31)</f>
        <v>-4</v>
      </c>
      <c r="BR32" s="64">
        <f t="shared" si="29"/>
        <v>-11</v>
      </c>
      <c r="BS32" s="63">
        <f t="shared" si="29"/>
        <v>25</v>
      </c>
      <c r="BT32" s="63">
        <f t="shared" si="29"/>
        <v>25</v>
      </c>
      <c r="BU32" s="63">
        <f t="shared" si="29"/>
        <v>25</v>
      </c>
      <c r="BV32" s="64">
        <f t="shared" si="29"/>
        <v>-12</v>
      </c>
      <c r="BW32" s="63">
        <f t="shared" si="29"/>
        <v>40.152174390000845</v>
      </c>
      <c r="BX32" s="63">
        <f t="shared" si="29"/>
        <v>40</v>
      </c>
      <c r="BY32" s="63">
        <f t="shared" si="29"/>
        <v>40</v>
      </c>
      <c r="BZ32" s="64">
        <f t="shared" si="29"/>
        <v>-4</v>
      </c>
      <c r="CA32" s="42"/>
      <c r="CB32" s="42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</row>
    <row r="33" spans="1:115" x14ac:dyDescent="0.4">
      <c r="A33" s="41"/>
      <c r="B33" s="63" t="s">
        <v>81</v>
      </c>
      <c r="C33" s="63">
        <v>35.431809549999997</v>
      </c>
      <c r="D33" s="63">
        <v>48.936160539999996</v>
      </c>
      <c r="E33" s="63">
        <v>59.698686509999995</v>
      </c>
      <c r="F33" s="63">
        <v>33.640740139999998</v>
      </c>
      <c r="G33" s="63">
        <v>16.212143390000001</v>
      </c>
      <c r="H33" s="63">
        <f>SUM(W33:Z33)</f>
        <v>6.3632598399999987</v>
      </c>
      <c r="I33" s="102">
        <f>SUM(AA33:AD33)</f>
        <v>6.3232475399999997</v>
      </c>
      <c r="J33" s="63">
        <v>10.91086157</v>
      </c>
      <c r="K33" s="63">
        <f>SUM(AI33:AL33)</f>
        <v>205.89282334000001</v>
      </c>
      <c r="L33" s="63">
        <v>694.95247795</v>
      </c>
      <c r="M33" s="63">
        <v>576.67677203999995</v>
      </c>
      <c r="N33" s="63">
        <v>986.95919198000001</v>
      </c>
      <c r="O33" s="63">
        <v>959.91531548</v>
      </c>
      <c r="P33" s="63">
        <f t="shared" ref="P33:U33" si="30">P20+P32</f>
        <v>1351.55128534</v>
      </c>
      <c r="Q33" s="63">
        <f>Q20+Q32</f>
        <v>2492.4633520800007</v>
      </c>
      <c r="R33" s="63">
        <f t="shared" si="30"/>
        <v>6052.4373642799974</v>
      </c>
      <c r="S33" s="63">
        <f t="shared" si="30"/>
        <v>12012.138151348425</v>
      </c>
      <c r="T33" s="63">
        <f t="shared" si="30"/>
        <v>19795.913129107787</v>
      </c>
      <c r="U33" s="63">
        <f t="shared" si="30"/>
        <v>24479.342910075611</v>
      </c>
      <c r="V33" s="8"/>
      <c r="W33" s="63">
        <v>5.4551795999999992</v>
      </c>
      <c r="X33" s="63">
        <v>-8.5315993500000005</v>
      </c>
      <c r="Y33" s="63">
        <v>4.7206139299999998</v>
      </c>
      <c r="Z33" s="64">
        <v>4.7190656600000001</v>
      </c>
      <c r="AA33" s="63">
        <v>-3.8332600600000002</v>
      </c>
      <c r="AB33" s="63">
        <v>-1.27160206</v>
      </c>
      <c r="AC33" s="63">
        <v>-0.26528028000000003</v>
      </c>
      <c r="AD33" s="64">
        <v>11.693389939999999</v>
      </c>
      <c r="AE33" s="63">
        <v>-6.4971679299999998</v>
      </c>
      <c r="AF33" s="63">
        <v>12.787396359999999</v>
      </c>
      <c r="AG33" s="63">
        <v>-1.6313038500000001</v>
      </c>
      <c r="AH33" s="64">
        <v>6.2519369899999999</v>
      </c>
      <c r="AI33" s="63">
        <v>-4.3815273600000006</v>
      </c>
      <c r="AJ33" s="63">
        <v>8.7629566400000005</v>
      </c>
      <c r="AK33" s="63">
        <v>144.81164247000001</v>
      </c>
      <c r="AL33" s="64">
        <v>56.699751590000005</v>
      </c>
      <c r="AM33" s="63">
        <v>168.59378894999998</v>
      </c>
      <c r="AN33" s="63">
        <v>198.18916065000002</v>
      </c>
      <c r="AO33" s="63">
        <v>183.29087866</v>
      </c>
      <c r="AP33" s="64">
        <v>144.87864969</v>
      </c>
      <c r="AQ33" s="63">
        <v>117.04086407999999</v>
      </c>
      <c r="AR33" s="63">
        <v>115.13950724999999</v>
      </c>
      <c r="AS33" s="63">
        <v>156.96568408000002</v>
      </c>
      <c r="AT33" s="64">
        <v>187.53071663</v>
      </c>
      <c r="AU33" s="63">
        <v>171.22007815999999</v>
      </c>
      <c r="AV33" s="63">
        <v>257.76848428</v>
      </c>
      <c r="AW33" s="63">
        <v>268.8283007</v>
      </c>
      <c r="AX33" s="64">
        <v>289.14232883999995</v>
      </c>
      <c r="AY33" s="63">
        <v>147.2280954</v>
      </c>
      <c r="AZ33" s="63">
        <v>222.75425751</v>
      </c>
      <c r="BA33" s="63">
        <v>242.13319150999999</v>
      </c>
      <c r="BB33" s="64">
        <v>347.79977106000001</v>
      </c>
      <c r="BC33" s="63">
        <v>233.26123221</v>
      </c>
      <c r="BD33" s="63">
        <v>290.03490880999999</v>
      </c>
      <c r="BE33" s="63">
        <v>409.13812024000003</v>
      </c>
      <c r="BF33" s="64">
        <v>419.11702407999996</v>
      </c>
      <c r="BG33" s="63">
        <v>270.09419581000003</v>
      </c>
      <c r="BH33" s="63">
        <v>444.20014372000003</v>
      </c>
      <c r="BI33" s="63">
        <v>754.71226555999999</v>
      </c>
      <c r="BJ33" s="64">
        <v>1023.4567469900001</v>
      </c>
      <c r="BK33" s="63">
        <v>1175.3339557899999</v>
      </c>
      <c r="BL33" s="63">
        <v>1554.1839060499999</v>
      </c>
      <c r="BM33" s="63">
        <v>1683.1362611300001</v>
      </c>
      <c r="BN33" s="64">
        <v>1639.78324131</v>
      </c>
      <c r="BO33" s="63">
        <v>1989.7830289200001</v>
      </c>
      <c r="BP33" s="63">
        <v>2891.3554938299999</v>
      </c>
      <c r="BQ33" s="63">
        <f t="shared" ref="BQ33:BZ33" si="31">BQ20+BQ32</f>
        <v>3422.2989881418148</v>
      </c>
      <c r="BR33" s="64">
        <f t="shared" si="31"/>
        <v>3708.70064045661</v>
      </c>
      <c r="BS33" s="63">
        <f t="shared" si="31"/>
        <v>4195.2298723378963</v>
      </c>
      <c r="BT33" s="63">
        <f t="shared" si="31"/>
        <v>4734.6657524698421</v>
      </c>
      <c r="BU33" s="63">
        <f t="shared" si="31"/>
        <v>5346.1672038044126</v>
      </c>
      <c r="BV33" s="64">
        <f t="shared" si="31"/>
        <v>5519.8503004956392</v>
      </c>
      <c r="BW33" s="63">
        <f t="shared" si="31"/>
        <v>5298.9007003683037</v>
      </c>
      <c r="BX33" s="63">
        <f t="shared" si="31"/>
        <v>6071.9693992333141</v>
      </c>
      <c r="BY33" s="63">
        <f t="shared" si="31"/>
        <v>6589.9801413205414</v>
      </c>
      <c r="BZ33" s="64">
        <f t="shared" si="31"/>
        <v>6518.4926691534529</v>
      </c>
      <c r="CA33" s="42"/>
      <c r="CB33" s="4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</row>
    <row r="34" spans="1:115" x14ac:dyDescent="0.4">
      <c r="A34" s="103"/>
      <c r="B34" s="104" t="s">
        <v>82</v>
      </c>
      <c r="C34" s="55">
        <f t="shared" ref="C34:U34" si="32">+C12-C15+C32-C33</f>
        <v>0</v>
      </c>
      <c r="D34" s="55">
        <f t="shared" si="32"/>
        <v>0</v>
      </c>
      <c r="E34" s="55">
        <f t="shared" si="32"/>
        <v>0</v>
      </c>
      <c r="F34" s="55">
        <f t="shared" si="32"/>
        <v>0</v>
      </c>
      <c r="G34" s="55">
        <f t="shared" si="32"/>
        <v>0</v>
      </c>
      <c r="H34" s="55">
        <f t="shared" si="32"/>
        <v>0</v>
      </c>
      <c r="I34" s="55">
        <f t="shared" si="32"/>
        <v>0</v>
      </c>
      <c r="J34" s="55">
        <f t="shared" si="32"/>
        <v>0</v>
      </c>
      <c r="K34" s="55">
        <f t="shared" si="32"/>
        <v>0</v>
      </c>
      <c r="L34" s="55">
        <f>+L12-L15+L32-L33</f>
        <v>0</v>
      </c>
      <c r="M34" s="55">
        <f>+M12-M15+M32-M33</f>
        <v>0</v>
      </c>
      <c r="N34" s="55">
        <f>+N12-N15+N32-N33</f>
        <v>0</v>
      </c>
      <c r="O34" s="55">
        <f t="shared" si="32"/>
        <v>0</v>
      </c>
      <c r="P34" s="55">
        <f t="shared" si="32"/>
        <v>0</v>
      </c>
      <c r="Q34" s="55">
        <f>+Q12-Q15+Q32-Q33</f>
        <v>0</v>
      </c>
      <c r="R34" s="55">
        <f t="shared" si="32"/>
        <v>0</v>
      </c>
      <c r="S34" s="55">
        <f t="shared" si="32"/>
        <v>0</v>
      </c>
      <c r="T34" s="55">
        <f t="shared" si="32"/>
        <v>0</v>
      </c>
      <c r="U34" s="55">
        <f t="shared" si="32"/>
        <v>0</v>
      </c>
      <c r="V34" s="105"/>
      <c r="W34" s="55">
        <f t="shared" ref="W34:AU34" si="33">+W12-W15+W32-W33</f>
        <v>0</v>
      </c>
      <c r="X34" s="55">
        <f t="shared" si="33"/>
        <v>0</v>
      </c>
      <c r="Y34" s="55">
        <f t="shared" si="33"/>
        <v>0</v>
      </c>
      <c r="Z34" s="56">
        <f t="shared" si="33"/>
        <v>0</v>
      </c>
      <c r="AA34" s="55">
        <f t="shared" si="33"/>
        <v>0</v>
      </c>
      <c r="AB34" s="55">
        <f t="shared" si="33"/>
        <v>0</v>
      </c>
      <c r="AC34" s="55">
        <f t="shared" si="33"/>
        <v>0</v>
      </c>
      <c r="AD34" s="56">
        <f t="shared" si="33"/>
        <v>0</v>
      </c>
      <c r="AE34" s="55">
        <f t="shared" si="33"/>
        <v>0</v>
      </c>
      <c r="AF34" s="55">
        <f t="shared" si="33"/>
        <v>0</v>
      </c>
      <c r="AG34" s="55">
        <f t="shared" si="33"/>
        <v>0</v>
      </c>
      <c r="AH34" s="56">
        <f t="shared" si="33"/>
        <v>0</v>
      </c>
      <c r="AI34" s="55">
        <f t="shared" si="33"/>
        <v>0</v>
      </c>
      <c r="AJ34" s="55">
        <f t="shared" si="33"/>
        <v>0</v>
      </c>
      <c r="AK34" s="55">
        <f t="shared" si="33"/>
        <v>0</v>
      </c>
      <c r="AL34" s="56">
        <f t="shared" si="33"/>
        <v>0</v>
      </c>
      <c r="AM34" s="55">
        <f t="shared" si="33"/>
        <v>0</v>
      </c>
      <c r="AN34" s="55">
        <f t="shared" si="33"/>
        <v>0</v>
      </c>
      <c r="AO34" s="55">
        <f t="shared" si="33"/>
        <v>0</v>
      </c>
      <c r="AP34" s="56">
        <f t="shared" si="33"/>
        <v>0</v>
      </c>
      <c r="AQ34" s="55">
        <f t="shared" si="33"/>
        <v>0</v>
      </c>
      <c r="AR34" s="55">
        <f t="shared" si="33"/>
        <v>0</v>
      </c>
      <c r="AS34" s="55">
        <f t="shared" si="33"/>
        <v>0</v>
      </c>
      <c r="AT34" s="56">
        <f t="shared" si="33"/>
        <v>0</v>
      </c>
      <c r="AU34" s="55">
        <f t="shared" si="33"/>
        <v>0</v>
      </c>
      <c r="AV34" s="55">
        <f>+AV12-AV15+AV32-AV33</f>
        <v>0</v>
      </c>
      <c r="AW34" s="55">
        <f>+AW12-AW15+AW32-AW33</f>
        <v>0</v>
      </c>
      <c r="AX34" s="56">
        <f>+AX12-AX15+AX32-AX33</f>
        <v>0</v>
      </c>
      <c r="AY34" s="55">
        <f>+AY12-AY15+AY32-AY33</f>
        <v>0</v>
      </c>
      <c r="AZ34" s="55">
        <f t="shared" ref="AZ34:BR34" si="34">+AZ12-AZ15+AZ32-AZ33</f>
        <v>0</v>
      </c>
      <c r="BA34" s="106">
        <f t="shared" si="34"/>
        <v>0</v>
      </c>
      <c r="BB34" s="107">
        <f t="shared" si="34"/>
        <v>0</v>
      </c>
      <c r="BC34" s="55">
        <f t="shared" si="34"/>
        <v>0</v>
      </c>
      <c r="BD34" s="106">
        <f t="shared" si="34"/>
        <v>0</v>
      </c>
      <c r="BE34" s="106">
        <f t="shared" si="34"/>
        <v>0</v>
      </c>
      <c r="BF34" s="107">
        <f t="shared" si="34"/>
        <v>0</v>
      </c>
      <c r="BG34" s="106">
        <f t="shared" si="34"/>
        <v>0</v>
      </c>
      <c r="BH34" s="106">
        <f t="shared" si="34"/>
        <v>0</v>
      </c>
      <c r="BI34" s="106">
        <f t="shared" si="34"/>
        <v>0</v>
      </c>
      <c r="BJ34" s="107">
        <f t="shared" si="34"/>
        <v>0</v>
      </c>
      <c r="BK34" s="106">
        <f t="shared" si="34"/>
        <v>0</v>
      </c>
      <c r="BL34" s="106">
        <f t="shared" si="34"/>
        <v>0</v>
      </c>
      <c r="BM34" s="106">
        <f t="shared" si="34"/>
        <v>0</v>
      </c>
      <c r="BN34" s="107">
        <f t="shared" si="34"/>
        <v>0</v>
      </c>
      <c r="BO34" s="106">
        <f t="shared" si="34"/>
        <v>0</v>
      </c>
      <c r="BP34" s="106">
        <f t="shared" si="34"/>
        <v>0</v>
      </c>
      <c r="BQ34" s="106">
        <f t="shared" si="34"/>
        <v>0</v>
      </c>
      <c r="BR34" s="107">
        <f t="shared" si="34"/>
        <v>0</v>
      </c>
      <c r="BS34" s="106"/>
      <c r="BT34" s="106"/>
      <c r="BU34" s="106"/>
      <c r="BV34" s="107"/>
      <c r="BW34" s="106"/>
      <c r="BX34" s="106"/>
      <c r="BY34" s="106"/>
      <c r="BZ34" s="107"/>
      <c r="CA34" s="106"/>
      <c r="CB34" s="106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42"/>
      <c r="CP34" s="106"/>
      <c r="CQ34" s="106"/>
      <c r="CR34" s="106"/>
      <c r="CS34" s="106"/>
      <c r="CT34" s="106"/>
      <c r="CU34" s="106"/>
      <c r="CV34" s="106"/>
      <c r="CW34" s="106"/>
      <c r="CX34" s="106"/>
      <c r="CY34" s="106"/>
      <c r="CZ34" s="106"/>
      <c r="DA34" s="106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</row>
    <row r="35" spans="1:115" x14ac:dyDescent="0.4">
      <c r="A35" s="69"/>
      <c r="B35" s="104"/>
      <c r="C35" s="50"/>
      <c r="D35" s="50"/>
      <c r="E35" s="50"/>
      <c r="F35" s="50"/>
      <c r="G35" s="50"/>
      <c r="H35" s="50"/>
      <c r="I35" s="100"/>
      <c r="J35" s="100"/>
      <c r="K35" s="100"/>
      <c r="L35" s="100"/>
      <c r="M35" s="100"/>
      <c r="N35" s="100"/>
      <c r="O35" s="42"/>
      <c r="P35" s="42"/>
      <c r="Q35" s="42"/>
      <c r="R35" s="42"/>
      <c r="S35" s="94"/>
      <c r="T35" s="42"/>
      <c r="U35" s="42"/>
      <c r="V35" s="8"/>
      <c r="W35" s="50"/>
      <c r="X35" s="50"/>
      <c r="Y35" s="50"/>
      <c r="Z35" s="51"/>
      <c r="AA35" s="50"/>
      <c r="AB35" s="50"/>
      <c r="AC35" s="50"/>
      <c r="AD35" s="51"/>
      <c r="AE35" s="50"/>
      <c r="AF35" s="50"/>
      <c r="AG35" s="50"/>
      <c r="AH35" s="51"/>
      <c r="AI35" s="50"/>
      <c r="AJ35" s="50"/>
      <c r="AK35" s="50"/>
      <c r="AL35" s="51"/>
      <c r="AM35" s="50"/>
      <c r="AN35" s="50"/>
      <c r="AO35" s="50"/>
      <c r="AP35" s="51"/>
      <c r="AQ35" s="50"/>
      <c r="AR35" s="50"/>
      <c r="AS35" s="50"/>
      <c r="AT35" s="51"/>
      <c r="AU35" s="50"/>
      <c r="AV35" s="50"/>
      <c r="AW35" s="42"/>
      <c r="AX35" s="44"/>
      <c r="AY35" s="42"/>
      <c r="AZ35" s="42"/>
      <c r="BA35" s="42"/>
      <c r="BB35" s="44"/>
      <c r="BC35" s="42"/>
      <c r="BD35" s="42"/>
      <c r="BE35" s="42"/>
      <c r="BF35" s="44"/>
      <c r="BG35" s="42"/>
      <c r="BH35" s="42"/>
      <c r="BI35" s="45"/>
      <c r="BJ35" s="46"/>
      <c r="BK35" s="42"/>
      <c r="BL35" s="42"/>
      <c r="BM35" s="45"/>
      <c r="BN35" s="46"/>
      <c r="BO35" s="45"/>
      <c r="BP35" s="45"/>
      <c r="BQ35" s="45"/>
      <c r="BR35" s="46"/>
      <c r="BS35" s="42"/>
      <c r="BT35" s="42"/>
      <c r="BU35" s="45"/>
      <c r="BV35" s="46"/>
      <c r="BW35" s="42"/>
      <c r="BX35" s="42"/>
      <c r="BY35" s="45"/>
      <c r="BZ35" s="46"/>
      <c r="CA35" s="42"/>
      <c r="CB35" s="42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</row>
    <row r="36" spans="1:115" x14ac:dyDescent="0.4">
      <c r="A36" s="41"/>
      <c r="B36" s="59" t="s">
        <v>83</v>
      </c>
      <c r="C36" s="50">
        <v>4.1602531599999999</v>
      </c>
      <c r="D36" s="50">
        <v>7.0203087699999998</v>
      </c>
      <c r="E36" s="50">
        <v>8.4882778600000002</v>
      </c>
      <c r="F36" s="50">
        <v>4.8648625700000006</v>
      </c>
      <c r="G36" s="50">
        <v>1.9712163300000001</v>
      </c>
      <c r="H36" s="50">
        <v>0.50694348999999994</v>
      </c>
      <c r="I36" s="50">
        <v>0.77887854000000001</v>
      </c>
      <c r="J36" s="50">
        <v>0.85673003000000003</v>
      </c>
      <c r="K36" s="50">
        <v>44.387406970000001</v>
      </c>
      <c r="L36" s="50">
        <v>71.836497900000012</v>
      </c>
      <c r="M36" s="50">
        <v>63.18957151</v>
      </c>
      <c r="N36" s="50">
        <v>110.53494433</v>
      </c>
      <c r="O36" s="50">
        <v>73.418669769999994</v>
      </c>
      <c r="P36" s="50">
        <f t="shared" ref="P36:S39" si="35">SUMIF($W$3:$BR$3,P$4,$W36:$BR36)</f>
        <v>117.86204246</v>
      </c>
      <c r="Q36" s="50">
        <f t="shared" si="35"/>
        <v>284.81319568000004</v>
      </c>
      <c r="R36" s="50">
        <f t="shared" si="35"/>
        <v>680.66222534999997</v>
      </c>
      <c r="S36" s="50">
        <f t="shared" si="35"/>
        <v>1494.4009878618108</v>
      </c>
      <c r="T36" s="50">
        <f t="shared" ref="T36:U39" si="36">SUMIF($W$3:$BZ$3,T$4,$W36:$BZ36)</f>
        <v>2375.5095754929348</v>
      </c>
      <c r="U36" s="50">
        <f t="shared" si="36"/>
        <v>2937.521149209073</v>
      </c>
      <c r="V36" s="8"/>
      <c r="W36" s="50">
        <v>0.81827693999999995</v>
      </c>
      <c r="X36" s="50">
        <v>-0.90110973999999999</v>
      </c>
      <c r="Y36" s="50">
        <v>0.70809208999999995</v>
      </c>
      <c r="Z36" s="51">
        <v>-1.5656280000000002E-2</v>
      </c>
      <c r="AA36" s="50">
        <v>0</v>
      </c>
      <c r="AB36" s="50">
        <v>0</v>
      </c>
      <c r="AC36" s="50">
        <v>0</v>
      </c>
      <c r="AD36" s="51">
        <v>0.77887854000000001</v>
      </c>
      <c r="AE36" s="50">
        <v>0</v>
      </c>
      <c r="AF36" s="50">
        <v>0.96845216000000001</v>
      </c>
      <c r="AG36" s="50">
        <v>-0.45922028999999998</v>
      </c>
      <c r="AH36" s="51">
        <v>0.34749816</v>
      </c>
      <c r="AI36" s="50">
        <v>0</v>
      </c>
      <c r="AJ36" s="50">
        <v>0.41265871000000004</v>
      </c>
      <c r="AK36" s="50">
        <v>22.476526379999999</v>
      </c>
      <c r="AL36" s="51">
        <v>21.498221879999999</v>
      </c>
      <c r="AM36" s="50">
        <v>20.827132719999998</v>
      </c>
      <c r="AN36" s="50">
        <v>29.051968149999997</v>
      </c>
      <c r="AO36" s="50">
        <v>18.721021889999999</v>
      </c>
      <c r="AP36" s="51">
        <v>3.2363751400000003</v>
      </c>
      <c r="AQ36" s="50">
        <v>17.540925269999999</v>
      </c>
      <c r="AR36" s="50">
        <v>7.3253887000000004</v>
      </c>
      <c r="AS36" s="50">
        <v>6.3952056800000001</v>
      </c>
      <c r="AT36" s="51">
        <v>31.92805186</v>
      </c>
      <c r="AU36" s="50">
        <v>17.55821126</v>
      </c>
      <c r="AV36" s="50">
        <v>45.283206240000005</v>
      </c>
      <c r="AW36" s="50">
        <v>30.688738300000001</v>
      </c>
      <c r="AX36" s="51">
        <v>17.004788530000003</v>
      </c>
      <c r="AY36" s="50">
        <v>12.251966730000001</v>
      </c>
      <c r="AZ36" s="50">
        <v>12.460758999999999</v>
      </c>
      <c r="BA36" s="50">
        <v>21.706854549999999</v>
      </c>
      <c r="BB36" s="51">
        <v>26.999089489999999</v>
      </c>
      <c r="BC36" s="50">
        <v>17.96113145</v>
      </c>
      <c r="BD36" s="50">
        <v>15.689838930000001</v>
      </c>
      <c r="BE36" s="50">
        <v>47.862080060000004</v>
      </c>
      <c r="BF36" s="51">
        <v>36.348992020000004</v>
      </c>
      <c r="BG36" s="50">
        <v>25.505658219999997</v>
      </c>
      <c r="BH36" s="50">
        <v>41.668272950000002</v>
      </c>
      <c r="BI36" s="50">
        <v>89.529402250000004</v>
      </c>
      <c r="BJ36" s="51">
        <v>128.10986226</v>
      </c>
      <c r="BK36" s="50">
        <v>147.63651831999999</v>
      </c>
      <c r="BL36" s="50">
        <v>174.95992756000001</v>
      </c>
      <c r="BM36" s="50">
        <v>218.48829694</v>
      </c>
      <c r="BN36" s="51">
        <v>139.57748253</v>
      </c>
      <c r="BO36" s="50">
        <v>299.2676783</v>
      </c>
      <c r="BP36" s="50">
        <v>339.41335413000002</v>
      </c>
      <c r="BQ36" s="73">
        <f t="shared" ref="BQ36:BZ36" si="37">+BQ89*BQ33</f>
        <v>410.67587857701778</v>
      </c>
      <c r="BR36" s="108">
        <f t="shared" si="37"/>
        <v>445.04407685479316</v>
      </c>
      <c r="BS36" s="73">
        <f t="shared" si="37"/>
        <v>503.42758468054751</v>
      </c>
      <c r="BT36" s="73">
        <f t="shared" si="37"/>
        <v>568.15989029638104</v>
      </c>
      <c r="BU36" s="73">
        <f t="shared" si="37"/>
        <v>641.54006445652954</v>
      </c>
      <c r="BV36" s="108">
        <f t="shared" si="37"/>
        <v>662.38203605947672</v>
      </c>
      <c r="BW36" s="73">
        <f t="shared" si="37"/>
        <v>635.86808404419639</v>
      </c>
      <c r="BX36" s="73">
        <f t="shared" si="37"/>
        <v>728.63632790799761</v>
      </c>
      <c r="BY36" s="73">
        <f t="shared" si="37"/>
        <v>790.79761695846491</v>
      </c>
      <c r="BZ36" s="108">
        <f t="shared" si="37"/>
        <v>782.21912029841428</v>
      </c>
      <c r="CA36" s="73"/>
      <c r="CB36" s="73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50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</row>
    <row r="37" spans="1:115" x14ac:dyDescent="0.4">
      <c r="A37" s="41"/>
      <c r="B37" s="50" t="s">
        <v>84</v>
      </c>
      <c r="C37" s="50">
        <f>+C33-C36-C40</f>
        <v>0</v>
      </c>
      <c r="D37" s="50">
        <f t="shared" ref="D37:J37" si="38">+D33-D36-D40</f>
        <v>0</v>
      </c>
      <c r="E37" s="50">
        <f t="shared" si="38"/>
        <v>0</v>
      </c>
      <c r="F37" s="50">
        <f t="shared" si="38"/>
        <v>0</v>
      </c>
      <c r="G37" s="50">
        <f t="shared" si="38"/>
        <v>0</v>
      </c>
      <c r="H37" s="50">
        <f t="shared" si="38"/>
        <v>0.10265951999999867</v>
      </c>
      <c r="I37" s="50">
        <f t="shared" si="38"/>
        <v>0</v>
      </c>
      <c r="J37" s="50">
        <f t="shared" si="38"/>
        <v>0</v>
      </c>
      <c r="K37" s="50">
        <f>+K33-K36-K40</f>
        <v>0</v>
      </c>
      <c r="L37" s="50">
        <f>+L33-L36-L40</f>
        <v>0</v>
      </c>
      <c r="M37" s="50">
        <f>+M33-M36-M40</f>
        <v>0</v>
      </c>
      <c r="N37" s="50">
        <f>+N33-N36-N40</f>
        <v>10.940697179999916</v>
      </c>
      <c r="O37" s="50">
        <f>+O33-O36-O40</f>
        <v>9.5195193900000277</v>
      </c>
      <c r="P37" s="50">
        <f t="shared" si="35"/>
        <v>9.698376699999983</v>
      </c>
      <c r="Q37" s="50">
        <f t="shared" si="35"/>
        <v>34.122408630000109</v>
      </c>
      <c r="R37" s="50">
        <f t="shared" si="35"/>
        <v>200.28917107999951</v>
      </c>
      <c r="S37" s="50">
        <f t="shared" si="35"/>
        <v>623.85888600999613</v>
      </c>
      <c r="T37" s="50">
        <f t="shared" si="36"/>
        <v>889.90631472600012</v>
      </c>
      <c r="U37" s="50">
        <f t="shared" si="36"/>
        <v>1052.5870414038891</v>
      </c>
      <c r="V37" s="8"/>
      <c r="W37" s="50">
        <f>+W33-W36-W40</f>
        <v>0</v>
      </c>
      <c r="X37" s="50">
        <f t="shared" ref="X37:AM37" si="39">+X33-X36-X40</f>
        <v>0</v>
      </c>
      <c r="Y37" s="50">
        <f t="shared" si="39"/>
        <v>0</v>
      </c>
      <c r="Z37" s="51">
        <f>+Z33-Z36-Z40</f>
        <v>0</v>
      </c>
      <c r="AA37" s="50">
        <f t="shared" si="39"/>
        <v>0</v>
      </c>
      <c r="AB37" s="50">
        <f t="shared" si="39"/>
        <v>0</v>
      </c>
      <c r="AC37" s="50">
        <f t="shared" si="39"/>
        <v>0</v>
      </c>
      <c r="AD37" s="51">
        <f t="shared" si="39"/>
        <v>0</v>
      </c>
      <c r="AE37" s="50">
        <f t="shared" si="39"/>
        <v>0</v>
      </c>
      <c r="AF37" s="50">
        <f t="shared" si="39"/>
        <v>0</v>
      </c>
      <c r="AG37" s="50">
        <f t="shared" si="39"/>
        <v>0</v>
      </c>
      <c r="AH37" s="51">
        <f t="shared" si="39"/>
        <v>0</v>
      </c>
      <c r="AI37" s="50">
        <f t="shared" si="39"/>
        <v>0</v>
      </c>
      <c r="AJ37" s="50">
        <f t="shared" si="39"/>
        <v>0</v>
      </c>
      <c r="AK37" s="50">
        <f t="shared" si="39"/>
        <v>0</v>
      </c>
      <c r="AL37" s="51">
        <f t="shared" si="39"/>
        <v>0</v>
      </c>
      <c r="AM37" s="50">
        <f t="shared" si="39"/>
        <v>0</v>
      </c>
      <c r="AN37" s="50">
        <f>+AN33-AN36-AN40</f>
        <v>0</v>
      </c>
      <c r="AO37" s="50">
        <f t="shared" ref="AO37:BO37" si="40">+AO33-AO36-AO40-AO38-AO39</f>
        <v>0</v>
      </c>
      <c r="AP37" s="51">
        <f t="shared" si="40"/>
        <v>-2.8421709430404007E-14</v>
      </c>
      <c r="AQ37" s="50">
        <f t="shared" si="40"/>
        <v>-1.4210854715202004E-14</v>
      </c>
      <c r="AR37" s="50">
        <f t="shared" si="40"/>
        <v>-1.4210854715202004E-14</v>
      </c>
      <c r="AS37" s="50">
        <f t="shared" si="40"/>
        <v>0</v>
      </c>
      <c r="AT37" s="51">
        <f t="shared" si="40"/>
        <v>-2.8421709430404007E-14</v>
      </c>
      <c r="AU37" s="50">
        <f t="shared" si="40"/>
        <v>-2.8421709430404007E-14</v>
      </c>
      <c r="AV37" s="50">
        <f t="shared" si="40"/>
        <v>1.0069289700000184</v>
      </c>
      <c r="AW37" s="50">
        <f t="shared" si="40"/>
        <v>3.4039807199999927</v>
      </c>
      <c r="AX37" s="51">
        <f t="shared" si="40"/>
        <v>6.5297874899999897</v>
      </c>
      <c r="AY37" s="50">
        <f t="shared" si="40"/>
        <v>1.9064315100000044</v>
      </c>
      <c r="AZ37" s="50">
        <f t="shared" si="40"/>
        <v>2.5422375100000068</v>
      </c>
      <c r="BA37" s="50">
        <f t="shared" si="40"/>
        <v>1.1439381599999763</v>
      </c>
      <c r="BB37" s="51">
        <f t="shared" si="40"/>
        <v>3.9269122099999549</v>
      </c>
      <c r="BC37" s="50">
        <f t="shared" si="40"/>
        <v>-2.1125026400000024</v>
      </c>
      <c r="BD37" s="50">
        <f t="shared" si="40"/>
        <v>-0.69750112000002673</v>
      </c>
      <c r="BE37" s="50">
        <f t="shared" si="40"/>
        <v>1.2227786100000344</v>
      </c>
      <c r="BF37" s="51">
        <f t="shared" si="40"/>
        <v>11.285601849999978</v>
      </c>
      <c r="BG37" s="50">
        <f t="shared" si="40"/>
        <v>-5.3317328799999473</v>
      </c>
      <c r="BH37" s="50">
        <f t="shared" si="40"/>
        <v>38.699361180000039</v>
      </c>
      <c r="BI37" s="50">
        <f t="shared" si="40"/>
        <v>-16.932236260000082</v>
      </c>
      <c r="BJ37" s="51">
        <f t="shared" si="40"/>
        <v>17.687016590000098</v>
      </c>
      <c r="BK37" s="50">
        <f t="shared" si="40"/>
        <v>18.431139729999813</v>
      </c>
      <c r="BL37" s="50">
        <f t="shared" si="40"/>
        <v>30.069224809999696</v>
      </c>
      <c r="BM37" s="50">
        <f t="shared" si="40"/>
        <v>70.409845460000042</v>
      </c>
      <c r="BN37" s="51">
        <f t="shared" si="40"/>
        <v>81.378961079999954</v>
      </c>
      <c r="BO37" s="50">
        <f t="shared" si="40"/>
        <v>107.63922195000009</v>
      </c>
      <c r="BP37" s="50">
        <f>+BP33-BP36-BP40-BP38-BP39</f>
        <v>139.70288366999921</v>
      </c>
      <c r="BQ37" s="96">
        <f>+(BQ33-BQ36)*0.06</f>
        <v>180.69738657388783</v>
      </c>
      <c r="BR37" s="97">
        <f>+(BR33-BR36)*0.06</f>
        <v>195.819393816109</v>
      </c>
      <c r="BS37" s="96">
        <f>+Assumption!R379</f>
        <v>188.70837556106252</v>
      </c>
      <c r="BT37" s="96">
        <f>+Assumption!S379</f>
        <v>211.60842290981253</v>
      </c>
      <c r="BU37" s="96">
        <f>+Assumption!T379</f>
        <v>234.32998684631249</v>
      </c>
      <c r="BV37" s="97">
        <f>+Assumption!U379</f>
        <v>255.25952940881254</v>
      </c>
      <c r="BW37" s="96">
        <f>+Assumption!V379</f>
        <v>236.56777919372814</v>
      </c>
      <c r="BX37" s="96">
        <f>+Assumption!W379</f>
        <v>268.43237137390781</v>
      </c>
      <c r="BY37" s="96">
        <f>+Assumption!X379</f>
        <v>274.58678821390782</v>
      </c>
      <c r="BZ37" s="97">
        <f>+Assumption!Y379</f>
        <v>273.00010262234531</v>
      </c>
      <c r="CA37" s="55"/>
      <c r="CB37" s="4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50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</row>
    <row r="38" spans="1:115" x14ac:dyDescent="0.4">
      <c r="A38" s="41"/>
      <c r="B38" s="50" t="s">
        <v>85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f>+K12/J12-1</f>
        <v>14.702157852159566</v>
      </c>
      <c r="L38" s="50">
        <f>+L12/K12-1</f>
        <v>1.2267282637465744</v>
      </c>
      <c r="M38" s="50">
        <f>+M12/L12-1</f>
        <v>-8.2798448703702676E-2</v>
      </c>
      <c r="N38" s="50">
        <v>0</v>
      </c>
      <c r="O38" s="50">
        <v>0</v>
      </c>
      <c r="P38" s="50">
        <f t="shared" si="35"/>
        <v>0</v>
      </c>
      <c r="Q38" s="50">
        <f t="shared" si="35"/>
        <v>0</v>
      </c>
      <c r="R38" s="50">
        <f t="shared" si="35"/>
        <v>0</v>
      </c>
      <c r="S38" s="50">
        <f t="shared" si="35"/>
        <v>0</v>
      </c>
      <c r="T38" s="50">
        <f t="shared" si="36"/>
        <v>0</v>
      </c>
      <c r="U38" s="50">
        <f t="shared" si="36"/>
        <v>0</v>
      </c>
      <c r="V38" s="8"/>
      <c r="W38" s="50"/>
      <c r="X38" s="50"/>
      <c r="Y38" s="50"/>
      <c r="Z38" s="51"/>
      <c r="AA38" s="50"/>
      <c r="AB38" s="50"/>
      <c r="AC38" s="50"/>
      <c r="AD38" s="51"/>
      <c r="AE38" s="50"/>
      <c r="AF38" s="50"/>
      <c r="AG38" s="50"/>
      <c r="AH38" s="51"/>
      <c r="AI38" s="50">
        <v>0</v>
      </c>
      <c r="AJ38" s="50">
        <v>0</v>
      </c>
      <c r="AK38" s="50">
        <v>0</v>
      </c>
      <c r="AL38" s="51">
        <v>0</v>
      </c>
      <c r="AM38" s="50">
        <v>0</v>
      </c>
      <c r="AN38" s="50">
        <v>0</v>
      </c>
      <c r="AO38" s="50">
        <v>0</v>
      </c>
      <c r="AP38" s="51">
        <v>0</v>
      </c>
      <c r="AQ38" s="50">
        <v>0</v>
      </c>
      <c r="AR38" s="50">
        <v>0</v>
      </c>
      <c r="AS38" s="50">
        <v>0</v>
      </c>
      <c r="AT38" s="51">
        <v>0</v>
      </c>
      <c r="AU38" s="50">
        <v>0</v>
      </c>
      <c r="AV38" s="50">
        <v>0</v>
      </c>
      <c r="AW38" s="50">
        <v>0</v>
      </c>
      <c r="AX38" s="51">
        <v>0</v>
      </c>
      <c r="AY38" s="50">
        <v>0</v>
      </c>
      <c r="AZ38" s="50">
        <v>0</v>
      </c>
      <c r="BA38" s="50">
        <v>0</v>
      </c>
      <c r="BB38" s="51">
        <v>0</v>
      </c>
      <c r="BC38" s="50">
        <v>0</v>
      </c>
      <c r="BD38" s="50">
        <v>0</v>
      </c>
      <c r="BE38" s="50">
        <v>0</v>
      </c>
      <c r="BF38" s="51">
        <v>0</v>
      </c>
      <c r="BG38" s="50">
        <v>0</v>
      </c>
      <c r="BH38" s="50">
        <v>0</v>
      </c>
      <c r="BI38" s="50">
        <v>0</v>
      </c>
      <c r="BJ38" s="51">
        <v>0</v>
      </c>
      <c r="BK38" s="50">
        <v>0</v>
      </c>
      <c r="BL38" s="50">
        <v>0</v>
      </c>
      <c r="BM38" s="50">
        <v>0</v>
      </c>
      <c r="BN38" s="51">
        <v>0</v>
      </c>
      <c r="BO38" s="50">
        <v>0</v>
      </c>
      <c r="BP38" s="50">
        <v>0</v>
      </c>
      <c r="BQ38" s="96">
        <v>0</v>
      </c>
      <c r="BR38" s="97">
        <v>0</v>
      </c>
      <c r="BS38" s="96">
        <v>0</v>
      </c>
      <c r="BT38" s="96">
        <v>0</v>
      </c>
      <c r="BU38" s="96">
        <v>0</v>
      </c>
      <c r="BV38" s="97">
        <v>0</v>
      </c>
      <c r="BW38" s="96">
        <v>0</v>
      </c>
      <c r="BX38" s="96">
        <v>0</v>
      </c>
      <c r="BY38" s="96">
        <v>0</v>
      </c>
      <c r="BZ38" s="97">
        <v>0</v>
      </c>
      <c r="CA38" s="55"/>
      <c r="CB38" s="55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50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</row>
    <row r="39" spans="1:115" x14ac:dyDescent="0.4">
      <c r="A39" s="41"/>
      <c r="B39" s="59" t="s">
        <v>86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50">
        <v>0</v>
      </c>
      <c r="P39" s="50">
        <f t="shared" si="35"/>
        <v>0</v>
      </c>
      <c r="Q39" s="50">
        <f t="shared" si="35"/>
        <v>0</v>
      </c>
      <c r="R39" s="50">
        <f t="shared" si="35"/>
        <v>0</v>
      </c>
      <c r="S39" s="50">
        <f t="shared" si="35"/>
        <v>0</v>
      </c>
      <c r="T39" s="50">
        <f t="shared" si="36"/>
        <v>0</v>
      </c>
      <c r="U39" s="50">
        <f t="shared" si="36"/>
        <v>0</v>
      </c>
      <c r="V39" s="8"/>
      <c r="W39" s="50"/>
      <c r="X39" s="50"/>
      <c r="Y39" s="50"/>
      <c r="Z39" s="51"/>
      <c r="AA39" s="50"/>
      <c r="AB39" s="50"/>
      <c r="AC39" s="50"/>
      <c r="AD39" s="51"/>
      <c r="AE39" s="50"/>
      <c r="AF39" s="50"/>
      <c r="AG39" s="50"/>
      <c r="AH39" s="51"/>
      <c r="AI39" s="50">
        <v>0</v>
      </c>
      <c r="AJ39" s="50">
        <v>0</v>
      </c>
      <c r="AK39" s="50">
        <v>0</v>
      </c>
      <c r="AL39" s="51">
        <v>0</v>
      </c>
      <c r="AM39" s="50">
        <v>0</v>
      </c>
      <c r="AN39" s="50">
        <v>0</v>
      </c>
      <c r="AO39" s="50">
        <v>0</v>
      </c>
      <c r="AP39" s="51">
        <v>0</v>
      </c>
      <c r="AQ39" s="50">
        <v>0</v>
      </c>
      <c r="AR39" s="50">
        <v>0</v>
      </c>
      <c r="AS39" s="50">
        <v>0</v>
      </c>
      <c r="AT39" s="51">
        <v>0</v>
      </c>
      <c r="AU39" s="50">
        <v>0</v>
      </c>
      <c r="AV39" s="50">
        <v>0</v>
      </c>
      <c r="AW39" s="50">
        <v>0</v>
      </c>
      <c r="AX39" s="51">
        <v>0</v>
      </c>
      <c r="AY39" s="50">
        <v>0</v>
      </c>
      <c r="AZ39" s="50">
        <v>0</v>
      </c>
      <c r="BA39" s="50">
        <v>0</v>
      </c>
      <c r="BB39" s="51">
        <v>0</v>
      </c>
      <c r="BC39" s="50">
        <v>0</v>
      </c>
      <c r="BD39" s="50">
        <v>0</v>
      </c>
      <c r="BE39" s="50">
        <v>0</v>
      </c>
      <c r="BF39" s="51">
        <v>0</v>
      </c>
      <c r="BG39" s="50">
        <v>0</v>
      </c>
      <c r="BH39" s="50">
        <v>0</v>
      </c>
      <c r="BI39" s="50">
        <v>0</v>
      </c>
      <c r="BJ39" s="51">
        <v>0</v>
      </c>
      <c r="BK39" s="50">
        <v>0</v>
      </c>
      <c r="BL39" s="50">
        <v>0</v>
      </c>
      <c r="BM39" s="50">
        <v>0</v>
      </c>
      <c r="BN39" s="51">
        <v>0</v>
      </c>
      <c r="BO39" s="50">
        <v>0</v>
      </c>
      <c r="BP39" s="50">
        <v>0</v>
      </c>
      <c r="BQ39" s="96">
        <v>0</v>
      </c>
      <c r="BR39" s="109">
        <v>0</v>
      </c>
      <c r="BS39" s="96">
        <v>0</v>
      </c>
      <c r="BT39" s="96">
        <v>0</v>
      </c>
      <c r="BU39" s="96">
        <v>0</v>
      </c>
      <c r="BV39" s="109">
        <v>0</v>
      </c>
      <c r="BW39" s="96">
        <v>0</v>
      </c>
      <c r="BX39" s="96">
        <v>0</v>
      </c>
      <c r="BY39" s="96">
        <v>0</v>
      </c>
      <c r="BZ39" s="109">
        <v>0</v>
      </c>
      <c r="CA39" s="55"/>
      <c r="CB39" s="55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50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</row>
    <row r="40" spans="1:115" x14ac:dyDescent="0.4">
      <c r="A40" s="41"/>
      <c r="B40" s="63" t="s">
        <v>87</v>
      </c>
      <c r="C40" s="63">
        <v>31.271556390000001</v>
      </c>
      <c r="D40" s="63">
        <v>41.915851770000003</v>
      </c>
      <c r="E40" s="63">
        <v>51.210408649999998</v>
      </c>
      <c r="F40" s="63">
        <v>28.775877569999999</v>
      </c>
      <c r="G40" s="63">
        <v>14.240927060000001</v>
      </c>
      <c r="H40" s="102">
        <f>SUM(W40:Z40)</f>
        <v>5.7536568299999997</v>
      </c>
      <c r="I40" s="102">
        <f>SUM(AA40:AD40)</f>
        <v>5.5443690000000005</v>
      </c>
      <c r="J40" s="102">
        <v>10.054131539999998</v>
      </c>
      <c r="K40" s="110">
        <f>SUM(AI40:AL40)</f>
        <v>161.50541637000001</v>
      </c>
      <c r="L40" s="63">
        <v>623.11598004999996</v>
      </c>
      <c r="M40" s="63">
        <v>513.48720053</v>
      </c>
      <c r="N40" s="63">
        <v>865.48355047000007</v>
      </c>
      <c r="O40" s="63">
        <v>876.97712632000002</v>
      </c>
      <c r="P40" s="63">
        <f t="shared" ref="P40:U40" si="41">+P33-P36-P37-P38+P39</f>
        <v>1223.9908661800002</v>
      </c>
      <c r="Q40" s="63">
        <f>+Q33-Q36-Q37-Q38+Q39</f>
        <v>2173.527747770001</v>
      </c>
      <c r="R40" s="63">
        <f t="shared" si="41"/>
        <v>5171.4859678499979</v>
      </c>
      <c r="S40" s="63">
        <f t="shared" si="41"/>
        <v>9893.8782774766187</v>
      </c>
      <c r="T40" s="63">
        <f t="shared" si="41"/>
        <v>16530.497238888853</v>
      </c>
      <c r="U40" s="63">
        <f t="shared" si="41"/>
        <v>20489.234719462649</v>
      </c>
      <c r="V40" s="43"/>
      <c r="W40" s="63">
        <v>4.6369026600000005</v>
      </c>
      <c r="X40" s="63">
        <v>-7.6304896100000006</v>
      </c>
      <c r="Y40" s="63">
        <v>4.0125218399999998</v>
      </c>
      <c r="Z40" s="64">
        <v>4.73472194</v>
      </c>
      <c r="AA40" s="102">
        <v>-3.8332600600000002</v>
      </c>
      <c r="AB40" s="102">
        <v>-1.27160206</v>
      </c>
      <c r="AC40" s="102">
        <v>-0.26528028000000003</v>
      </c>
      <c r="AD40" s="111">
        <v>10.9145114</v>
      </c>
      <c r="AE40" s="63">
        <v>-6.4971679299999998</v>
      </c>
      <c r="AF40" s="63">
        <v>11.818944199999999</v>
      </c>
      <c r="AG40" s="63">
        <v>-1.1720835600000001</v>
      </c>
      <c r="AH40" s="64">
        <v>5.9044388300000001</v>
      </c>
      <c r="AI40" s="110">
        <v>-4.3815273600000006</v>
      </c>
      <c r="AJ40" s="110">
        <v>8.35029793</v>
      </c>
      <c r="AK40" s="110">
        <v>122.33511609</v>
      </c>
      <c r="AL40" s="112">
        <v>35.201529710000003</v>
      </c>
      <c r="AM40" s="63">
        <v>147.76665623</v>
      </c>
      <c r="AN40" s="63">
        <v>169.1371925</v>
      </c>
      <c r="AO40" s="63">
        <v>164.56985677</v>
      </c>
      <c r="AP40" s="64">
        <v>141.64227455000002</v>
      </c>
      <c r="AQ40" s="63">
        <v>99.499938810000003</v>
      </c>
      <c r="AR40" s="63">
        <v>107.81411855</v>
      </c>
      <c r="AS40" s="63">
        <v>150.57047840000001</v>
      </c>
      <c r="AT40" s="64">
        <v>155.60266477000002</v>
      </c>
      <c r="AU40" s="63">
        <v>153.66186690000001</v>
      </c>
      <c r="AV40" s="63">
        <v>211.47834906999998</v>
      </c>
      <c r="AW40" s="63">
        <v>234.73558168</v>
      </c>
      <c r="AX40" s="64">
        <v>265.60775281999997</v>
      </c>
      <c r="AY40" s="63">
        <v>133.06969716</v>
      </c>
      <c r="AZ40" s="63">
        <v>207.751261</v>
      </c>
      <c r="BA40" s="63">
        <v>219.28239880000001</v>
      </c>
      <c r="BB40" s="64">
        <v>316.87376936000004</v>
      </c>
      <c r="BC40" s="63">
        <v>217.41260339999999</v>
      </c>
      <c r="BD40" s="63">
        <v>275.04257100000001</v>
      </c>
      <c r="BE40" s="63">
        <v>360.05326157000002</v>
      </c>
      <c r="BF40" s="64">
        <v>371.48243020999996</v>
      </c>
      <c r="BG40" s="63">
        <v>249.92027046999999</v>
      </c>
      <c r="BH40" s="63">
        <v>363.83250958999997</v>
      </c>
      <c r="BI40" s="63">
        <v>682.1150995700001</v>
      </c>
      <c r="BJ40" s="64">
        <v>877.65986813999996</v>
      </c>
      <c r="BK40" s="63">
        <v>1009.26629774</v>
      </c>
      <c r="BL40" s="63">
        <v>1349.1547536800001</v>
      </c>
      <c r="BM40" s="63">
        <v>1394.23811873</v>
      </c>
      <c r="BN40" s="64">
        <v>1418.8267977</v>
      </c>
      <c r="BO40" s="63">
        <v>1582.8761286700001</v>
      </c>
      <c r="BP40" s="63">
        <v>2412.2392560300004</v>
      </c>
      <c r="BQ40" s="63">
        <f>+BQ33-BQ36-BQ37-BQ38+BQ39</f>
        <v>2830.9257229909094</v>
      </c>
      <c r="BR40" s="64">
        <f>+BR33-BR36-BR37-BR38+BR39</f>
        <v>3067.8371697857078</v>
      </c>
      <c r="BS40" s="63">
        <f t="shared" ref="BS40:BZ40" si="42">+BS33-BS36-BS37-BS38+BS39</f>
        <v>3503.0939120962862</v>
      </c>
      <c r="BT40" s="63">
        <f t="shared" si="42"/>
        <v>3954.8974392636483</v>
      </c>
      <c r="BU40" s="63">
        <f t="shared" si="42"/>
        <v>4470.2971525015701</v>
      </c>
      <c r="BV40" s="64">
        <f t="shared" si="42"/>
        <v>4602.2087350273505</v>
      </c>
      <c r="BW40" s="63">
        <f t="shared" si="42"/>
        <v>4426.4648371303792</v>
      </c>
      <c r="BX40" s="63">
        <f t="shared" si="42"/>
        <v>5074.9006999514086</v>
      </c>
      <c r="BY40" s="63">
        <f t="shared" si="42"/>
        <v>5524.5957361481687</v>
      </c>
      <c r="BZ40" s="64">
        <f t="shared" si="42"/>
        <v>5463.2734462326935</v>
      </c>
      <c r="CA40" s="42"/>
      <c r="CB40" s="4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</row>
    <row r="41" spans="1:115" x14ac:dyDescent="0.4">
      <c r="A41" s="103"/>
      <c r="B41" s="104" t="s">
        <v>82</v>
      </c>
      <c r="C41" s="55">
        <f>+C33-C36-C37-C40</f>
        <v>0</v>
      </c>
      <c r="D41" s="55">
        <f t="shared" ref="D41:U41" si="43">+D33-D36-D37-D40</f>
        <v>0</v>
      </c>
      <c r="E41" s="55">
        <f>+E33-E36-E37-E40</f>
        <v>0</v>
      </c>
      <c r="F41" s="55">
        <f t="shared" si="43"/>
        <v>0</v>
      </c>
      <c r="G41" s="55">
        <f t="shared" si="43"/>
        <v>0</v>
      </c>
      <c r="H41" s="55">
        <f t="shared" si="43"/>
        <v>0</v>
      </c>
      <c r="I41" s="55">
        <f t="shared" si="43"/>
        <v>0</v>
      </c>
      <c r="J41" s="55">
        <f t="shared" si="43"/>
        <v>0</v>
      </c>
      <c r="K41" s="55">
        <f t="shared" si="43"/>
        <v>0</v>
      </c>
      <c r="L41" s="55">
        <f t="shared" si="43"/>
        <v>0</v>
      </c>
      <c r="M41" s="55">
        <f t="shared" si="43"/>
        <v>0</v>
      </c>
      <c r="N41" s="55">
        <f>+N33-N36-N37-N40</f>
        <v>0</v>
      </c>
      <c r="O41" s="55">
        <f>+O33-O36-O37-O40</f>
        <v>0</v>
      </c>
      <c r="P41" s="55">
        <f t="shared" si="43"/>
        <v>0</v>
      </c>
      <c r="Q41" s="55">
        <f>+Q33-Q36-Q37-Q40</f>
        <v>0</v>
      </c>
      <c r="R41" s="55">
        <f t="shared" si="43"/>
        <v>0</v>
      </c>
      <c r="S41" s="55">
        <f t="shared" si="43"/>
        <v>0</v>
      </c>
      <c r="T41" s="55">
        <f t="shared" si="43"/>
        <v>0</v>
      </c>
      <c r="U41" s="55">
        <f t="shared" si="43"/>
        <v>0</v>
      </c>
      <c r="V41" s="43"/>
      <c r="W41" s="55"/>
      <c r="X41" s="55"/>
      <c r="Y41" s="55"/>
      <c r="Z41" s="56"/>
      <c r="AA41" s="55"/>
      <c r="AB41" s="55"/>
      <c r="AC41" s="55"/>
      <c r="AD41" s="56"/>
      <c r="AE41" s="55"/>
      <c r="AF41" s="55"/>
      <c r="AG41" s="55"/>
      <c r="AH41" s="56"/>
      <c r="AI41" s="55">
        <f>+AI33-AI36-AI37-AI40</f>
        <v>0</v>
      </c>
      <c r="AJ41" s="55">
        <f t="shared" ref="AJ41:BZ41" si="44">+AJ33-AJ36-AJ37-AJ40</f>
        <v>0</v>
      </c>
      <c r="AK41" s="55">
        <f t="shared" si="44"/>
        <v>0</v>
      </c>
      <c r="AL41" s="56">
        <f t="shared" si="44"/>
        <v>0</v>
      </c>
      <c r="AM41" s="55">
        <f t="shared" si="44"/>
        <v>0</v>
      </c>
      <c r="AN41" s="55">
        <f t="shared" si="44"/>
        <v>0</v>
      </c>
      <c r="AO41" s="55">
        <f t="shared" si="44"/>
        <v>0</v>
      </c>
      <c r="AP41" s="56">
        <f t="shared" si="44"/>
        <v>0</v>
      </c>
      <c r="AQ41" s="55">
        <f t="shared" si="44"/>
        <v>0</v>
      </c>
      <c r="AR41" s="55">
        <f t="shared" si="44"/>
        <v>0</v>
      </c>
      <c r="AS41" s="55">
        <f t="shared" si="44"/>
        <v>0</v>
      </c>
      <c r="AT41" s="56">
        <f t="shared" si="44"/>
        <v>0</v>
      </c>
      <c r="AU41" s="55">
        <f t="shared" si="44"/>
        <v>0</v>
      </c>
      <c r="AV41" s="55">
        <f t="shared" si="44"/>
        <v>0</v>
      </c>
      <c r="AW41" s="55">
        <f t="shared" si="44"/>
        <v>0</v>
      </c>
      <c r="AX41" s="56">
        <f t="shared" si="44"/>
        <v>0</v>
      </c>
      <c r="AY41" s="55">
        <f t="shared" si="44"/>
        <v>0</v>
      </c>
      <c r="AZ41" s="55">
        <f t="shared" si="44"/>
        <v>0</v>
      </c>
      <c r="BA41" s="55">
        <f t="shared" si="44"/>
        <v>0</v>
      </c>
      <c r="BB41" s="56">
        <f t="shared" si="44"/>
        <v>0</v>
      </c>
      <c r="BC41" s="55">
        <f t="shared" si="44"/>
        <v>0</v>
      </c>
      <c r="BD41" s="55">
        <f t="shared" si="44"/>
        <v>0</v>
      </c>
      <c r="BE41" s="55">
        <f t="shared" si="44"/>
        <v>0</v>
      </c>
      <c r="BF41" s="56">
        <f t="shared" si="44"/>
        <v>0</v>
      </c>
      <c r="BG41" s="55">
        <f t="shared" si="44"/>
        <v>0</v>
      </c>
      <c r="BH41" s="55">
        <f t="shared" si="44"/>
        <v>0</v>
      </c>
      <c r="BI41" s="55">
        <f t="shared" si="44"/>
        <v>0</v>
      </c>
      <c r="BJ41" s="56">
        <f t="shared" si="44"/>
        <v>0</v>
      </c>
      <c r="BK41" s="55">
        <f t="shared" si="44"/>
        <v>0</v>
      </c>
      <c r="BL41" s="55">
        <f t="shared" si="44"/>
        <v>0</v>
      </c>
      <c r="BM41" s="55">
        <f t="shared" si="44"/>
        <v>0</v>
      </c>
      <c r="BN41" s="56">
        <f t="shared" si="44"/>
        <v>0</v>
      </c>
      <c r="BO41" s="55">
        <f t="shared" si="44"/>
        <v>0</v>
      </c>
      <c r="BP41" s="55">
        <f t="shared" si="44"/>
        <v>0</v>
      </c>
      <c r="BQ41" s="55">
        <f t="shared" si="44"/>
        <v>0</v>
      </c>
      <c r="BR41" s="56">
        <f t="shared" si="44"/>
        <v>0</v>
      </c>
      <c r="BS41" s="55">
        <f t="shared" si="44"/>
        <v>0</v>
      </c>
      <c r="BT41" s="55">
        <f t="shared" si="44"/>
        <v>0</v>
      </c>
      <c r="BU41" s="55">
        <f t="shared" si="44"/>
        <v>0</v>
      </c>
      <c r="BV41" s="56">
        <f t="shared" si="44"/>
        <v>0</v>
      </c>
      <c r="BW41" s="55">
        <f t="shared" si="44"/>
        <v>0</v>
      </c>
      <c r="BX41" s="55">
        <f t="shared" si="44"/>
        <v>0</v>
      </c>
      <c r="BY41" s="55">
        <f t="shared" si="44"/>
        <v>0</v>
      </c>
      <c r="BZ41" s="56">
        <f t="shared" si="44"/>
        <v>0</v>
      </c>
      <c r="CA41" s="55"/>
      <c r="CB41" s="55"/>
      <c r="CC41" s="113"/>
      <c r="CD41" s="113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4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</row>
    <row r="42" spans="1:115" x14ac:dyDescent="0.4">
      <c r="A42" s="69"/>
      <c r="B42" s="104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94"/>
      <c r="N42" s="94"/>
      <c r="O42" s="106"/>
      <c r="P42" s="115"/>
      <c r="Q42" s="115"/>
      <c r="R42" s="106"/>
      <c r="S42" s="116"/>
      <c r="T42" s="116"/>
      <c r="U42" s="106"/>
      <c r="V42" s="117"/>
      <c r="W42" s="42"/>
      <c r="X42" s="42"/>
      <c r="Y42" s="42"/>
      <c r="Z42" s="44"/>
      <c r="AA42" s="42"/>
      <c r="AB42" s="42"/>
      <c r="AC42" s="42"/>
      <c r="AD42" s="44"/>
      <c r="AE42" s="42"/>
      <c r="AF42" s="42"/>
      <c r="AG42" s="42"/>
      <c r="AH42" s="44"/>
      <c r="AI42" s="42"/>
      <c r="AJ42" s="42"/>
      <c r="AK42" s="42"/>
      <c r="AL42" s="44"/>
      <c r="AM42" s="42"/>
      <c r="AN42" s="42"/>
      <c r="AO42" s="42"/>
      <c r="AP42" s="44"/>
      <c r="AQ42" s="42"/>
      <c r="AR42" s="42"/>
      <c r="AS42" s="42"/>
      <c r="AT42" s="44"/>
      <c r="AU42" s="42"/>
      <c r="AV42" s="94"/>
      <c r="AW42" s="94"/>
      <c r="AX42" s="44"/>
      <c r="AY42" s="42"/>
      <c r="AZ42" s="42"/>
      <c r="BA42" s="42"/>
      <c r="BB42" s="44"/>
      <c r="BC42" s="42"/>
      <c r="BD42" s="42"/>
      <c r="BE42" s="42"/>
      <c r="BF42" s="118"/>
      <c r="BG42" s="119"/>
      <c r="BH42" s="42"/>
      <c r="BI42" s="42"/>
      <c r="BJ42" s="44"/>
      <c r="BK42" s="94"/>
      <c r="BL42" s="120"/>
      <c r="BM42" s="94"/>
      <c r="BN42" s="121"/>
      <c r="BO42" s="42"/>
      <c r="BP42" s="122"/>
      <c r="BQ42" s="123"/>
      <c r="BR42" s="44"/>
      <c r="BS42" s="42"/>
      <c r="BT42" s="42"/>
      <c r="BU42" s="42"/>
      <c r="BV42" s="44"/>
      <c r="BW42" s="42"/>
      <c r="BX42" s="42"/>
      <c r="BY42" s="42"/>
      <c r="BZ42" s="44"/>
      <c r="CA42" s="42"/>
      <c r="CB42" s="42"/>
      <c r="CC42" s="113"/>
      <c r="CD42" s="113"/>
      <c r="CE42" s="113"/>
      <c r="CF42" s="113"/>
      <c r="CG42" s="113"/>
      <c r="CH42" s="113"/>
      <c r="CI42" s="113"/>
      <c r="CJ42" s="113"/>
      <c r="CK42" s="113"/>
      <c r="CL42" s="113"/>
      <c r="CM42" s="113"/>
      <c r="CN42" s="113"/>
      <c r="CO42" s="114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  <c r="DC42" s="75"/>
      <c r="DD42" s="75"/>
      <c r="DE42" s="75"/>
      <c r="DF42" s="75"/>
      <c r="DG42" s="75"/>
      <c r="DH42" s="75"/>
      <c r="DI42" s="75"/>
      <c r="DJ42" s="75"/>
      <c r="DK42" s="75"/>
    </row>
    <row r="43" spans="1:115" x14ac:dyDescent="0.4">
      <c r="A43" s="69"/>
      <c r="B43" s="104" t="s">
        <v>88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94"/>
      <c r="N43" s="94"/>
      <c r="O43" s="106"/>
      <c r="P43" s="115"/>
      <c r="Q43" s="115"/>
      <c r="R43" s="106"/>
      <c r="S43" s="116"/>
      <c r="T43" s="116"/>
      <c r="U43" s="106"/>
      <c r="V43" s="117"/>
      <c r="W43" s="42"/>
      <c r="X43" s="42"/>
      <c r="Y43" s="42"/>
      <c r="Z43" s="44"/>
      <c r="AA43" s="42"/>
      <c r="AB43" s="42"/>
      <c r="AC43" s="42"/>
      <c r="AD43" s="44"/>
      <c r="AE43" s="42"/>
      <c r="AF43" s="42"/>
      <c r="AG43" s="42"/>
      <c r="AH43" s="44"/>
      <c r="AI43" s="42"/>
      <c r="AJ43" s="42"/>
      <c r="AK43" s="42"/>
      <c r="AL43" s="44"/>
      <c r="AM43" s="42"/>
      <c r="AN43" s="42"/>
      <c r="AO43" s="42"/>
      <c r="AP43" s="44"/>
      <c r="AQ43" s="42"/>
      <c r="AR43" s="42"/>
      <c r="AS43" s="42"/>
      <c r="AT43" s="44"/>
      <c r="AU43" s="42"/>
      <c r="AV43" s="94"/>
      <c r="AW43" s="94"/>
      <c r="AX43" s="44"/>
      <c r="AY43" s="42"/>
      <c r="AZ43" s="42"/>
      <c r="BA43" s="42"/>
      <c r="BB43" s="44"/>
      <c r="BC43" s="90">
        <f>+BC37/(BC33-BC36)</f>
        <v>-9.8118980555185996E-3</v>
      </c>
      <c r="BD43" s="90">
        <f t="shared" ref="BD43:BZ43" si="45">+BD37/(BD33-BD36)</f>
        <v>-2.5424226515355914E-3</v>
      </c>
      <c r="BE43" s="90">
        <f t="shared" si="45"/>
        <v>3.3846103090335146E-3</v>
      </c>
      <c r="BF43" s="124">
        <f t="shared" si="45"/>
        <v>2.9484180769388101E-2</v>
      </c>
      <c r="BG43" s="90">
        <f t="shared" si="45"/>
        <v>-2.1798784736746117E-2</v>
      </c>
      <c r="BH43" s="90">
        <f t="shared" si="45"/>
        <v>9.6139868641885021E-2</v>
      </c>
      <c r="BI43" s="90">
        <f t="shared" si="45"/>
        <v>-2.5455009733329568E-2</v>
      </c>
      <c r="BJ43" s="124">
        <f t="shared" si="45"/>
        <v>1.9754373295590096E-2</v>
      </c>
      <c r="BK43" s="125">
        <f t="shared" si="45"/>
        <v>1.7934402731774688E-2</v>
      </c>
      <c r="BL43" s="125">
        <f t="shared" si="45"/>
        <v>2.1801553104463894E-2</v>
      </c>
      <c r="BM43" s="125">
        <f>+BM37/(BM33-BM36)</f>
        <v>4.8072879750963964E-2</v>
      </c>
      <c r="BN43" s="126">
        <f t="shared" si="45"/>
        <v>5.424519976924972E-2</v>
      </c>
      <c r="BO43" s="127">
        <f t="shared" si="45"/>
        <v>6.3672430960489759E-2</v>
      </c>
      <c r="BP43" s="125">
        <f t="shared" si="45"/>
        <v>5.4743750454476353E-2</v>
      </c>
      <c r="BQ43" s="125">
        <f t="shared" si="45"/>
        <v>0.06</v>
      </c>
      <c r="BR43" s="128">
        <f t="shared" si="45"/>
        <v>0.06</v>
      </c>
      <c r="BS43" s="125">
        <f t="shared" si="45"/>
        <v>5.1115515094609348E-2</v>
      </c>
      <c r="BT43" s="125">
        <f t="shared" si="45"/>
        <v>5.0787981562907689E-2</v>
      </c>
      <c r="BU43" s="125">
        <f t="shared" si="45"/>
        <v>4.9808407745314628E-2</v>
      </c>
      <c r="BV43" s="128">
        <f t="shared" si="45"/>
        <v>5.2549911911455818E-2</v>
      </c>
      <c r="BW43" s="125">
        <f t="shared" si="45"/>
        <v>5.0732602290956254E-2</v>
      </c>
      <c r="BX43" s="125">
        <f t="shared" si="45"/>
        <v>5.0236877954405353E-2</v>
      </c>
      <c r="BY43" s="125">
        <f t="shared" si="45"/>
        <v>4.7349223284554744E-2</v>
      </c>
      <c r="BZ43" s="128">
        <f t="shared" si="45"/>
        <v>4.7591890501253412E-2</v>
      </c>
      <c r="CA43" s="42"/>
      <c r="CB43" s="42"/>
      <c r="CC43" s="113"/>
      <c r="CD43" s="113"/>
      <c r="CE43" s="113"/>
      <c r="CF43" s="113"/>
      <c r="CG43" s="113"/>
      <c r="CH43" s="113"/>
      <c r="CI43" s="113"/>
      <c r="CJ43" s="113"/>
      <c r="CK43" s="113"/>
      <c r="CL43" s="113"/>
      <c r="CM43" s="113"/>
      <c r="CN43" s="113"/>
      <c r="CO43" s="114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</row>
    <row r="44" spans="1:115" x14ac:dyDescent="0.4">
      <c r="A44" s="69"/>
      <c r="B44" s="104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94"/>
      <c r="N44" s="94"/>
      <c r="O44" s="106"/>
      <c r="P44" s="115"/>
      <c r="Q44" s="115"/>
      <c r="R44" s="106"/>
      <c r="S44" s="116"/>
      <c r="T44" s="116"/>
      <c r="U44" s="106"/>
      <c r="V44" s="117"/>
      <c r="W44" s="42"/>
      <c r="X44" s="42"/>
      <c r="Y44" s="42"/>
      <c r="Z44" s="44"/>
      <c r="AA44" s="42"/>
      <c r="AB44" s="42"/>
      <c r="AC44" s="42"/>
      <c r="AD44" s="44"/>
      <c r="AE44" s="42"/>
      <c r="AF44" s="42"/>
      <c r="AG44" s="42"/>
      <c r="AH44" s="44"/>
      <c r="AI44" s="42"/>
      <c r="AJ44" s="42"/>
      <c r="AK44" s="42"/>
      <c r="AL44" s="44"/>
      <c r="AM44" s="42"/>
      <c r="AN44" s="42"/>
      <c r="AO44" s="42"/>
      <c r="AP44" s="44"/>
      <c r="AQ44" s="42"/>
      <c r="AR44" s="42"/>
      <c r="AS44" s="42"/>
      <c r="AT44" s="44"/>
      <c r="AU44" s="42"/>
      <c r="AV44" s="94"/>
      <c r="AW44" s="94"/>
      <c r="AX44" s="44"/>
      <c r="AY44" s="42"/>
      <c r="AZ44" s="42"/>
      <c r="BA44" s="42"/>
      <c r="BB44" s="44"/>
      <c r="BC44" s="94"/>
      <c r="BD44" s="94"/>
      <c r="BE44" s="94"/>
      <c r="BF44" s="129"/>
      <c r="BG44" s="94"/>
      <c r="BH44" s="94"/>
      <c r="BI44" s="94"/>
      <c r="BJ44" s="129"/>
      <c r="BK44" s="94"/>
      <c r="BL44" s="94"/>
      <c r="BM44" s="94"/>
      <c r="BN44" s="129"/>
      <c r="BO44" s="94"/>
      <c r="BP44" s="94"/>
      <c r="BQ44" s="94"/>
      <c r="BR44" s="129"/>
      <c r="BS44" s="94"/>
      <c r="BT44" s="94"/>
      <c r="BU44" s="94"/>
      <c r="BV44" s="129"/>
      <c r="BW44" s="94"/>
      <c r="BX44" s="94"/>
      <c r="BY44" s="94"/>
      <c r="BZ44" s="130"/>
      <c r="CA44" s="42"/>
      <c r="CB44" s="42"/>
      <c r="CC44" s="113"/>
      <c r="CD44" s="113"/>
      <c r="CE44" s="113"/>
      <c r="CF44" s="113"/>
      <c r="CG44" s="113"/>
      <c r="CH44" s="113"/>
      <c r="CI44" s="113"/>
      <c r="CJ44" s="113"/>
      <c r="CK44" s="113"/>
      <c r="CL44" s="113"/>
      <c r="CM44" s="113"/>
      <c r="CN44" s="113"/>
      <c r="CO44" s="114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  <c r="DD44" s="75"/>
      <c r="DE44" s="75"/>
      <c r="DF44" s="75"/>
      <c r="DG44" s="75"/>
      <c r="DH44" s="75"/>
      <c r="DI44" s="75"/>
      <c r="DJ44" s="75"/>
      <c r="DK44" s="75"/>
    </row>
    <row r="45" spans="1:115" x14ac:dyDescent="0.4">
      <c r="A45" s="41"/>
      <c r="B45" s="131" t="s">
        <v>89</v>
      </c>
      <c r="C45" s="132">
        <f t="shared" ref="C45:K45" si="46">+C20</f>
        <v>33.645633520000004</v>
      </c>
      <c r="D45" s="132">
        <f t="shared" si="46"/>
        <v>49.843444409999996</v>
      </c>
      <c r="E45" s="132">
        <f t="shared" si="46"/>
        <v>61.038964570000012</v>
      </c>
      <c r="F45" s="132">
        <f t="shared" si="46"/>
        <v>30.075324669999993</v>
      </c>
      <c r="G45" s="132">
        <f t="shared" si="46"/>
        <v>1.478842560000011</v>
      </c>
      <c r="H45" s="132">
        <f t="shared" si="46"/>
        <v>-2.3655664599999895</v>
      </c>
      <c r="I45" s="132">
        <f t="shared" si="46"/>
        <v>-3.6968731499999947</v>
      </c>
      <c r="J45" s="132">
        <f t="shared" si="46"/>
        <v>-7.0421513400000109</v>
      </c>
      <c r="K45" s="132">
        <f t="shared" si="46"/>
        <v>347.19692170999997</v>
      </c>
      <c r="L45" s="132">
        <f>+L20</f>
        <v>773.10928602000001</v>
      </c>
      <c r="M45" s="132">
        <f>+M20</f>
        <v>581.52739187000032</v>
      </c>
      <c r="N45" s="132">
        <f>+N20</f>
        <v>787.37929708999923</v>
      </c>
      <c r="O45" s="132">
        <f>+O20</f>
        <v>898.6914983799993</v>
      </c>
      <c r="P45" s="132">
        <f t="shared" ref="P45:U45" si="47">+P20</f>
        <v>1398.6515444199999</v>
      </c>
      <c r="Q45" s="132">
        <f>+Q20</f>
        <v>2187.673427310001</v>
      </c>
      <c r="R45" s="132">
        <f t="shared" si="47"/>
        <v>5896.8533148099978</v>
      </c>
      <c r="S45" s="132">
        <f t="shared" si="47"/>
        <v>11939.815226448423</v>
      </c>
      <c r="T45" s="132">
        <f t="shared" si="47"/>
        <v>19732.913129107787</v>
      </c>
      <c r="U45" s="132">
        <f t="shared" si="47"/>
        <v>24363.19073568561</v>
      </c>
      <c r="V45" s="8"/>
      <c r="W45" s="132">
        <f t="shared" ref="W45:BB45" si="48">+W20</f>
        <v>1.8704762999999982</v>
      </c>
      <c r="X45" s="132">
        <f t="shared" si="48"/>
        <v>-5.558656469999999</v>
      </c>
      <c r="Y45" s="132">
        <f t="shared" si="48"/>
        <v>-4.2921627400000002</v>
      </c>
      <c r="Z45" s="133">
        <f t="shared" si="48"/>
        <v>5.6147764500000008</v>
      </c>
      <c r="AA45" s="132">
        <f t="shared" si="48"/>
        <v>-5.2276204300000035</v>
      </c>
      <c r="AB45" s="132">
        <f t="shared" si="48"/>
        <v>-0.60109656999999928</v>
      </c>
      <c r="AC45" s="132">
        <f t="shared" si="48"/>
        <v>-1.6469390600000029</v>
      </c>
      <c r="AD45" s="133">
        <f t="shared" si="48"/>
        <v>3.7787829099999968</v>
      </c>
      <c r="AE45" s="132">
        <f t="shared" si="48"/>
        <v>-7.9507537999999984</v>
      </c>
      <c r="AF45" s="132">
        <f t="shared" si="48"/>
        <v>-0.95135669999999983</v>
      </c>
      <c r="AG45" s="132">
        <f t="shared" si="48"/>
        <v>-2.1022427799999974</v>
      </c>
      <c r="AH45" s="133">
        <f t="shared" si="48"/>
        <v>3.9622019400000017</v>
      </c>
      <c r="AI45" s="132">
        <f t="shared" si="48"/>
        <v>-6.2592814500000014</v>
      </c>
      <c r="AJ45" s="132">
        <f t="shared" si="48"/>
        <v>7.0197897200000057</v>
      </c>
      <c r="AK45" s="132">
        <f t="shared" si="48"/>
        <v>170.6990533099999</v>
      </c>
      <c r="AL45" s="133">
        <f t="shared" si="48"/>
        <v>175.73736012999993</v>
      </c>
      <c r="AM45" s="132">
        <f t="shared" si="48"/>
        <v>187.54004332000017</v>
      </c>
      <c r="AN45" s="132">
        <f t="shared" si="48"/>
        <v>210.69988042000006</v>
      </c>
      <c r="AO45" s="132">
        <f t="shared" si="48"/>
        <v>217.65133267000004</v>
      </c>
      <c r="AP45" s="133">
        <f t="shared" si="48"/>
        <v>157.21802960999997</v>
      </c>
      <c r="AQ45" s="132">
        <f t="shared" si="48"/>
        <v>123.29883688000001</v>
      </c>
      <c r="AR45" s="132">
        <f t="shared" si="48"/>
        <v>160.71940207999995</v>
      </c>
      <c r="AS45" s="132">
        <f t="shared" si="48"/>
        <v>186.65762021999984</v>
      </c>
      <c r="AT45" s="133">
        <f t="shared" si="48"/>
        <v>110.8515326899998</v>
      </c>
      <c r="AU45" s="132">
        <f t="shared" si="48"/>
        <v>153.11970232000007</v>
      </c>
      <c r="AV45" s="132">
        <f t="shared" si="48"/>
        <v>300.67376618000003</v>
      </c>
      <c r="AW45" s="132">
        <f t="shared" si="48"/>
        <v>215.25187566</v>
      </c>
      <c r="AX45" s="133">
        <f t="shared" si="48"/>
        <v>118.33395290999999</v>
      </c>
      <c r="AY45" s="132">
        <f>+AY20</f>
        <v>136.38037719000005</v>
      </c>
      <c r="AZ45" s="132">
        <f t="shared" si="48"/>
        <v>203.4193470199998</v>
      </c>
      <c r="BA45" s="132">
        <f t="shared" si="48"/>
        <v>249.21910543999979</v>
      </c>
      <c r="BB45" s="133">
        <f t="shared" si="48"/>
        <v>309.67266873000017</v>
      </c>
      <c r="BC45" s="132">
        <f>+BC20</f>
        <v>233.27582937999989</v>
      </c>
      <c r="BD45" s="132">
        <f>+BD20</f>
        <v>256.79403828999983</v>
      </c>
      <c r="BE45" s="132">
        <f>+BE20</f>
        <v>399.02060362000009</v>
      </c>
      <c r="BF45" s="133">
        <f>+BF20</f>
        <v>509.56107313000018</v>
      </c>
      <c r="BG45" s="132">
        <f t="shared" ref="BG45:BN45" si="49">+BG20</f>
        <v>268.99721673000016</v>
      </c>
      <c r="BH45" s="132">
        <f t="shared" si="49"/>
        <v>385.29915403000047</v>
      </c>
      <c r="BI45" s="132">
        <f t="shared" si="49"/>
        <v>720.1447036200002</v>
      </c>
      <c r="BJ45" s="133">
        <f t="shared" si="49"/>
        <v>813.23235292999971</v>
      </c>
      <c r="BK45" s="132">
        <f t="shared" si="49"/>
        <v>1119.3720181599995</v>
      </c>
      <c r="BL45" s="132">
        <f t="shared" si="49"/>
        <v>1516.5013571800005</v>
      </c>
      <c r="BM45" s="132">
        <f t="shared" si="49"/>
        <v>1751.1737204899996</v>
      </c>
      <c r="BN45" s="133">
        <f t="shared" si="49"/>
        <v>1509.8062189800003</v>
      </c>
      <c r="BO45" s="132">
        <f>+BO20</f>
        <v>1950.0337138899993</v>
      </c>
      <c r="BP45" s="132">
        <f>+BP20</f>
        <v>2843.78188396</v>
      </c>
      <c r="BQ45" s="132">
        <f>+BQ20</f>
        <v>3426.2989881418148</v>
      </c>
      <c r="BR45" s="133">
        <f>+BR20</f>
        <v>3719.70064045661</v>
      </c>
      <c r="BS45" s="132">
        <f t="shared" ref="BS45:BZ45" si="50">+BS20</f>
        <v>4170.2298723378963</v>
      </c>
      <c r="BT45" s="132">
        <f t="shared" si="50"/>
        <v>4709.6657524698421</v>
      </c>
      <c r="BU45" s="132">
        <f t="shared" si="50"/>
        <v>5321.1672038044126</v>
      </c>
      <c r="BV45" s="133">
        <f t="shared" si="50"/>
        <v>5531.8503004956392</v>
      </c>
      <c r="BW45" s="132">
        <f t="shared" si="50"/>
        <v>5258.7485259783025</v>
      </c>
      <c r="BX45" s="132">
        <f t="shared" si="50"/>
        <v>6031.9693992333141</v>
      </c>
      <c r="BY45" s="132">
        <f t="shared" si="50"/>
        <v>6549.9801413205414</v>
      </c>
      <c r="BZ45" s="133">
        <f t="shared" si="50"/>
        <v>6522.4926691534529</v>
      </c>
      <c r="CA45" s="50"/>
      <c r="CB45" s="50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</row>
    <row r="46" spans="1:115" x14ac:dyDescent="0.4">
      <c r="A46" s="41"/>
      <c r="B46" s="49" t="s">
        <v>90</v>
      </c>
      <c r="C46" s="50">
        <v>1.94088375</v>
      </c>
      <c r="D46" s="50">
        <v>3.9522376499999998</v>
      </c>
      <c r="E46" s="50">
        <v>6.3353015499999996</v>
      </c>
      <c r="F46" s="50">
        <v>8.9943069600000012</v>
      </c>
      <c r="G46" s="50">
        <v>11.87031751</v>
      </c>
      <c r="H46" s="50">
        <v>12.538385589999999</v>
      </c>
      <c r="I46" s="50">
        <v>15.119470400000001</v>
      </c>
      <c r="J46" s="50">
        <v>18.808306440000003</v>
      </c>
      <c r="K46" s="50">
        <v>60.37121028</v>
      </c>
      <c r="L46" s="50">
        <v>130.24076134000001</v>
      </c>
      <c r="M46" s="50">
        <v>172.48205634999999</v>
      </c>
      <c r="N46" s="50">
        <v>250.66216234000001</v>
      </c>
      <c r="O46" s="50">
        <v>320.64924049000001</v>
      </c>
      <c r="P46" s="50">
        <v>361.31216912999997</v>
      </c>
      <c r="Q46" s="50">
        <f t="shared" ref="Q46:U46" si="51">+Q179</f>
        <v>384.59686723000004</v>
      </c>
      <c r="R46" s="50">
        <f t="shared" si="51"/>
        <v>545.14848352000001</v>
      </c>
      <c r="S46" s="50">
        <f t="shared" si="51"/>
        <v>640.18699710899989</v>
      </c>
      <c r="T46" s="50">
        <f t="shared" si="51"/>
        <v>893.09919392572988</v>
      </c>
      <c r="U46" s="50">
        <f t="shared" si="51"/>
        <v>1080.3577724427478</v>
      </c>
      <c r="V46" s="8"/>
      <c r="W46" s="50">
        <v>2.9944527349999999</v>
      </c>
      <c r="X46" s="50">
        <v>2.9944527349999999</v>
      </c>
      <c r="Y46" s="50">
        <v>3.2747400600000001</v>
      </c>
      <c r="Z46" s="51">
        <v>3.2747400600000001</v>
      </c>
      <c r="AA46" s="50">
        <v>3.635083785</v>
      </c>
      <c r="AB46" s="50">
        <v>3.635083785</v>
      </c>
      <c r="AC46" s="50">
        <v>3.924651415</v>
      </c>
      <c r="AD46" s="51">
        <v>3.924651415</v>
      </c>
      <c r="AE46" s="50">
        <v>2.418616525</v>
      </c>
      <c r="AF46" s="50">
        <v>2.418616525</v>
      </c>
      <c r="AG46" s="50">
        <v>6.9855366950000004</v>
      </c>
      <c r="AH46" s="51">
        <v>6.9855366950000004</v>
      </c>
      <c r="AI46" s="50">
        <v>4.8081468650000003</v>
      </c>
      <c r="AJ46" s="50">
        <v>4.8081468650000003</v>
      </c>
      <c r="AK46" s="50">
        <v>25.377458274999999</v>
      </c>
      <c r="AL46" s="51">
        <v>25.377458274999999</v>
      </c>
      <c r="AM46" s="50">
        <v>29.567363144999998</v>
      </c>
      <c r="AN46" s="50">
        <v>29.567363144999998</v>
      </c>
      <c r="AO46" s="50">
        <v>35.553017525000008</v>
      </c>
      <c r="AP46" s="51">
        <v>35.553017525000008</v>
      </c>
      <c r="AQ46" s="101">
        <v>39.186095295000001</v>
      </c>
      <c r="AR46" s="101">
        <v>39.186095295000001</v>
      </c>
      <c r="AS46" s="101">
        <v>47.054932879999996</v>
      </c>
      <c r="AT46" s="134">
        <v>47.054932879999996</v>
      </c>
      <c r="AU46" s="101">
        <v>56.483200119999999</v>
      </c>
      <c r="AV46" s="101">
        <v>56.483200119999999</v>
      </c>
      <c r="AW46" s="101">
        <v>68.847881050000012</v>
      </c>
      <c r="AX46" s="134">
        <v>68.847881050000012</v>
      </c>
      <c r="AY46" s="101">
        <v>77.122581299999993</v>
      </c>
      <c r="AZ46" s="101">
        <v>77.122581299999993</v>
      </c>
      <c r="BA46" s="101">
        <v>83.202038945000012</v>
      </c>
      <c r="BB46" s="134">
        <v>83.202038945000012</v>
      </c>
      <c r="BC46" s="50">
        <v>87.298491120000008</v>
      </c>
      <c r="BD46" s="50">
        <v>87.298491120000008</v>
      </c>
      <c r="BE46" s="50">
        <v>93.357593444999992</v>
      </c>
      <c r="BF46" s="51">
        <v>93.357593444999992</v>
      </c>
      <c r="BG46" s="50">
        <f>+$Q$46/4</f>
        <v>96.149216807500011</v>
      </c>
      <c r="BH46" s="50">
        <f>+$Q$46/4</f>
        <v>96.149216807500011</v>
      </c>
      <c r="BI46" s="50">
        <f>+$Q$46/4</f>
        <v>96.149216807500011</v>
      </c>
      <c r="BJ46" s="51">
        <f>+$Q$46/4</f>
        <v>96.149216807500011</v>
      </c>
      <c r="BK46" s="50">
        <f>+$R$46/4</f>
        <v>136.28712088</v>
      </c>
      <c r="BL46" s="50">
        <f>+$R$46/4</f>
        <v>136.28712088</v>
      </c>
      <c r="BM46" s="50">
        <f>+$R$46/4</f>
        <v>136.28712088</v>
      </c>
      <c r="BN46" s="51">
        <f>+$R$46/4</f>
        <v>136.28712088</v>
      </c>
      <c r="BO46" s="50">
        <f>+$S$46/4</f>
        <v>160.04674927724997</v>
      </c>
      <c r="BP46" s="50">
        <f>+$S$46/4</f>
        <v>160.04674927724997</v>
      </c>
      <c r="BQ46" s="50">
        <f>+$S$46/4</f>
        <v>160.04674927724997</v>
      </c>
      <c r="BR46" s="51">
        <f>+$S$46/4</f>
        <v>160.04674927724997</v>
      </c>
      <c r="BS46" s="50">
        <f>+$T$46/4</f>
        <v>223.27479848143247</v>
      </c>
      <c r="BT46" s="50">
        <f>+$T$46/4</f>
        <v>223.27479848143247</v>
      </c>
      <c r="BU46" s="50">
        <f>+$T$46/4</f>
        <v>223.27479848143247</v>
      </c>
      <c r="BV46" s="51">
        <f>+$T$46/4</f>
        <v>223.27479848143247</v>
      </c>
      <c r="BW46" s="50">
        <f>+$U$46/4</f>
        <v>270.08944311068694</v>
      </c>
      <c r="BX46" s="50">
        <f>+$U$46/4</f>
        <v>270.08944311068694</v>
      </c>
      <c r="BY46" s="50">
        <f>+$U$46/4</f>
        <v>270.08944311068694</v>
      </c>
      <c r="BZ46" s="51">
        <f>+$U$46/4</f>
        <v>270.08944311068694</v>
      </c>
      <c r="CA46" s="101"/>
      <c r="CB46" s="4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50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</row>
    <row r="47" spans="1:115" x14ac:dyDescent="0.4">
      <c r="A47" s="41"/>
      <c r="B47" s="49" t="s">
        <v>91</v>
      </c>
      <c r="C47" s="50">
        <v>0.11056381</v>
      </c>
      <c r="D47" s="50">
        <v>0.29378618000000001</v>
      </c>
      <c r="E47" s="50">
        <v>0.62512884000000002</v>
      </c>
      <c r="F47" s="50">
        <v>0.63826525000000001</v>
      </c>
      <c r="G47" s="50">
        <v>8.4850256999999996</v>
      </c>
      <c r="H47" s="50">
        <v>12.38005431</v>
      </c>
      <c r="I47" s="50">
        <v>12.263714609999999</v>
      </c>
      <c r="J47" s="50">
        <v>12.26504933</v>
      </c>
      <c r="K47" s="50">
        <v>40.980841470000001</v>
      </c>
      <c r="L47" s="50">
        <v>71.075269019999993</v>
      </c>
      <c r="M47" s="50">
        <v>68.808505049999994</v>
      </c>
      <c r="N47" s="50">
        <v>80.367938730000006</v>
      </c>
      <c r="O47" s="50">
        <v>85.874896680000006</v>
      </c>
      <c r="P47" s="50">
        <v>83.428533860000002</v>
      </c>
      <c r="Q47" s="50">
        <f t="shared" ref="Q47:U47" si="52">+Q187</f>
        <v>85.462291790000009</v>
      </c>
      <c r="R47" s="50">
        <f t="shared" si="52"/>
        <v>98.327095989999989</v>
      </c>
      <c r="S47" s="50">
        <f t="shared" si="52"/>
        <v>90.655063123199994</v>
      </c>
      <c r="T47" s="50">
        <f t="shared" si="52"/>
        <v>76.097847973632</v>
      </c>
      <c r="U47" s="50">
        <f t="shared" si="52"/>
        <v>65.034364459960315</v>
      </c>
      <c r="V47" s="8"/>
      <c r="W47" s="50">
        <v>3.0969504300000001</v>
      </c>
      <c r="X47" s="50">
        <v>3.0969504300000001</v>
      </c>
      <c r="Y47" s="50">
        <v>3.093076725</v>
      </c>
      <c r="Z47" s="51">
        <v>3.093076725</v>
      </c>
      <c r="AA47" s="50">
        <v>3.0630874649999997</v>
      </c>
      <c r="AB47" s="50">
        <v>3.0630874649999997</v>
      </c>
      <c r="AC47" s="50">
        <v>3.0687698399999999</v>
      </c>
      <c r="AD47" s="51">
        <v>3.0687698399999999</v>
      </c>
      <c r="AE47" s="50">
        <v>3.0737646000000001</v>
      </c>
      <c r="AF47" s="50">
        <v>3.0737646000000001</v>
      </c>
      <c r="AG47" s="50">
        <v>3.058760065</v>
      </c>
      <c r="AH47" s="51">
        <v>3.058760065</v>
      </c>
      <c r="AI47" s="50">
        <v>3.0791832650000002</v>
      </c>
      <c r="AJ47" s="50">
        <v>3.0791832650000002</v>
      </c>
      <c r="AK47" s="50">
        <v>17.41123747</v>
      </c>
      <c r="AL47" s="51">
        <v>17.41123747</v>
      </c>
      <c r="AM47" s="50">
        <v>17.721112444999999</v>
      </c>
      <c r="AN47" s="50">
        <v>17.721112444999999</v>
      </c>
      <c r="AO47" s="50">
        <v>17.816522064999997</v>
      </c>
      <c r="AP47" s="51">
        <v>17.816522064999997</v>
      </c>
      <c r="AQ47" s="50">
        <v>17.5757637</v>
      </c>
      <c r="AR47" s="50">
        <v>17.5757637</v>
      </c>
      <c r="AS47" s="50">
        <v>16.828488825000001</v>
      </c>
      <c r="AT47" s="51">
        <v>16.828488825000001</v>
      </c>
      <c r="AU47" s="101">
        <v>18.924339184999997</v>
      </c>
      <c r="AV47" s="101">
        <v>18.924339184999997</v>
      </c>
      <c r="AW47" s="101">
        <v>21.259630180000002</v>
      </c>
      <c r="AX47" s="134">
        <v>21.259630180000002</v>
      </c>
      <c r="AY47" s="101">
        <v>20.972786704999997</v>
      </c>
      <c r="AZ47" s="101">
        <v>20.972786704999997</v>
      </c>
      <c r="BA47" s="101">
        <v>21.964661635000006</v>
      </c>
      <c r="BB47" s="135">
        <v>21.964661635000006</v>
      </c>
      <c r="BC47" s="60">
        <v>20.711652534999999</v>
      </c>
      <c r="BD47" s="60">
        <v>20.711652534999999</v>
      </c>
      <c r="BE47" s="60">
        <v>21.002614394999998</v>
      </c>
      <c r="BF47" s="136">
        <v>21.002614394999998</v>
      </c>
      <c r="BG47" s="137">
        <f>+$Q$47/4</f>
        <v>21.365572947500002</v>
      </c>
      <c r="BH47" s="60">
        <f>+$Q$47/4</f>
        <v>21.365572947500002</v>
      </c>
      <c r="BI47" s="50">
        <f>+$Q$47/4</f>
        <v>21.365572947500002</v>
      </c>
      <c r="BJ47" s="136">
        <f>+$Q$47/4</f>
        <v>21.365572947500002</v>
      </c>
      <c r="BK47" s="50">
        <f>+$R$47/4</f>
        <v>24.581773997499997</v>
      </c>
      <c r="BL47" s="50">
        <f>+$R$47/4</f>
        <v>24.581773997499997</v>
      </c>
      <c r="BM47" s="50">
        <f>+$R$47/4</f>
        <v>24.581773997499997</v>
      </c>
      <c r="BN47" s="136">
        <f>+$R$47/4</f>
        <v>24.581773997499997</v>
      </c>
      <c r="BO47" s="50">
        <f>+$S$47/4</f>
        <v>22.663765780799999</v>
      </c>
      <c r="BP47" s="50">
        <f>+$S$47/4</f>
        <v>22.663765780799999</v>
      </c>
      <c r="BQ47" s="50">
        <f>+$S$47/4</f>
        <v>22.663765780799999</v>
      </c>
      <c r="BR47" s="136">
        <f>+$S$47/4</f>
        <v>22.663765780799999</v>
      </c>
      <c r="BS47" s="50">
        <f>+$T$47/4</f>
        <v>19.024461993408</v>
      </c>
      <c r="BT47" s="50">
        <f>+$T$47/4</f>
        <v>19.024461993408</v>
      </c>
      <c r="BU47" s="50">
        <f>+$T$47/4</f>
        <v>19.024461993408</v>
      </c>
      <c r="BV47" s="136">
        <f>+$T$47/4</f>
        <v>19.024461993408</v>
      </c>
      <c r="BW47" s="50">
        <f>+$U$47/4</f>
        <v>16.258591114990079</v>
      </c>
      <c r="BX47" s="50">
        <f>+$U$47/4</f>
        <v>16.258591114990079</v>
      </c>
      <c r="BY47" s="50">
        <f>+$U$47/4</f>
        <v>16.258591114990079</v>
      </c>
      <c r="BZ47" s="136">
        <f>+$U$47/4</f>
        <v>16.258591114990079</v>
      </c>
      <c r="CA47" s="73"/>
      <c r="CB47" s="4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50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</row>
    <row r="48" spans="1:115" x14ac:dyDescent="0.4">
      <c r="A48" s="69"/>
      <c r="B48" s="131" t="s">
        <v>92</v>
      </c>
      <c r="C48" s="131">
        <f>+C45+C46+C47</f>
        <v>35.697081080000004</v>
      </c>
      <c r="D48" s="131">
        <f t="shared" ref="D48:K48" si="53">+D45+D46+D47</f>
        <v>54.089468239999995</v>
      </c>
      <c r="E48" s="131">
        <f t="shared" si="53"/>
        <v>67.999394960000018</v>
      </c>
      <c r="F48" s="131">
        <f t="shared" si="53"/>
        <v>39.70789688</v>
      </c>
      <c r="G48" s="131">
        <f t="shared" si="53"/>
        <v>21.834185770000012</v>
      </c>
      <c r="H48" s="131">
        <f t="shared" si="53"/>
        <v>22.55287344000001</v>
      </c>
      <c r="I48" s="131">
        <f t="shared" si="53"/>
        <v>23.686311860000004</v>
      </c>
      <c r="J48" s="131">
        <f t="shared" si="53"/>
        <v>24.031204429999992</v>
      </c>
      <c r="K48" s="131">
        <f t="shared" si="53"/>
        <v>448.54897345999996</v>
      </c>
      <c r="L48" s="131">
        <f>+L45+L46+L47</f>
        <v>974.42531637999991</v>
      </c>
      <c r="M48" s="131">
        <f>+M45+M46+M47</f>
        <v>822.81795327000032</v>
      </c>
      <c r="N48" s="131">
        <f>+N45+N46+N47</f>
        <v>1118.4093981599992</v>
      </c>
      <c r="O48" s="131">
        <f>+O45+O46+O47</f>
        <v>1305.2156355499992</v>
      </c>
      <c r="P48" s="131">
        <f t="shared" ref="P48:U48" si="54">+P45+P46+P47</f>
        <v>1843.39224741</v>
      </c>
      <c r="Q48" s="131">
        <f>+Q45+Q46+Q47</f>
        <v>2657.7325863300011</v>
      </c>
      <c r="R48" s="131">
        <f t="shared" si="54"/>
        <v>6540.3288943199977</v>
      </c>
      <c r="S48" s="131">
        <f t="shared" si="54"/>
        <v>12670.657286680624</v>
      </c>
      <c r="T48" s="131">
        <f t="shared" si="54"/>
        <v>20702.110171007149</v>
      </c>
      <c r="U48" s="131">
        <f t="shared" si="54"/>
        <v>25508.582872588318</v>
      </c>
      <c r="V48" s="8"/>
      <c r="W48" s="131">
        <f>+W45+W46+W47</f>
        <v>7.9618794649999973</v>
      </c>
      <c r="X48" s="131">
        <f t="shared" ref="X48:BB48" si="55">+X45+X46+X47</f>
        <v>0.53274669500000105</v>
      </c>
      <c r="Y48" s="131">
        <f t="shared" si="55"/>
        <v>2.0756540449999998</v>
      </c>
      <c r="Z48" s="138">
        <f>+Z45+Z46+Z47</f>
        <v>11.982593235</v>
      </c>
      <c r="AA48" s="131">
        <f t="shared" si="55"/>
        <v>1.4705508199999962</v>
      </c>
      <c r="AB48" s="131">
        <f t="shared" si="55"/>
        <v>6.0970746800000004</v>
      </c>
      <c r="AC48" s="131">
        <f t="shared" si="55"/>
        <v>5.3464821949999966</v>
      </c>
      <c r="AD48" s="138">
        <f t="shared" si="55"/>
        <v>10.772204164999996</v>
      </c>
      <c r="AE48" s="131">
        <f t="shared" si="55"/>
        <v>-2.4583726749999983</v>
      </c>
      <c r="AF48" s="131">
        <f t="shared" si="55"/>
        <v>4.5410244249999998</v>
      </c>
      <c r="AG48" s="131">
        <f t="shared" si="55"/>
        <v>7.9420539800000025</v>
      </c>
      <c r="AH48" s="138">
        <f t="shared" si="55"/>
        <v>14.006498700000002</v>
      </c>
      <c r="AI48" s="131">
        <f t="shared" si="55"/>
        <v>1.6280486799999991</v>
      </c>
      <c r="AJ48" s="131">
        <f t="shared" si="55"/>
        <v>14.907119850000008</v>
      </c>
      <c r="AK48" s="131">
        <f t="shared" si="55"/>
        <v>213.48774905499991</v>
      </c>
      <c r="AL48" s="138">
        <f t="shared" si="55"/>
        <v>218.52605587499994</v>
      </c>
      <c r="AM48" s="131">
        <f t="shared" si="55"/>
        <v>234.82851891000016</v>
      </c>
      <c r="AN48" s="131">
        <f t="shared" si="55"/>
        <v>257.98835601000008</v>
      </c>
      <c r="AO48" s="131">
        <f t="shared" si="55"/>
        <v>271.02087226000003</v>
      </c>
      <c r="AP48" s="138">
        <f t="shared" si="55"/>
        <v>210.58756919999996</v>
      </c>
      <c r="AQ48" s="131">
        <f t="shared" si="55"/>
        <v>180.06069587500002</v>
      </c>
      <c r="AR48" s="131">
        <f t="shared" si="55"/>
        <v>217.48126107499996</v>
      </c>
      <c r="AS48" s="131">
        <f t="shared" si="55"/>
        <v>250.54104192499983</v>
      </c>
      <c r="AT48" s="138">
        <f t="shared" si="55"/>
        <v>174.73495439499979</v>
      </c>
      <c r="AU48" s="131">
        <f t="shared" si="55"/>
        <v>228.52724162500007</v>
      </c>
      <c r="AV48" s="131">
        <f t="shared" si="55"/>
        <v>376.08130548500003</v>
      </c>
      <c r="AW48" s="131">
        <f t="shared" si="55"/>
        <v>305.35938689</v>
      </c>
      <c r="AX48" s="138">
        <f t="shared" si="55"/>
        <v>208.44146413999999</v>
      </c>
      <c r="AY48" s="131">
        <f>+AY45+AY46+AY47</f>
        <v>234.47574519500003</v>
      </c>
      <c r="AZ48" s="131">
        <f t="shared" si="55"/>
        <v>301.51471502499976</v>
      </c>
      <c r="BA48" s="131">
        <f t="shared" si="55"/>
        <v>354.38580601999985</v>
      </c>
      <c r="BB48" s="139">
        <f t="shared" si="55"/>
        <v>414.83936931000022</v>
      </c>
      <c r="BC48" s="59">
        <f>+BC45+BC46+BC47</f>
        <v>341.28597303499987</v>
      </c>
      <c r="BD48" s="59">
        <f>+BD45+BD46+BD47</f>
        <v>364.80418194499981</v>
      </c>
      <c r="BE48" s="59">
        <f>+BE45+BE46+BE47</f>
        <v>513.38081146000013</v>
      </c>
      <c r="BF48" s="139">
        <f>+BF45+BF46+BF47</f>
        <v>623.92128097000023</v>
      </c>
      <c r="BG48" s="59">
        <f t="shared" ref="BG48:BN48" si="56">+BG45+BG46+BG47</f>
        <v>386.5120064850002</v>
      </c>
      <c r="BH48" s="59">
        <f t="shared" si="56"/>
        <v>502.8139437850005</v>
      </c>
      <c r="BI48" s="131">
        <f t="shared" si="56"/>
        <v>837.65949337500024</v>
      </c>
      <c r="BJ48" s="138">
        <f t="shared" si="56"/>
        <v>930.74714268499974</v>
      </c>
      <c r="BK48" s="131">
        <f t="shared" si="56"/>
        <v>1280.2409130374995</v>
      </c>
      <c r="BL48" s="131">
        <f t="shared" si="56"/>
        <v>1677.3702520575005</v>
      </c>
      <c r="BM48" s="131">
        <f t="shared" si="56"/>
        <v>1912.0426153674996</v>
      </c>
      <c r="BN48" s="138">
        <f t="shared" si="56"/>
        <v>1670.6751138575003</v>
      </c>
      <c r="BO48" s="131">
        <f>+BO45+BO46+BO47</f>
        <v>2132.7442289480491</v>
      </c>
      <c r="BP48" s="131">
        <f>+BP45+BP46+BP47</f>
        <v>3026.49239901805</v>
      </c>
      <c r="BQ48" s="131">
        <f>+BQ45+BQ46+BQ47</f>
        <v>3609.0095031998649</v>
      </c>
      <c r="BR48" s="138">
        <f>+BR45+BR46+BR47</f>
        <v>3902.4111555146601</v>
      </c>
      <c r="BS48" s="131">
        <f t="shared" ref="BS48:BZ48" si="57">+BS45+BS46+BS47</f>
        <v>4412.5291328127369</v>
      </c>
      <c r="BT48" s="131">
        <f t="shared" si="57"/>
        <v>4951.9650129446827</v>
      </c>
      <c r="BU48" s="131">
        <f t="shared" si="57"/>
        <v>5563.4664642792532</v>
      </c>
      <c r="BV48" s="138">
        <f t="shared" si="57"/>
        <v>5774.1495609704798</v>
      </c>
      <c r="BW48" s="131">
        <f t="shared" si="57"/>
        <v>5545.0965602039796</v>
      </c>
      <c r="BX48" s="131">
        <f t="shared" si="57"/>
        <v>6318.3174334589912</v>
      </c>
      <c r="BY48" s="131">
        <f t="shared" si="57"/>
        <v>6836.3281755462185</v>
      </c>
      <c r="BZ48" s="138">
        <f t="shared" si="57"/>
        <v>6808.84070337913</v>
      </c>
      <c r="CA48" s="59"/>
      <c r="CB48" s="59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89"/>
      <c r="DD48" s="89"/>
      <c r="DE48" s="89"/>
      <c r="DF48" s="89"/>
      <c r="DG48" s="89"/>
      <c r="DH48" s="89"/>
      <c r="DI48" s="89"/>
      <c r="DJ48" s="89"/>
      <c r="DK48" s="89"/>
    </row>
    <row r="49" spans="1:115" x14ac:dyDescent="0.4">
      <c r="A49" s="65"/>
      <c r="B49" s="66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8"/>
      <c r="W49" s="67"/>
      <c r="X49" s="67"/>
      <c r="Y49" s="67"/>
      <c r="Z49" s="68"/>
      <c r="AA49" s="67"/>
      <c r="AB49" s="67"/>
      <c r="AC49" s="67"/>
      <c r="AD49" s="68"/>
      <c r="AE49" s="67"/>
      <c r="AF49" s="67"/>
      <c r="AG49" s="67"/>
      <c r="AH49" s="68"/>
      <c r="AI49" s="67"/>
      <c r="AJ49" s="67"/>
      <c r="AK49" s="67"/>
      <c r="AL49" s="68"/>
      <c r="AM49" s="67"/>
      <c r="AN49" s="67"/>
      <c r="AO49" s="67"/>
      <c r="AP49" s="68"/>
      <c r="AQ49" s="87"/>
      <c r="AR49" s="67"/>
      <c r="AS49" s="67"/>
      <c r="AT49" s="68"/>
      <c r="AU49" s="87"/>
      <c r="AV49" s="67"/>
      <c r="AW49" s="67"/>
      <c r="AX49" s="68"/>
      <c r="AY49" s="67"/>
      <c r="AZ49" s="67"/>
      <c r="BA49" s="67"/>
      <c r="BB49" s="68"/>
      <c r="BC49" s="67"/>
      <c r="BD49" s="67"/>
      <c r="BE49" s="67"/>
      <c r="BF49" s="68"/>
      <c r="BG49" s="67"/>
      <c r="BH49" s="67"/>
      <c r="BI49" s="67"/>
      <c r="BJ49" s="68"/>
      <c r="BK49" s="67"/>
      <c r="BL49" s="67"/>
      <c r="BM49" s="67"/>
      <c r="BN49" s="68"/>
      <c r="BO49" s="67"/>
      <c r="BP49" s="67"/>
      <c r="BQ49" s="73"/>
      <c r="BR49" s="108"/>
      <c r="BS49" s="67"/>
      <c r="BT49" s="67"/>
      <c r="BU49" s="67"/>
      <c r="BV49" s="68"/>
      <c r="BW49" s="67"/>
      <c r="BX49" s="67"/>
      <c r="BY49" s="67"/>
      <c r="BZ49" s="68"/>
      <c r="CA49" s="67"/>
      <c r="CB49" s="6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  <c r="DK49" s="67"/>
    </row>
    <row r="50" spans="1:115" x14ac:dyDescent="0.4">
      <c r="A50" s="69"/>
      <c r="B50" s="70" t="s">
        <v>93</v>
      </c>
      <c r="C50" s="87">
        <v>0.69</v>
      </c>
      <c r="D50" s="87">
        <v>0.89</v>
      </c>
      <c r="E50" s="87">
        <v>1.02</v>
      </c>
      <c r="F50" s="87">
        <v>0.46</v>
      </c>
      <c r="G50" s="87">
        <v>0.12</v>
      </c>
      <c r="H50" s="87">
        <f t="shared" ref="H50:S51" si="58">SUMIF($W$3:$BR$3,H$4,$W50:$BR50)</f>
        <v>3.0299999999999997E-2</v>
      </c>
      <c r="I50" s="87">
        <f t="shared" si="58"/>
        <v>2.5700000000000004E-2</v>
      </c>
      <c r="J50" s="87">
        <f t="shared" si="58"/>
        <v>4.65E-2</v>
      </c>
      <c r="K50" s="87">
        <f t="shared" si="58"/>
        <v>0.35089999999999999</v>
      </c>
      <c r="L50" s="87">
        <f t="shared" si="58"/>
        <v>1.3127000000000002</v>
      </c>
      <c r="M50" s="87">
        <f t="shared" si="58"/>
        <v>0.80020000000000002</v>
      </c>
      <c r="N50" s="87">
        <f t="shared" si="58"/>
        <v>1.2135</v>
      </c>
      <c r="O50" s="87">
        <f t="shared" si="58"/>
        <v>1.1815</v>
      </c>
      <c r="P50" s="87">
        <f t="shared" si="58"/>
        <v>1.5290999999999999</v>
      </c>
      <c r="Q50" s="87">
        <f t="shared" si="58"/>
        <v>2.1529853854133534</v>
      </c>
      <c r="R50" s="87">
        <f t="shared" si="58"/>
        <v>4.6103799061153099</v>
      </c>
      <c r="S50" s="87">
        <f t="shared" si="58"/>
        <v>8.8246288112024018</v>
      </c>
      <c r="T50" s="87">
        <f>SUMIF($W$3:$BZ$3,T$4,$W50:$BZ50)</f>
        <v>14.744016260022674</v>
      </c>
      <c r="U50" s="87">
        <f>SUMIF($W$3:$BZ$3,U$4,$W50:$BZ50)</f>
        <v>18.27492576257703</v>
      </c>
      <c r="V50" s="34"/>
      <c r="W50" s="140">
        <v>3.8600000000000002E-2</v>
      </c>
      <c r="X50" s="140">
        <v>-6.3600000000000004E-2</v>
      </c>
      <c r="Y50" s="140">
        <v>3.3399999999999999E-2</v>
      </c>
      <c r="Z50" s="141">
        <v>2.1899999999999999E-2</v>
      </c>
      <c r="AA50" s="140">
        <v>-1.77E-2</v>
      </c>
      <c r="AB50" s="140">
        <v>-5.8999999999999999E-3</v>
      </c>
      <c r="AC50" s="140">
        <v>-1.1999999999999999E-3</v>
      </c>
      <c r="AD50" s="141">
        <v>5.0500000000000003E-2</v>
      </c>
      <c r="AE50" s="140">
        <v>-3.0099999999999998E-2</v>
      </c>
      <c r="AF50" s="140">
        <v>5.4699999999999999E-2</v>
      </c>
      <c r="AG50" s="140">
        <v>-5.4000000000000003E-3</v>
      </c>
      <c r="AH50" s="141">
        <v>2.7300000000000001E-2</v>
      </c>
      <c r="AI50" s="140">
        <v>-2.0299999999999999E-2</v>
      </c>
      <c r="AJ50" s="140">
        <v>3.8699999999999998E-2</v>
      </c>
      <c r="AK50" s="140">
        <v>0.25819999999999999</v>
      </c>
      <c r="AL50" s="141">
        <v>7.4300000000000005E-2</v>
      </c>
      <c r="AM50" s="140">
        <v>0.31180000000000002</v>
      </c>
      <c r="AN50" s="140">
        <v>0.3569</v>
      </c>
      <c r="AO50" s="140">
        <v>0.34610000000000002</v>
      </c>
      <c r="AP50" s="141">
        <v>0.2979</v>
      </c>
      <c r="AQ50" s="140">
        <v>0.22</v>
      </c>
      <c r="AR50" s="140">
        <v>0.151</v>
      </c>
      <c r="AS50" s="140">
        <v>0.21099999999999999</v>
      </c>
      <c r="AT50" s="141">
        <v>0.21820000000000001</v>
      </c>
      <c r="AU50" s="140">
        <v>0.2155</v>
      </c>
      <c r="AV50" s="140">
        <v>0.29649999999999999</v>
      </c>
      <c r="AW50" s="140">
        <v>0.3291</v>
      </c>
      <c r="AX50" s="141">
        <v>0.37240000000000001</v>
      </c>
      <c r="AY50" s="140">
        <v>0.18659999999999999</v>
      </c>
      <c r="AZ50" s="140">
        <v>0.29139999999999999</v>
      </c>
      <c r="BA50" s="140">
        <v>0.3075</v>
      </c>
      <c r="BB50" s="141">
        <v>0.39600000000000002</v>
      </c>
      <c r="BC50" s="140">
        <v>0.27189999999999998</v>
      </c>
      <c r="BD50" s="140">
        <v>0.34389999999999998</v>
      </c>
      <c r="BE50" s="140">
        <v>0.44950000000000001</v>
      </c>
      <c r="BF50" s="141">
        <v>0.46379999999999999</v>
      </c>
      <c r="BG50" s="140">
        <v>0.312</v>
      </c>
      <c r="BH50" s="140">
        <v>0.45319999999999999</v>
      </c>
      <c r="BI50" s="140">
        <f t="shared" ref="BI50:BN50" si="59">+BI40/BI57</f>
        <v>0.60690124277531166</v>
      </c>
      <c r="BJ50" s="141">
        <f t="shared" si="59"/>
        <v>0.78088414263804184</v>
      </c>
      <c r="BK50" s="140">
        <f t="shared" si="59"/>
        <v>0.89797890528412949</v>
      </c>
      <c r="BL50" s="140">
        <f t="shared" si="59"/>
        <v>1.2033491393560707</v>
      </c>
      <c r="BM50" s="140">
        <f t="shared" si="59"/>
        <v>1.2435602629386071</v>
      </c>
      <c r="BN50" s="141">
        <f t="shared" si="59"/>
        <v>1.2654915985365027</v>
      </c>
      <c r="BO50" s="140">
        <f>+BO40/BO57</f>
        <v>1.4118118191755584</v>
      </c>
      <c r="BP50" s="140">
        <f>+BP40/BP57</f>
        <v>2.1515441610734025</v>
      </c>
      <c r="BQ50" s="140">
        <f>+BQ40/BQ57</f>
        <v>2.5249824181029918</v>
      </c>
      <c r="BR50" s="141">
        <f>+BR40/BR57</f>
        <v>2.7362904128504502</v>
      </c>
      <c r="BS50" s="140">
        <f t="shared" ref="BS50:BZ50" si="60">+BS40/BS57</f>
        <v>3.1245081653578777</v>
      </c>
      <c r="BT50" s="140">
        <f t="shared" si="60"/>
        <v>3.5274844615106575</v>
      </c>
      <c r="BU50" s="140">
        <f t="shared" si="60"/>
        <v>3.9871839879419468</v>
      </c>
      <c r="BV50" s="141">
        <f t="shared" si="60"/>
        <v>4.1048396452121914</v>
      </c>
      <c r="BW50" s="140">
        <f t="shared" si="60"/>
        <v>3.948088710818225</v>
      </c>
      <c r="BX50" s="140">
        <f t="shared" si="60"/>
        <v>4.5264469275646269</v>
      </c>
      <c r="BY50" s="140">
        <f t="shared" si="60"/>
        <v>4.9275426012106909</v>
      </c>
      <c r="BZ50" s="141">
        <f t="shared" si="60"/>
        <v>4.8728475229834878</v>
      </c>
      <c r="CA50" s="140"/>
      <c r="CB50" s="142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140"/>
      <c r="CP50" s="143"/>
      <c r="CQ50" s="143"/>
      <c r="CR50" s="143"/>
      <c r="CS50" s="143"/>
      <c r="CT50" s="143"/>
      <c r="CU50" s="143"/>
      <c r="CV50" s="143"/>
      <c r="CW50" s="143"/>
      <c r="CX50" s="143"/>
      <c r="CY50" s="143"/>
      <c r="CZ50" s="143"/>
      <c r="DA50" s="143"/>
      <c r="DB50" s="143"/>
      <c r="DC50" s="143"/>
      <c r="DD50" s="143"/>
      <c r="DE50" s="143"/>
      <c r="DF50" s="143"/>
      <c r="DG50" s="143"/>
      <c r="DH50" s="143"/>
      <c r="DI50" s="143"/>
      <c r="DJ50" s="143"/>
      <c r="DK50" s="143"/>
    </row>
    <row r="51" spans="1:115" x14ac:dyDescent="0.4">
      <c r="A51" s="69"/>
      <c r="B51" s="70" t="s">
        <v>94</v>
      </c>
      <c r="C51" s="87">
        <v>0.69</v>
      </c>
      <c r="D51" s="87">
        <v>0.89</v>
      </c>
      <c r="E51" s="87">
        <v>1.02</v>
      </c>
      <c r="F51" s="87">
        <v>0.46</v>
      </c>
      <c r="G51" s="87">
        <v>0.12</v>
      </c>
      <c r="H51" s="87">
        <f t="shared" si="58"/>
        <v>3.0299999999999997E-2</v>
      </c>
      <c r="I51" s="87">
        <f t="shared" si="58"/>
        <v>2.5700000000000004E-2</v>
      </c>
      <c r="J51" s="87">
        <f t="shared" si="58"/>
        <v>4.65E-2</v>
      </c>
      <c r="K51" s="87">
        <f t="shared" si="58"/>
        <v>0.35089999999999999</v>
      </c>
      <c r="L51" s="87">
        <f t="shared" si="58"/>
        <v>1.3127000000000002</v>
      </c>
      <c r="M51" s="87">
        <f t="shared" si="58"/>
        <v>0.79999999999999993</v>
      </c>
      <c r="N51" s="87">
        <f t="shared" si="58"/>
        <v>1.2135</v>
      </c>
      <c r="O51" s="87">
        <f t="shared" si="58"/>
        <v>1.1815</v>
      </c>
      <c r="P51" s="87">
        <f t="shared" si="58"/>
        <v>1.5290999999999999</v>
      </c>
      <c r="Q51" s="87">
        <f t="shared" si="58"/>
        <v>2.1529853854133534</v>
      </c>
      <c r="R51" s="87">
        <f t="shared" si="58"/>
        <v>4.6103799061153099</v>
      </c>
      <c r="S51" s="87">
        <f t="shared" si="58"/>
        <v>8.8246288112024018</v>
      </c>
      <c r="T51" s="87">
        <f>SUMIF($W$3:$BZ$3,T$4,$W51:$BZ51)</f>
        <v>14.744016260022674</v>
      </c>
      <c r="U51" s="87">
        <f>SUMIF($W$3:$BZ$3,U$4,$W51:$BZ51)</f>
        <v>18.27492576257703</v>
      </c>
      <c r="V51" s="8"/>
      <c r="W51" s="140">
        <v>3.8600000000000002E-2</v>
      </c>
      <c r="X51" s="140">
        <v>-6.3600000000000004E-2</v>
      </c>
      <c r="Y51" s="140">
        <v>3.3399999999999999E-2</v>
      </c>
      <c r="Z51" s="141">
        <v>2.1899999999999999E-2</v>
      </c>
      <c r="AA51" s="140">
        <v>-1.77E-2</v>
      </c>
      <c r="AB51" s="140">
        <v>-5.8999999999999999E-3</v>
      </c>
      <c r="AC51" s="140">
        <v>-1.1999999999999999E-3</v>
      </c>
      <c r="AD51" s="141">
        <v>5.0500000000000003E-2</v>
      </c>
      <c r="AE51" s="140">
        <v>-3.0099999999999998E-2</v>
      </c>
      <c r="AF51" s="140">
        <v>5.4699999999999999E-2</v>
      </c>
      <c r="AG51" s="140">
        <v>-5.4000000000000003E-3</v>
      </c>
      <c r="AH51" s="141">
        <v>2.7300000000000001E-2</v>
      </c>
      <c r="AI51" s="140">
        <v>-2.0299999999999999E-2</v>
      </c>
      <c r="AJ51" s="140">
        <v>3.8699999999999998E-2</v>
      </c>
      <c r="AK51" s="140">
        <v>0.25819999999999999</v>
      </c>
      <c r="AL51" s="141">
        <v>7.4300000000000005E-2</v>
      </c>
      <c r="AM51" s="140">
        <v>0.31180000000000002</v>
      </c>
      <c r="AN51" s="140">
        <v>0.3569</v>
      </c>
      <c r="AO51" s="140">
        <v>0.34610000000000002</v>
      </c>
      <c r="AP51" s="141">
        <v>0.2979</v>
      </c>
      <c r="AQ51" s="140">
        <v>0.22</v>
      </c>
      <c r="AR51" s="140">
        <v>0.151</v>
      </c>
      <c r="AS51" s="140">
        <v>0.21099999999999999</v>
      </c>
      <c r="AT51" s="141">
        <v>0.218</v>
      </c>
      <c r="AU51" s="140">
        <v>0.2155</v>
      </c>
      <c r="AV51" s="140">
        <v>0.29649999999999999</v>
      </c>
      <c r="AW51" s="140">
        <v>0.3291</v>
      </c>
      <c r="AX51" s="141">
        <v>0.37240000000000001</v>
      </c>
      <c r="AY51" s="140">
        <v>0.18659999999999999</v>
      </c>
      <c r="AZ51" s="140">
        <v>0.29139999999999999</v>
      </c>
      <c r="BA51" s="140">
        <v>0.3075</v>
      </c>
      <c r="BB51" s="141">
        <v>0.39600000000000002</v>
      </c>
      <c r="BC51" s="140">
        <v>0.27189999999999998</v>
      </c>
      <c r="BD51" s="140">
        <v>0.34389999999999998</v>
      </c>
      <c r="BE51" s="140">
        <v>0.44950000000000001</v>
      </c>
      <c r="BF51" s="141">
        <v>0.46379999999999999</v>
      </c>
      <c r="BG51" s="140">
        <v>0.312</v>
      </c>
      <c r="BH51" s="140">
        <v>0.45319999999999999</v>
      </c>
      <c r="BI51" s="140">
        <f t="shared" ref="BI51:BZ51" si="61">+BI40/BI58</f>
        <v>0.60690124277531166</v>
      </c>
      <c r="BJ51" s="141">
        <f t="shared" si="61"/>
        <v>0.78088414263804184</v>
      </c>
      <c r="BK51" s="140">
        <f t="shared" si="61"/>
        <v>0.89797890528412949</v>
      </c>
      <c r="BL51" s="140">
        <f t="shared" si="61"/>
        <v>1.2033491393560707</v>
      </c>
      <c r="BM51" s="140">
        <f t="shared" si="61"/>
        <v>1.2435602629386071</v>
      </c>
      <c r="BN51" s="141">
        <f t="shared" si="61"/>
        <v>1.2654915985365027</v>
      </c>
      <c r="BO51" s="140">
        <f t="shared" si="61"/>
        <v>1.4118118191755584</v>
      </c>
      <c r="BP51" s="140">
        <f t="shared" si="61"/>
        <v>2.1515441610734025</v>
      </c>
      <c r="BQ51" s="140">
        <f t="shared" si="61"/>
        <v>2.5249824181029918</v>
      </c>
      <c r="BR51" s="141">
        <f t="shared" si="61"/>
        <v>2.7362904128504502</v>
      </c>
      <c r="BS51" s="140">
        <f t="shared" si="61"/>
        <v>3.1245081653578777</v>
      </c>
      <c r="BT51" s="140">
        <f t="shared" si="61"/>
        <v>3.5274844615106575</v>
      </c>
      <c r="BU51" s="140">
        <f t="shared" si="61"/>
        <v>3.9871839879419468</v>
      </c>
      <c r="BV51" s="141">
        <f t="shared" si="61"/>
        <v>4.1048396452121914</v>
      </c>
      <c r="BW51" s="140">
        <f t="shared" si="61"/>
        <v>3.948088710818225</v>
      </c>
      <c r="BX51" s="140">
        <f t="shared" si="61"/>
        <v>4.5264469275646269</v>
      </c>
      <c r="BY51" s="140">
        <f t="shared" si="61"/>
        <v>4.9275426012106909</v>
      </c>
      <c r="BZ51" s="141">
        <f t="shared" si="61"/>
        <v>4.8728475229834878</v>
      </c>
      <c r="CA51" s="140"/>
      <c r="CB51" s="142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140"/>
      <c r="CP51" s="143"/>
      <c r="CQ51" s="143"/>
      <c r="CR51" s="143"/>
      <c r="CS51" s="143"/>
      <c r="CT51" s="143"/>
      <c r="CU51" s="143"/>
      <c r="CV51" s="143"/>
      <c r="CW51" s="143"/>
      <c r="CX51" s="143"/>
      <c r="CY51" s="143"/>
      <c r="CZ51" s="143"/>
      <c r="DA51" s="143"/>
      <c r="DB51" s="143"/>
      <c r="DC51" s="143"/>
      <c r="DD51" s="143"/>
      <c r="DE51" s="143"/>
      <c r="DF51" s="143"/>
      <c r="DG51" s="143"/>
      <c r="DH51" s="143"/>
      <c r="DI51" s="143"/>
      <c r="DJ51" s="143"/>
      <c r="DK51" s="143"/>
    </row>
    <row r="52" spans="1:115" x14ac:dyDescent="0.4">
      <c r="A52" s="69"/>
      <c r="B52" s="70" t="s">
        <v>95</v>
      </c>
      <c r="C52" s="87" t="e">
        <f>C40/C60</f>
        <v>#DIV/0!</v>
      </c>
      <c r="D52" s="87" t="e">
        <f t="shared" ref="D52:U52" si="62">D40/D60</f>
        <v>#DIV/0!</v>
      </c>
      <c r="E52" s="87">
        <f t="shared" si="62"/>
        <v>1.02</v>
      </c>
      <c r="F52" s="87">
        <f t="shared" si="62"/>
        <v>0.46</v>
      </c>
      <c r="G52" s="87">
        <f t="shared" si="62"/>
        <v>0.12</v>
      </c>
      <c r="H52" s="87">
        <f>H40/H60</f>
        <v>3.0299999999999997E-2</v>
      </c>
      <c r="I52" s="87">
        <f t="shared" si="62"/>
        <v>2.5700000000000004E-2</v>
      </c>
      <c r="J52" s="87">
        <f>J40/J60</f>
        <v>4.65E-2</v>
      </c>
      <c r="K52" s="87">
        <f t="shared" si="62"/>
        <v>0.35089999999999999</v>
      </c>
      <c r="L52" s="87">
        <f>L40/L60</f>
        <v>1.3127000000000002</v>
      </c>
      <c r="M52" s="87">
        <f>M40/M60</f>
        <v>0.79999999999999993</v>
      </c>
      <c r="N52" s="87">
        <f>N40/N60</f>
        <v>1.2135</v>
      </c>
      <c r="O52" s="87">
        <f t="shared" si="62"/>
        <v>1.1815</v>
      </c>
      <c r="P52" s="87">
        <f t="shared" si="62"/>
        <v>1.5290999999999999</v>
      </c>
      <c r="Q52" s="87">
        <f>Q40/Q60</f>
        <v>2.1529853854133534</v>
      </c>
      <c r="R52" s="87">
        <f t="shared" si="62"/>
        <v>4.6103799061153099</v>
      </c>
      <c r="S52" s="87">
        <f t="shared" si="62"/>
        <v>8.8246288112024018</v>
      </c>
      <c r="T52" s="87">
        <f t="shared" si="62"/>
        <v>14.744016260022674</v>
      </c>
      <c r="U52" s="87">
        <f t="shared" si="62"/>
        <v>18.27492576257703</v>
      </c>
      <c r="V52" s="8"/>
      <c r="W52" s="140"/>
      <c r="X52" s="140"/>
      <c r="Y52" s="140"/>
      <c r="Z52" s="141"/>
      <c r="AA52" s="140"/>
      <c r="AB52" s="140"/>
      <c r="AC52" s="140"/>
      <c r="AD52" s="141"/>
      <c r="AE52" s="140"/>
      <c r="AF52" s="140"/>
      <c r="AG52" s="140"/>
      <c r="AH52" s="141"/>
      <c r="AI52" s="140"/>
      <c r="AJ52" s="140"/>
      <c r="AK52" s="140"/>
      <c r="AL52" s="141"/>
      <c r="AM52" s="140"/>
      <c r="AN52" s="140"/>
      <c r="AO52" s="140"/>
      <c r="AP52" s="141"/>
      <c r="AQ52" s="140"/>
      <c r="AR52" s="140"/>
      <c r="AS52" s="140"/>
      <c r="AT52" s="141"/>
      <c r="AU52" s="140"/>
      <c r="AV52" s="140"/>
      <c r="AW52" s="140"/>
      <c r="AX52" s="141"/>
      <c r="AY52" s="87"/>
      <c r="AZ52" s="140"/>
      <c r="BA52" s="140"/>
      <c r="BB52" s="141"/>
      <c r="BC52" s="87"/>
      <c r="BD52" s="140"/>
      <c r="BE52" s="140"/>
      <c r="BF52" s="141"/>
      <c r="BG52" s="140"/>
      <c r="BH52" s="140"/>
      <c r="BI52" s="89"/>
      <c r="BJ52" s="92"/>
      <c r="BK52" s="89"/>
      <c r="BL52" s="89"/>
      <c r="BM52" s="89"/>
      <c r="BN52" s="144"/>
      <c r="BO52" s="140"/>
      <c r="BP52" s="140"/>
      <c r="BQ52" s="140"/>
      <c r="BR52" s="141"/>
      <c r="BS52" s="140"/>
      <c r="BT52" s="140"/>
      <c r="BU52" s="140"/>
      <c r="BV52" s="141"/>
      <c r="BW52" s="140"/>
      <c r="BX52" s="140"/>
      <c r="BY52" s="140"/>
      <c r="BZ52" s="141"/>
      <c r="CA52" s="140"/>
      <c r="CB52" s="140"/>
      <c r="CC52" s="42"/>
      <c r="CD52" s="42"/>
      <c r="CE52" s="42"/>
      <c r="CF52" s="140"/>
      <c r="CG52" s="140"/>
      <c r="CH52" s="140"/>
      <c r="CI52" s="140"/>
      <c r="CJ52" s="140"/>
      <c r="CK52" s="140"/>
      <c r="CL52" s="140"/>
      <c r="CM52" s="140"/>
      <c r="CN52" s="140"/>
      <c r="CO52" s="140"/>
      <c r="CP52" s="143"/>
      <c r="CQ52" s="143"/>
      <c r="CR52" s="143"/>
      <c r="CS52" s="143"/>
      <c r="CT52" s="143"/>
      <c r="CU52" s="143"/>
      <c r="CV52" s="143"/>
      <c r="CW52" s="143"/>
      <c r="CX52" s="143"/>
      <c r="CY52" s="143"/>
      <c r="CZ52" s="143"/>
      <c r="DA52" s="143"/>
      <c r="DB52" s="143"/>
      <c r="DC52" s="143"/>
      <c r="DD52" s="143"/>
      <c r="DE52" s="143"/>
      <c r="DF52" s="143"/>
      <c r="DG52" s="143"/>
      <c r="DH52" s="143"/>
      <c r="DI52" s="143"/>
      <c r="DJ52" s="143"/>
      <c r="DK52" s="143"/>
    </row>
    <row r="53" spans="1:115" x14ac:dyDescent="0.4">
      <c r="A53" s="69"/>
      <c r="B53" s="145"/>
      <c r="C53" s="50">
        <f>+C50/1.1</f>
        <v>0.6272727272727272</v>
      </c>
      <c r="D53" s="50"/>
      <c r="E53" s="50"/>
      <c r="F53" s="50"/>
      <c r="G53" s="140"/>
      <c r="H53" s="140"/>
      <c r="I53" s="146"/>
      <c r="J53" s="146"/>
      <c r="K53" s="146"/>
      <c r="L53" s="146"/>
      <c r="O53" s="87"/>
      <c r="R53" s="147"/>
      <c r="S53" s="147"/>
      <c r="T53" s="148"/>
      <c r="U53" s="148"/>
      <c r="V53" s="8"/>
      <c r="W53" s="140"/>
      <c r="X53" s="140"/>
      <c r="Y53" s="140"/>
      <c r="Z53" s="141"/>
      <c r="AA53" s="140"/>
      <c r="AB53" s="140"/>
      <c r="AC53" s="140"/>
      <c r="AD53" s="141"/>
      <c r="AE53" s="140"/>
      <c r="AF53" s="140"/>
      <c r="AG53" s="140"/>
      <c r="AH53" s="141"/>
      <c r="AI53" s="140"/>
      <c r="AJ53" s="140"/>
      <c r="AK53" s="140"/>
      <c r="AL53" s="141"/>
      <c r="AM53" s="140"/>
      <c r="AN53" s="140"/>
      <c r="AO53" s="140"/>
      <c r="AP53" s="51"/>
      <c r="AQ53" s="50"/>
      <c r="AR53" s="50"/>
      <c r="AS53" s="50"/>
      <c r="AT53" s="51"/>
      <c r="AU53" s="140"/>
      <c r="AV53" s="50"/>
      <c r="AW53" s="50"/>
      <c r="AX53" s="51"/>
      <c r="AY53" s="149"/>
      <c r="AZ53" s="50"/>
      <c r="BA53" s="149"/>
      <c r="BB53" s="51"/>
      <c r="BC53" s="149"/>
      <c r="BD53" s="50"/>
      <c r="BE53" s="50"/>
      <c r="BF53" s="51"/>
      <c r="BG53" s="50"/>
      <c r="BH53" s="50"/>
      <c r="BI53" s="50"/>
      <c r="BJ53" s="51"/>
      <c r="BK53" s="50"/>
      <c r="BL53" s="50"/>
      <c r="BM53" s="94"/>
      <c r="BN53" s="51"/>
      <c r="BO53" s="50"/>
      <c r="BP53" s="50"/>
      <c r="BQ53" s="50"/>
      <c r="BR53" s="51"/>
      <c r="BS53" s="50"/>
      <c r="BT53" s="50"/>
      <c r="BU53" s="50"/>
      <c r="BV53" s="51"/>
      <c r="BW53" s="50"/>
      <c r="BX53" s="50"/>
      <c r="BY53" s="50"/>
      <c r="BZ53" s="51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</row>
    <row r="54" spans="1:115" x14ac:dyDescent="0.4">
      <c r="A54" s="69"/>
      <c r="B54" s="145"/>
      <c r="C54" s="50"/>
      <c r="D54" s="50"/>
      <c r="E54" s="50"/>
      <c r="F54" s="50"/>
      <c r="G54" s="140"/>
      <c r="H54" s="140"/>
      <c r="I54" s="146"/>
      <c r="J54" s="146"/>
      <c r="K54" s="146"/>
      <c r="L54" s="146"/>
      <c r="M54" s="146"/>
      <c r="N54" s="146"/>
      <c r="O54" s="150"/>
      <c r="P54" s="150"/>
      <c r="Q54" s="150"/>
      <c r="R54" s="150"/>
      <c r="S54" s="150"/>
      <c r="T54" s="150"/>
      <c r="U54" s="150"/>
      <c r="V54" s="8"/>
      <c r="W54" s="140"/>
      <c r="X54" s="140"/>
      <c r="Y54" s="140"/>
      <c r="Z54" s="141"/>
      <c r="AA54" s="140"/>
      <c r="AB54" s="140"/>
      <c r="AC54" s="140"/>
      <c r="AD54" s="141"/>
      <c r="AE54" s="140"/>
      <c r="AF54" s="140"/>
      <c r="AG54" s="140"/>
      <c r="AH54" s="141"/>
      <c r="AI54" s="140"/>
      <c r="AJ54" s="140"/>
      <c r="AK54" s="140"/>
      <c r="AL54" s="141"/>
      <c r="AM54" s="140"/>
      <c r="AN54" s="140"/>
      <c r="AO54" s="140"/>
      <c r="AP54" s="141"/>
      <c r="AQ54" s="140"/>
      <c r="AR54" s="140"/>
      <c r="AS54" s="140"/>
      <c r="AT54" s="141"/>
      <c r="AU54" s="140"/>
      <c r="AV54" s="140"/>
      <c r="AW54" s="140"/>
      <c r="AX54" s="141"/>
      <c r="AY54" s="140"/>
      <c r="AZ54" s="140"/>
      <c r="BA54" s="140"/>
      <c r="BB54" s="51"/>
      <c r="BC54" s="140"/>
      <c r="BD54" s="90"/>
      <c r="BE54" s="90"/>
      <c r="BF54" s="51"/>
      <c r="BG54" s="50"/>
      <c r="BH54" s="50"/>
      <c r="BI54" s="50"/>
      <c r="BJ54" s="51"/>
      <c r="BK54" s="90"/>
      <c r="BL54" s="140"/>
      <c r="BM54" s="50"/>
      <c r="BN54" s="51"/>
      <c r="BO54" s="50"/>
      <c r="BP54" s="50"/>
      <c r="BQ54" s="50"/>
      <c r="BR54" s="51"/>
      <c r="BS54" s="50"/>
      <c r="BT54" s="50"/>
      <c r="BU54" s="50"/>
      <c r="BV54" s="51"/>
      <c r="BW54" s="50"/>
      <c r="BX54" s="50"/>
      <c r="BY54" s="50"/>
      <c r="BZ54" s="51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</row>
    <row r="55" spans="1:115" x14ac:dyDescent="0.4">
      <c r="A55" s="41"/>
      <c r="B55" s="50" t="s">
        <v>96</v>
      </c>
      <c r="C55" s="50">
        <v>0</v>
      </c>
      <c r="D55" s="50">
        <v>51.102125139999998</v>
      </c>
      <c r="E55" s="50">
        <v>0</v>
      </c>
      <c r="F55" s="50">
        <v>76.8</v>
      </c>
      <c r="G55" s="50">
        <v>28.16</v>
      </c>
      <c r="H55" s="50">
        <v>23.231999999999999</v>
      </c>
      <c r="I55" s="50">
        <v>34.660598</v>
      </c>
      <c r="J55" s="50">
        <v>66.561764429999997</v>
      </c>
      <c r="K55" s="50">
        <v>94.493669849999989</v>
      </c>
      <c r="L55" s="50">
        <v>103.93306200000001</v>
      </c>
      <c r="M55" s="50">
        <v>121.9395312</v>
      </c>
      <c r="N55" s="50">
        <v>135.77000063999998</v>
      </c>
      <c r="O55" s="50">
        <v>149.25350496000001</v>
      </c>
      <c r="P55" s="50">
        <v>156.89916059999999</v>
      </c>
      <c r="Q55" s="50">
        <f t="shared" ref="Q55:U55" si="63">+Q64</f>
        <v>356.72584999999998</v>
      </c>
      <c r="R55" s="50">
        <f t="shared" si="63"/>
        <v>557.13099999999997</v>
      </c>
      <c r="S55" s="50">
        <f t="shared" si="63"/>
        <v>989.38782774766196</v>
      </c>
      <c r="T55" s="50">
        <f t="shared" si="63"/>
        <v>1653.0497238888854</v>
      </c>
      <c r="U55" s="50">
        <f t="shared" si="63"/>
        <v>2048.9234719462652</v>
      </c>
      <c r="V55" s="8"/>
      <c r="W55" s="50"/>
      <c r="X55" s="50"/>
      <c r="Y55" s="50"/>
      <c r="Z55" s="51"/>
      <c r="AA55" s="50"/>
      <c r="AB55" s="50"/>
      <c r="AC55" s="50"/>
      <c r="AD55" s="51"/>
      <c r="AE55" s="50"/>
      <c r="AF55" s="50"/>
      <c r="AG55" s="50"/>
      <c r="AH55" s="51"/>
      <c r="AI55" s="87"/>
      <c r="AJ55" s="87"/>
      <c r="AK55" s="87"/>
      <c r="AL55" s="151"/>
      <c r="AM55" s="50"/>
      <c r="AN55" s="50"/>
      <c r="AO55" s="50"/>
      <c r="AP55" s="56"/>
      <c r="AQ55" s="55"/>
      <c r="AR55" s="55"/>
      <c r="AU55" s="55"/>
      <c r="AV55" s="55"/>
      <c r="AW55" s="55"/>
      <c r="AX55" s="56"/>
      <c r="AY55" s="153"/>
      <c r="AZ55" s="55"/>
      <c r="BA55" s="153"/>
      <c r="BB55" s="56"/>
      <c r="BC55" s="153"/>
      <c r="BD55" s="55"/>
      <c r="BE55" s="55"/>
      <c r="BF55" s="56"/>
      <c r="BG55" s="55"/>
      <c r="BH55" s="55"/>
      <c r="BI55" s="55"/>
      <c r="BJ55" s="56"/>
      <c r="BK55" s="55"/>
      <c r="BL55" s="55"/>
      <c r="BM55" s="55"/>
      <c r="BN55" s="56"/>
      <c r="BO55" s="55"/>
      <c r="BP55" s="55"/>
      <c r="BQ55" s="55"/>
      <c r="BR55" s="56"/>
      <c r="BS55" s="55"/>
      <c r="BT55" s="55"/>
      <c r="BU55" s="55"/>
      <c r="BV55" s="56"/>
      <c r="BW55" s="55"/>
      <c r="BX55" s="55"/>
      <c r="BY55" s="55"/>
      <c r="BZ55" s="56"/>
      <c r="CA55" s="55"/>
      <c r="CB55" s="55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</row>
    <row r="56" spans="1:115" x14ac:dyDescent="0.4">
      <c r="A56" s="154"/>
      <c r="B56" s="140" t="s">
        <v>97</v>
      </c>
      <c r="C56" s="140">
        <v>0</v>
      </c>
      <c r="D56" s="140">
        <v>4.8982176539375812</v>
      </c>
      <c r="E56" s="140">
        <v>0.2</v>
      </c>
      <c r="F56" s="140">
        <v>0.1</v>
      </c>
      <c r="G56" s="140">
        <v>2.1999999999999999E-2</v>
      </c>
      <c r="H56" s="140">
        <v>0.01</v>
      </c>
      <c r="I56" s="140">
        <v>0.01</v>
      </c>
      <c r="J56" s="140">
        <v>0.01</v>
      </c>
      <c r="K56" s="140">
        <v>3.7999999999999999E-2</v>
      </c>
      <c r="L56" s="140">
        <v>0.123</v>
      </c>
      <c r="M56" s="140">
        <v>8.4000000000000005E-2</v>
      </c>
      <c r="N56" s="140">
        <v>0.121</v>
      </c>
      <c r="O56" s="140">
        <v>0.22</v>
      </c>
      <c r="P56" s="140">
        <v>0.2</v>
      </c>
      <c r="Q56" s="140">
        <f t="shared" ref="Q56:U56" si="64">+Q64/Q57</f>
        <v>0.35335437628396321</v>
      </c>
      <c r="R56" s="140">
        <f t="shared" si="64"/>
        <v>0.49668230435937866</v>
      </c>
      <c r="S56" s="140">
        <f t="shared" si="64"/>
        <v>0.88246288112024029</v>
      </c>
      <c r="T56" s="140">
        <f t="shared" si="64"/>
        <v>1.4744016260022674</v>
      </c>
      <c r="U56" s="140">
        <f t="shared" si="64"/>
        <v>1.8274925762577032</v>
      </c>
      <c r="V56" s="155"/>
      <c r="W56" s="156"/>
      <c r="X56" s="156"/>
      <c r="Y56" s="156"/>
      <c r="Z56" s="157"/>
      <c r="AA56" s="50"/>
      <c r="AB56" s="50"/>
      <c r="AC56" s="50"/>
      <c r="AD56" s="51"/>
      <c r="AE56" s="156"/>
      <c r="AF56" s="156"/>
      <c r="AG56" s="156"/>
      <c r="AH56" s="157"/>
      <c r="AI56" s="50"/>
      <c r="AJ56" s="50"/>
      <c r="AK56" s="50"/>
      <c r="AL56" s="157"/>
      <c r="AM56" s="156"/>
      <c r="AN56" s="156"/>
      <c r="AO56" s="156"/>
      <c r="AP56" s="158"/>
      <c r="AQ56" s="146"/>
      <c r="AR56" s="146"/>
      <c r="AS56" s="146"/>
      <c r="AT56" s="158"/>
      <c r="AU56" s="146"/>
      <c r="AV56" s="146"/>
      <c r="AW56" s="146"/>
      <c r="AX56" s="158"/>
      <c r="AY56" s="55"/>
      <c r="AZ56" s="146"/>
      <c r="BA56" s="55"/>
      <c r="BB56" s="158"/>
      <c r="BC56" s="55"/>
      <c r="BD56" s="146"/>
      <c r="BE56" s="146"/>
      <c r="BF56" s="158"/>
      <c r="BG56" s="146"/>
      <c r="BH56" s="146"/>
      <c r="BI56" s="146"/>
      <c r="BJ56" s="158"/>
      <c r="BK56" s="146"/>
      <c r="BL56" s="146"/>
      <c r="BM56" s="146"/>
      <c r="BN56" s="158"/>
      <c r="BO56" s="146"/>
      <c r="BP56" s="146"/>
      <c r="BQ56" s="146"/>
      <c r="BR56" s="158"/>
      <c r="BS56" s="146"/>
      <c r="BT56" s="146"/>
      <c r="BU56" s="146"/>
      <c r="BV56" s="158"/>
      <c r="BW56" s="146"/>
      <c r="BX56" s="146"/>
      <c r="BY56" s="146"/>
      <c r="BZ56" s="158"/>
      <c r="CA56" s="146"/>
      <c r="CB56" s="146"/>
      <c r="CC56" s="140"/>
      <c r="CD56" s="140"/>
      <c r="CE56" s="140"/>
      <c r="CF56" s="140"/>
      <c r="CG56" s="140"/>
      <c r="CH56" s="140"/>
      <c r="CI56" s="140"/>
      <c r="CJ56" s="140"/>
      <c r="CK56" s="140"/>
      <c r="CL56" s="140"/>
      <c r="CM56" s="140"/>
      <c r="CN56" s="140"/>
      <c r="CO56" s="140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  <c r="DG56" s="143"/>
      <c r="DH56" s="143"/>
      <c r="DI56" s="143"/>
      <c r="DJ56" s="143"/>
      <c r="DK56" s="143"/>
    </row>
    <row r="57" spans="1:115" x14ac:dyDescent="0.4">
      <c r="A57" s="41"/>
      <c r="B57" s="50" t="s">
        <v>98</v>
      </c>
      <c r="C57" s="50">
        <f>C40/C50</f>
        <v>45.321096217391307</v>
      </c>
      <c r="D57" s="50">
        <f t="shared" ref="D57:I57" si="65">D40/D50</f>
        <v>47.096462662921354</v>
      </c>
      <c r="E57" s="50">
        <f t="shared" si="65"/>
        <v>50.206282990196073</v>
      </c>
      <c r="F57" s="50">
        <f t="shared" si="65"/>
        <v>62.556255586956517</v>
      </c>
      <c r="G57" s="50">
        <f t="shared" si="65"/>
        <v>118.67439216666668</v>
      </c>
      <c r="H57" s="50">
        <f t="shared" si="65"/>
        <v>189.88966435643565</v>
      </c>
      <c r="I57" s="50">
        <f t="shared" si="65"/>
        <v>215.73420233463034</v>
      </c>
      <c r="J57" s="50">
        <f>J40/J50</f>
        <v>216.21788258064512</v>
      </c>
      <c r="K57" s="50">
        <f>K40/K50</f>
        <v>460.26051972071821</v>
      </c>
      <c r="L57" s="50">
        <f t="shared" ref="L57:U57" si="66">L40/L50</f>
        <v>474.6826998171706</v>
      </c>
      <c r="M57" s="50">
        <f t="shared" si="66"/>
        <v>641.69857601849537</v>
      </c>
      <c r="N57" s="50">
        <f t="shared" si="66"/>
        <v>713.21264974866097</v>
      </c>
      <c r="O57" s="50">
        <f t="shared" si="66"/>
        <v>742.25740695725779</v>
      </c>
      <c r="P57" s="50">
        <f t="shared" si="66"/>
        <v>800.46489188411499</v>
      </c>
      <c r="Q57" s="50">
        <f t="shared" si="66"/>
        <v>1009.5413385041179</v>
      </c>
      <c r="R57" s="50">
        <f t="shared" si="66"/>
        <v>1121.7049512536753</v>
      </c>
      <c r="S57" s="50">
        <f t="shared" si="66"/>
        <v>1121.1665090000001</v>
      </c>
      <c r="T57" s="50">
        <f t="shared" si="66"/>
        <v>1121.1665089999997</v>
      </c>
      <c r="U57" s="50">
        <f t="shared" si="66"/>
        <v>1121.1665089999999</v>
      </c>
      <c r="V57" s="8"/>
      <c r="W57" s="50">
        <v>0.1</v>
      </c>
      <c r="X57" s="50">
        <v>0.1</v>
      </c>
      <c r="Y57" s="50">
        <v>0.1</v>
      </c>
      <c r="Z57" s="51">
        <v>302.67628840182647</v>
      </c>
      <c r="AA57" s="50">
        <v>303.19571096045195</v>
      </c>
      <c r="AB57" s="50">
        <v>301.73608203389824</v>
      </c>
      <c r="AC57" s="50">
        <v>309.49366000000009</v>
      </c>
      <c r="AD57" s="51">
        <v>302.58051405940591</v>
      </c>
      <c r="AE57" s="50">
        <v>302.19385720930228</v>
      </c>
      <c r="AF57" s="50">
        <v>302.49582961608775</v>
      </c>
      <c r="AG57" s="50">
        <v>303.87351555555557</v>
      </c>
      <c r="AH57" s="51">
        <v>302.79173487179486</v>
      </c>
      <c r="AI57" s="50">
        <v>302.17430068965524</v>
      </c>
      <c r="AJ57" s="50">
        <v>302.07796129198965</v>
      </c>
      <c r="AK57" s="50">
        <v>663.31976191324554</v>
      </c>
      <c r="AL57" s="51">
        <v>663.28588955585462</v>
      </c>
      <c r="AM57" s="50">
        <v>663.48081694034636</v>
      </c>
      <c r="AN57" s="50">
        <v>663.46895348837211</v>
      </c>
      <c r="AO57" s="50">
        <v>665.69719583357403</v>
      </c>
      <c r="AP57" s="51">
        <v>665.65687938905683</v>
      </c>
      <c r="AQ57" s="50">
        <v>633.18142879090908</v>
      </c>
      <c r="AR57" s="50">
        <v>999.60109913907286</v>
      </c>
      <c r="AS57" s="50">
        <v>999.04582824644558</v>
      </c>
      <c r="AT57" s="51">
        <v>998.36723500458299</v>
      </c>
      <c r="AU57" s="50">
        <v>998.26734877030174</v>
      </c>
      <c r="AV57" s="50">
        <v>998.54869712647553</v>
      </c>
      <c r="AW57" s="50">
        <v>998.57129854755374</v>
      </c>
      <c r="AX57" s="51">
        <v>998.52538654135321</v>
      </c>
      <c r="AY57" s="50">
        <v>998.37929273311909</v>
      </c>
      <c r="AZ57" s="50">
        <v>998.11861839396011</v>
      </c>
      <c r="BA57" s="50">
        <v>998.35888884552855</v>
      </c>
      <c r="BB57" s="51">
        <v>1120.2608007676768</v>
      </c>
      <c r="BC57" s="50">
        <v>1119.4470200809121</v>
      </c>
      <c r="BD57" s="50">
        <v>1119.6847903460309</v>
      </c>
      <c r="BE57" s="50">
        <v>1121.411715679644</v>
      </c>
      <c r="BF57" s="51">
        <v>1121.3354943811985</v>
      </c>
      <c r="BG57" s="50">
        <v>1121.4371110833333</v>
      </c>
      <c r="BH57" s="50">
        <v>1123.9309651941746</v>
      </c>
      <c r="BI57" s="96">
        <v>1123.9309651941746</v>
      </c>
      <c r="BJ57" s="97">
        <v>1123.9309651941746</v>
      </c>
      <c r="BK57" s="96">
        <v>1123.9309651941746</v>
      </c>
      <c r="BL57" s="96">
        <v>1121.1665089999999</v>
      </c>
      <c r="BM57" s="96">
        <v>1121.1665089999999</v>
      </c>
      <c r="BN57" s="97">
        <v>1121.1665089999999</v>
      </c>
      <c r="BO57" s="96">
        <v>1121.1665089999999</v>
      </c>
      <c r="BP57" s="96">
        <v>1121.1665089999999</v>
      </c>
      <c r="BQ57" s="96">
        <v>1121.1665089999999</v>
      </c>
      <c r="BR57" s="97">
        <v>1121.1665089999999</v>
      </c>
      <c r="BS57" s="96">
        <v>1121.1665089999999</v>
      </c>
      <c r="BT57" s="96">
        <v>1121.1665089999999</v>
      </c>
      <c r="BU57" s="96">
        <v>1121.1665089999999</v>
      </c>
      <c r="BV57" s="97">
        <v>1121.1665089999999</v>
      </c>
      <c r="BW57" s="96">
        <v>1121.1665089999999</v>
      </c>
      <c r="BX57" s="96">
        <v>1121.1665089999999</v>
      </c>
      <c r="BY57" s="96">
        <v>1121.1665089999999</v>
      </c>
      <c r="BZ57" s="97">
        <v>1121.1665089999999</v>
      </c>
      <c r="CA57" s="55"/>
      <c r="CB57" s="55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>
        <f>+A7</f>
        <v>0</v>
      </c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</row>
    <row r="58" spans="1:115" x14ac:dyDescent="0.4">
      <c r="A58" s="41"/>
      <c r="B58" s="50" t="s">
        <v>99</v>
      </c>
      <c r="C58" s="50">
        <f>C40/C51</f>
        <v>45.321096217391307</v>
      </c>
      <c r="D58" s="50">
        <f t="shared" ref="D58:P58" si="67">D40/D51</f>
        <v>47.096462662921354</v>
      </c>
      <c r="E58" s="50">
        <f t="shared" si="67"/>
        <v>50.206282990196073</v>
      </c>
      <c r="F58" s="50">
        <f t="shared" si="67"/>
        <v>62.556255586956517</v>
      </c>
      <c r="G58" s="50">
        <f t="shared" si="67"/>
        <v>118.67439216666668</v>
      </c>
      <c r="H58" s="50">
        <f t="shared" si="67"/>
        <v>189.88966435643565</v>
      </c>
      <c r="I58" s="50">
        <f t="shared" si="67"/>
        <v>215.73420233463034</v>
      </c>
      <c r="J58" s="50">
        <f>J40/J51</f>
        <v>216.21788258064512</v>
      </c>
      <c r="K58" s="50">
        <f>K40/K51</f>
        <v>460.26051972071821</v>
      </c>
      <c r="L58" s="50">
        <f>L40/L51</f>
        <v>474.6826998171706</v>
      </c>
      <c r="M58" s="50">
        <f t="shared" si="67"/>
        <v>641.85900066250008</v>
      </c>
      <c r="N58" s="50">
        <f t="shared" si="67"/>
        <v>713.21264974866097</v>
      </c>
      <c r="O58" s="50">
        <f t="shared" si="67"/>
        <v>742.25740695725779</v>
      </c>
      <c r="P58" s="50">
        <f t="shared" si="67"/>
        <v>800.46489188411499</v>
      </c>
      <c r="Q58" s="50">
        <f>Q40/Q51</f>
        <v>1009.5413385041179</v>
      </c>
      <c r="R58" s="50">
        <f>R40/R51</f>
        <v>1121.7049512536753</v>
      </c>
      <c r="S58" s="50">
        <f>S40/S51</f>
        <v>1121.1665090000001</v>
      </c>
      <c r="T58" s="50">
        <f>T40/T51</f>
        <v>1121.1665089999997</v>
      </c>
      <c r="U58" s="50">
        <f>U40/U51</f>
        <v>1121.1665089999999</v>
      </c>
      <c r="V58" s="8"/>
      <c r="W58" s="50">
        <v>168.17781668393783</v>
      </c>
      <c r="X58" s="50">
        <v>167.96675242138363</v>
      </c>
      <c r="Y58" s="50">
        <v>168.1895382035928</v>
      </c>
      <c r="Z58" s="51">
        <v>302.67628840182647</v>
      </c>
      <c r="AA58" s="50">
        <v>303.19571096045195</v>
      </c>
      <c r="AB58" s="50">
        <v>301.73608203389824</v>
      </c>
      <c r="AC58" s="50">
        <v>309.49366000000009</v>
      </c>
      <c r="AD58" s="51">
        <v>302.58051405940591</v>
      </c>
      <c r="AE58" s="50">
        <v>302.19385720930228</v>
      </c>
      <c r="AF58" s="50">
        <v>302.49582961608775</v>
      </c>
      <c r="AG58" s="50">
        <v>303.87351555555557</v>
      </c>
      <c r="AH58" s="51">
        <v>302.79173487179486</v>
      </c>
      <c r="AI58" s="50">
        <v>302.17430068965524</v>
      </c>
      <c r="AJ58" s="50">
        <v>302.07796129198965</v>
      </c>
      <c r="AK58" s="50">
        <v>663.31976191324554</v>
      </c>
      <c r="AL58" s="51">
        <v>663.28588955585462</v>
      </c>
      <c r="AM58" s="50">
        <v>663.48081694034636</v>
      </c>
      <c r="AN58" s="50">
        <v>663.46895348837211</v>
      </c>
      <c r="AO58" s="50">
        <v>665.69719583357403</v>
      </c>
      <c r="AP58" s="51">
        <v>665.65687938905683</v>
      </c>
      <c r="AQ58" s="50">
        <v>633.18142879090908</v>
      </c>
      <c r="AR58" s="50">
        <v>999.60109913907286</v>
      </c>
      <c r="AS58" s="50">
        <v>999.04582824644558</v>
      </c>
      <c r="AT58" s="51">
        <v>999.2831682477065</v>
      </c>
      <c r="AU58" s="50">
        <v>998.26734877030174</v>
      </c>
      <c r="AV58" s="50">
        <v>998.54869712647553</v>
      </c>
      <c r="AW58" s="50">
        <v>998.57129854755374</v>
      </c>
      <c r="AX58" s="51">
        <v>998.52538654135321</v>
      </c>
      <c r="AY58" s="50">
        <v>998.37929273311909</v>
      </c>
      <c r="AZ58" s="50">
        <v>998.11861839396011</v>
      </c>
      <c r="BA58" s="50">
        <v>998.35888884552855</v>
      </c>
      <c r="BB58" s="51">
        <v>1120.2608007676768</v>
      </c>
      <c r="BC58" s="50">
        <v>1119.4470200809121</v>
      </c>
      <c r="BD58" s="50">
        <v>1119.6847903460309</v>
      </c>
      <c r="BE58" s="50">
        <v>1121.411715679644</v>
      </c>
      <c r="BF58" s="51">
        <v>1121.3354943811985</v>
      </c>
      <c r="BG58" s="50">
        <v>1121.4371110833333</v>
      </c>
      <c r="BH58" s="50">
        <v>1123.9309651941746</v>
      </c>
      <c r="BI58" s="96">
        <v>1123.9309651941746</v>
      </c>
      <c r="BJ58" s="97">
        <v>1123.9309651941746</v>
      </c>
      <c r="BK58" s="96">
        <v>1123.9309651941746</v>
      </c>
      <c r="BL58" s="96">
        <v>1121.1665089999999</v>
      </c>
      <c r="BM58" s="96">
        <v>1121.1665089999999</v>
      </c>
      <c r="BN58" s="97">
        <v>1121.1665089999999</v>
      </c>
      <c r="BO58" s="96">
        <v>1121.1665089999999</v>
      </c>
      <c r="BP58" s="96">
        <v>1121.1665089999999</v>
      </c>
      <c r="BQ58" s="96">
        <v>1121.1665089999999</v>
      </c>
      <c r="BR58" s="97">
        <v>1121.1665089999999</v>
      </c>
      <c r="BS58" s="96">
        <v>1121.1665089999999</v>
      </c>
      <c r="BT58" s="96">
        <v>1121.1665089999999</v>
      </c>
      <c r="BU58" s="96">
        <v>1121.1665089999999</v>
      </c>
      <c r="BV58" s="97">
        <v>1121.1665089999999</v>
      </c>
      <c r="BW58" s="96">
        <v>1121.1665089999999</v>
      </c>
      <c r="BX58" s="96">
        <v>1121.1665089999999</v>
      </c>
      <c r="BY58" s="96">
        <v>1121.1665089999999</v>
      </c>
      <c r="BZ58" s="97">
        <v>1121.1665089999999</v>
      </c>
      <c r="CA58" s="55"/>
      <c r="CB58" s="55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</row>
    <row r="59" spans="1:115" x14ac:dyDescent="0.4">
      <c r="A59" s="41"/>
      <c r="B59" s="50" t="s">
        <v>100</v>
      </c>
      <c r="C59" s="50">
        <f>+C58</f>
        <v>45.321096217391307</v>
      </c>
      <c r="D59" s="50">
        <f t="shared" ref="D59:S60" si="68">+D58</f>
        <v>47.096462662921354</v>
      </c>
      <c r="E59" s="50">
        <f t="shared" si="68"/>
        <v>50.206282990196073</v>
      </c>
      <c r="F59" s="50">
        <f t="shared" si="68"/>
        <v>62.556255586956517</v>
      </c>
      <c r="G59" s="50">
        <f t="shared" si="68"/>
        <v>118.67439216666668</v>
      </c>
      <c r="H59" s="50">
        <f t="shared" si="68"/>
        <v>189.88966435643565</v>
      </c>
      <c r="I59" s="50">
        <f t="shared" si="68"/>
        <v>215.73420233463034</v>
      </c>
      <c r="J59" s="50">
        <f t="shared" si="68"/>
        <v>216.21788258064512</v>
      </c>
      <c r="K59" s="50">
        <f t="shared" si="68"/>
        <v>460.26051972071821</v>
      </c>
      <c r="L59" s="50">
        <f t="shared" si="68"/>
        <v>474.6826998171706</v>
      </c>
      <c r="M59" s="50">
        <f t="shared" si="68"/>
        <v>641.85900066250008</v>
      </c>
      <c r="N59" s="50">
        <f t="shared" si="68"/>
        <v>713.21264974866097</v>
      </c>
      <c r="O59" s="50">
        <f t="shared" si="68"/>
        <v>742.25740695725779</v>
      </c>
      <c r="P59" s="50">
        <f t="shared" si="68"/>
        <v>800.46489188411499</v>
      </c>
      <c r="Q59" s="50">
        <f>+Q58</f>
        <v>1009.5413385041179</v>
      </c>
      <c r="R59" s="50">
        <f>+R58</f>
        <v>1121.7049512536753</v>
      </c>
      <c r="S59" s="50">
        <f>+S58</f>
        <v>1121.1665090000001</v>
      </c>
      <c r="T59" s="50">
        <f>+T58</f>
        <v>1121.1665089999997</v>
      </c>
      <c r="U59" s="50">
        <f>+U58</f>
        <v>1121.1665089999999</v>
      </c>
      <c r="V59" s="37"/>
      <c r="W59" s="50">
        <v>168.17781668393783</v>
      </c>
      <c r="X59" s="50">
        <v>167.96675242138363</v>
      </c>
      <c r="Y59" s="50">
        <v>168.1895382035928</v>
      </c>
      <c r="Z59" s="51">
        <v>302.67628840182647</v>
      </c>
      <c r="AA59" s="50">
        <v>303.19571096045195</v>
      </c>
      <c r="AB59" s="50">
        <v>301.73608203389824</v>
      </c>
      <c r="AC59" s="50">
        <v>309.49366000000009</v>
      </c>
      <c r="AD59" s="51">
        <v>302.58051405940591</v>
      </c>
      <c r="AE59" s="50">
        <v>302.19385720930228</v>
      </c>
      <c r="AF59" s="50">
        <v>302.49582961608775</v>
      </c>
      <c r="AG59" s="50">
        <v>303.87351555555557</v>
      </c>
      <c r="AH59" s="51">
        <v>302.79173487179486</v>
      </c>
      <c r="AI59" s="50">
        <v>302.17430068965524</v>
      </c>
      <c r="AJ59" s="50">
        <v>302.07796129198965</v>
      </c>
      <c r="AK59" s="50">
        <v>663.31976191324554</v>
      </c>
      <c r="AL59" s="51">
        <v>663.28588955585462</v>
      </c>
      <c r="AM59" s="50">
        <v>663.48081694034636</v>
      </c>
      <c r="AN59" s="50">
        <v>663.46895348837211</v>
      </c>
      <c r="AO59" s="50">
        <v>665.69719583357403</v>
      </c>
      <c r="AP59" s="51">
        <v>665.65687938905683</v>
      </c>
      <c r="AQ59" s="50">
        <v>633.18142879090908</v>
      </c>
      <c r="AR59" s="50">
        <v>999.60109913907286</v>
      </c>
      <c r="AS59" s="50">
        <v>999.04582824644558</v>
      </c>
      <c r="AT59" s="51">
        <v>999.2831682477065</v>
      </c>
      <c r="AU59" s="50">
        <v>998.26734877030174</v>
      </c>
      <c r="AV59" s="50">
        <v>998.54869712647553</v>
      </c>
      <c r="AW59" s="50">
        <v>998.57129854755374</v>
      </c>
      <c r="AX59" s="51">
        <v>998.52538654135321</v>
      </c>
      <c r="AY59" s="50">
        <v>998.37929273311909</v>
      </c>
      <c r="AZ59" s="50">
        <v>998.11861839396011</v>
      </c>
      <c r="BA59" s="50">
        <v>998.35888884552855</v>
      </c>
      <c r="BB59" s="51">
        <v>1120.2608007676768</v>
      </c>
      <c r="BC59" s="50">
        <v>1119.4470200809121</v>
      </c>
      <c r="BD59" s="50">
        <v>1119.6847903460309</v>
      </c>
      <c r="BE59" s="50">
        <v>1121.411715679644</v>
      </c>
      <c r="BF59" s="51">
        <v>1121.3354943811985</v>
      </c>
      <c r="BG59" s="50">
        <v>1121.4371110833333</v>
      </c>
      <c r="BH59" s="50">
        <v>1123.9309651941746</v>
      </c>
      <c r="BI59" s="50">
        <v>1123.9309651941746</v>
      </c>
      <c r="BJ59" s="51">
        <v>1123.9309651941746</v>
      </c>
      <c r="BK59" s="50">
        <v>1123.9309651941746</v>
      </c>
      <c r="BL59" s="96">
        <v>1121.1665089999999</v>
      </c>
      <c r="BM59" s="50">
        <v>1121.1665089999999</v>
      </c>
      <c r="BN59" s="51">
        <v>1121.1665089999999</v>
      </c>
      <c r="BO59" s="50">
        <v>1121.1665089999999</v>
      </c>
      <c r="BP59" s="50">
        <v>1121.1665089999999</v>
      </c>
      <c r="BQ59" s="50">
        <v>1121.1665089999999</v>
      </c>
      <c r="BR59" s="51">
        <v>1121.1665089999999</v>
      </c>
      <c r="BS59" s="50">
        <v>1121.1665089999999</v>
      </c>
      <c r="BT59" s="50">
        <v>1121.1665089999999</v>
      </c>
      <c r="BU59" s="50">
        <v>1121.1665089999999</v>
      </c>
      <c r="BV59" s="51">
        <v>1121.1665089999999</v>
      </c>
      <c r="BW59" s="50">
        <v>1121.1665089999999</v>
      </c>
      <c r="BX59" s="50">
        <v>1121.1665089999999</v>
      </c>
      <c r="BY59" s="50">
        <v>1121.1665089999999</v>
      </c>
      <c r="BZ59" s="51">
        <v>1121.1665089999999</v>
      </c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</row>
    <row r="60" spans="1:115" x14ac:dyDescent="0.4">
      <c r="A60" s="41"/>
      <c r="B60" s="50" t="s">
        <v>101</v>
      </c>
      <c r="C60" s="50"/>
      <c r="D60" s="50"/>
      <c r="E60" s="50">
        <f>+E59</f>
        <v>50.206282990196073</v>
      </c>
      <c r="F60" s="50">
        <f t="shared" si="68"/>
        <v>62.556255586956517</v>
      </c>
      <c r="G60" s="50">
        <f t="shared" si="68"/>
        <v>118.67439216666668</v>
      </c>
      <c r="H60" s="50">
        <f t="shared" si="68"/>
        <v>189.88966435643565</v>
      </c>
      <c r="I60" s="50">
        <f t="shared" si="68"/>
        <v>215.73420233463034</v>
      </c>
      <c r="J60" s="50">
        <f t="shared" si="68"/>
        <v>216.21788258064512</v>
      </c>
      <c r="K60" s="50">
        <f t="shared" si="68"/>
        <v>460.26051972071821</v>
      </c>
      <c r="L60" s="50">
        <f t="shared" si="68"/>
        <v>474.6826998171706</v>
      </c>
      <c r="M60" s="50">
        <f t="shared" si="68"/>
        <v>641.85900066250008</v>
      </c>
      <c r="N60" s="50">
        <f t="shared" si="68"/>
        <v>713.21264974866097</v>
      </c>
      <c r="O60" s="50">
        <f t="shared" si="68"/>
        <v>742.25740695725779</v>
      </c>
      <c r="P60" s="50">
        <f t="shared" si="68"/>
        <v>800.46489188411499</v>
      </c>
      <c r="Q60" s="50">
        <f t="shared" si="68"/>
        <v>1009.5413385041179</v>
      </c>
      <c r="R60" s="50">
        <f t="shared" si="68"/>
        <v>1121.7049512536753</v>
      </c>
      <c r="S60" s="50">
        <f t="shared" si="68"/>
        <v>1121.1665090000001</v>
      </c>
      <c r="T60" s="50">
        <f t="shared" ref="T60:U60" si="69">+T59</f>
        <v>1121.1665089999997</v>
      </c>
      <c r="U60" s="50">
        <f t="shared" si="69"/>
        <v>1121.1665089999999</v>
      </c>
      <c r="V60" s="37"/>
      <c r="W60" s="50"/>
      <c r="X60" s="50"/>
      <c r="Y60" s="50"/>
      <c r="Z60" s="51"/>
      <c r="AA60" s="50"/>
      <c r="AB60" s="50"/>
      <c r="AC60" s="50"/>
      <c r="AD60" s="51"/>
      <c r="AE60" s="50"/>
      <c r="AF60" s="50"/>
      <c r="AG60" s="50"/>
      <c r="AH60" s="51"/>
      <c r="AI60" s="50"/>
      <c r="AJ60" s="50"/>
      <c r="AK60" s="50"/>
      <c r="AL60" s="51"/>
      <c r="AM60" s="50"/>
      <c r="AN60" s="50"/>
      <c r="AO60" s="50"/>
      <c r="AP60" s="51"/>
      <c r="AQ60" s="50"/>
      <c r="AR60" s="50"/>
      <c r="AS60" s="50"/>
      <c r="AT60" s="51"/>
      <c r="AU60" s="50"/>
      <c r="AV60" s="50"/>
      <c r="AW60" s="50"/>
      <c r="AX60" s="51"/>
      <c r="AY60" s="50"/>
      <c r="AZ60" s="50"/>
      <c r="BA60" s="50"/>
      <c r="BB60" s="51"/>
      <c r="BC60" s="50"/>
      <c r="BD60" s="50"/>
      <c r="BE60" s="50"/>
      <c r="BF60" s="51"/>
      <c r="BG60" s="50"/>
      <c r="BH60" s="50"/>
      <c r="BI60" s="50"/>
      <c r="BJ60" s="51"/>
      <c r="BK60" s="50"/>
      <c r="BL60" s="50"/>
      <c r="BM60" s="50"/>
      <c r="BN60" s="51"/>
      <c r="BO60" s="50"/>
      <c r="BP60" s="50"/>
      <c r="BQ60" s="50"/>
      <c r="BR60" s="51"/>
      <c r="BS60" s="50"/>
      <c r="BT60" s="50"/>
      <c r="BU60" s="50"/>
      <c r="BV60" s="51"/>
      <c r="BW60" s="50"/>
      <c r="BX60" s="50"/>
      <c r="BY60" s="50"/>
      <c r="BZ60" s="51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</row>
    <row r="61" spans="1:115" x14ac:dyDescent="0.4">
      <c r="A61" s="69"/>
      <c r="B61" s="70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37"/>
      <c r="W61" s="159"/>
      <c r="X61" s="159"/>
      <c r="Y61" s="159"/>
      <c r="Z61" s="92"/>
      <c r="AA61" s="159"/>
      <c r="AB61" s="159"/>
      <c r="AC61" s="159"/>
      <c r="AD61" s="160"/>
      <c r="AE61" s="159"/>
      <c r="AF61" s="159"/>
      <c r="AG61" s="159"/>
      <c r="AH61" s="160"/>
      <c r="AI61" s="50"/>
      <c r="AJ61" s="159"/>
      <c r="AK61" s="159"/>
      <c r="AL61" s="160"/>
      <c r="AM61" s="159"/>
      <c r="AN61" s="159"/>
      <c r="AO61" s="159"/>
      <c r="AP61" s="160"/>
      <c r="AQ61" s="159"/>
      <c r="AR61" s="159"/>
      <c r="AS61" s="159"/>
      <c r="AT61" s="160"/>
      <c r="AU61" s="159"/>
      <c r="AV61" s="159"/>
      <c r="AW61" s="159"/>
      <c r="AX61" s="160"/>
      <c r="AY61" s="159"/>
      <c r="AZ61" s="159"/>
      <c r="BA61" s="159"/>
      <c r="BB61" s="160"/>
      <c r="BC61" s="159"/>
      <c r="BD61" s="159"/>
      <c r="BE61" s="159"/>
      <c r="BF61" s="160"/>
      <c r="BG61" s="159"/>
      <c r="BH61" s="159"/>
      <c r="BI61" s="159"/>
      <c r="BJ61" s="160"/>
      <c r="BK61" s="159"/>
      <c r="BL61" s="159"/>
      <c r="BM61" s="159"/>
      <c r="BN61" s="160"/>
      <c r="BO61" s="159"/>
      <c r="BP61" s="161"/>
      <c r="BQ61" s="159"/>
      <c r="BR61" s="160"/>
      <c r="BS61" s="159"/>
      <c r="BT61" s="159"/>
      <c r="BU61" s="159"/>
      <c r="BV61" s="160"/>
      <c r="BW61" s="159"/>
      <c r="BX61" s="159"/>
      <c r="BY61" s="159"/>
      <c r="BZ61" s="160"/>
      <c r="CA61" s="159"/>
      <c r="CB61" s="159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159"/>
      <c r="CQ61" s="159"/>
      <c r="CR61" s="159"/>
      <c r="CS61" s="159"/>
      <c r="CT61" s="159"/>
      <c r="CU61" s="159"/>
      <c r="CV61" s="159"/>
      <c r="CW61" s="159"/>
      <c r="CX61" s="159"/>
      <c r="CY61" s="159"/>
      <c r="CZ61" s="159"/>
      <c r="DA61" s="159"/>
      <c r="DB61" s="159"/>
      <c r="DC61" s="159"/>
      <c r="DD61" s="159"/>
      <c r="DE61" s="159"/>
      <c r="DF61" s="159"/>
      <c r="DG61" s="159"/>
      <c r="DH61" s="159"/>
      <c r="DI61" s="159"/>
      <c r="DJ61" s="159"/>
      <c r="DK61" s="159"/>
    </row>
    <row r="62" spans="1:115" x14ac:dyDescent="0.4">
      <c r="A62" s="69"/>
      <c r="B62" s="162" t="s">
        <v>102</v>
      </c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"/>
      <c r="W62" s="89"/>
      <c r="X62" s="89"/>
      <c r="Y62" s="89"/>
      <c r="Z62" s="92"/>
      <c r="AA62" s="159"/>
      <c r="AB62" s="159"/>
      <c r="AC62" s="159"/>
      <c r="AD62" s="160"/>
      <c r="AE62" s="159"/>
      <c r="AF62" s="159"/>
      <c r="AG62" s="159"/>
      <c r="AH62" s="160"/>
      <c r="AI62" s="50"/>
      <c r="AJ62" s="159"/>
      <c r="AK62" s="159"/>
      <c r="AL62" s="160"/>
      <c r="AM62" s="159"/>
      <c r="AN62" s="159"/>
      <c r="AO62" s="159"/>
      <c r="AP62" s="160"/>
      <c r="AQ62" s="159"/>
      <c r="AR62" s="159"/>
      <c r="AS62" s="159"/>
      <c r="AT62" s="160"/>
      <c r="AU62" s="159"/>
      <c r="AV62" s="159"/>
      <c r="AW62" s="159"/>
      <c r="AX62" s="160"/>
      <c r="AY62" s="159"/>
      <c r="AZ62" s="159"/>
      <c r="BA62" s="159"/>
      <c r="BB62" s="160"/>
      <c r="BC62" s="159"/>
      <c r="BD62" s="159"/>
      <c r="BE62" s="159"/>
      <c r="BF62" s="160"/>
      <c r="BG62" s="159"/>
      <c r="BH62" s="159"/>
      <c r="BI62" s="159"/>
      <c r="BJ62" s="160"/>
      <c r="BK62" s="159"/>
      <c r="BL62" s="38"/>
      <c r="BM62" s="37"/>
      <c r="BN62" s="36"/>
      <c r="BO62" s="37"/>
      <c r="BP62" s="38"/>
      <c r="BQ62" s="37"/>
      <c r="BR62" s="36"/>
      <c r="BS62" s="37"/>
      <c r="BT62" s="37"/>
      <c r="BU62" s="37"/>
      <c r="BV62" s="36"/>
      <c r="BW62" s="37"/>
      <c r="BX62" s="37"/>
      <c r="BY62" s="37"/>
      <c r="BZ62" s="36"/>
      <c r="CA62" s="37"/>
      <c r="CB62" s="37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</row>
    <row r="63" spans="1:115" x14ac:dyDescent="0.4">
      <c r="A63" s="69"/>
      <c r="B63" s="163" t="s">
        <v>87</v>
      </c>
      <c r="C63" s="50">
        <f>C40</f>
        <v>31.271556390000001</v>
      </c>
      <c r="D63" s="50">
        <f>D40</f>
        <v>41.915851770000003</v>
      </c>
      <c r="E63" s="50">
        <f>E40</f>
        <v>51.210408649999998</v>
      </c>
      <c r="F63" s="50">
        <f t="shared" ref="F63:K63" si="70">F40</f>
        <v>28.775877569999999</v>
      </c>
      <c r="G63" s="50">
        <f t="shared" si="70"/>
        <v>14.240927060000001</v>
      </c>
      <c r="H63" s="50">
        <f t="shared" si="70"/>
        <v>5.7536568299999997</v>
      </c>
      <c r="I63" s="50">
        <f t="shared" si="70"/>
        <v>5.5443690000000005</v>
      </c>
      <c r="J63" s="50">
        <f t="shared" si="70"/>
        <v>10.054131539999998</v>
      </c>
      <c r="K63" s="50">
        <f t="shared" si="70"/>
        <v>161.50541637000001</v>
      </c>
      <c r="L63" s="50">
        <f>L40</f>
        <v>623.11598004999996</v>
      </c>
      <c r="M63" s="50">
        <f>M40</f>
        <v>513.48720053</v>
      </c>
      <c r="N63" s="50">
        <f>N40</f>
        <v>865.48355047000007</v>
      </c>
      <c r="O63" s="50">
        <f>O40</f>
        <v>876.97712632000002</v>
      </c>
      <c r="P63" s="50">
        <f t="shared" ref="P63:U63" si="71">P40</f>
        <v>1223.9908661800002</v>
      </c>
      <c r="Q63" s="50">
        <f>Q40</f>
        <v>2173.527747770001</v>
      </c>
      <c r="R63" s="50">
        <f t="shared" si="71"/>
        <v>5171.4859678499979</v>
      </c>
      <c r="S63" s="50">
        <f t="shared" si="71"/>
        <v>9893.8782774766187</v>
      </c>
      <c r="T63" s="50">
        <f t="shared" si="71"/>
        <v>16530.497238888853</v>
      </c>
      <c r="U63" s="50">
        <f t="shared" si="71"/>
        <v>20489.234719462649</v>
      </c>
      <c r="V63" s="8"/>
      <c r="W63" s="89"/>
      <c r="X63" s="89"/>
      <c r="Y63" s="89"/>
      <c r="Z63" s="92"/>
      <c r="AA63" s="159"/>
      <c r="AB63" s="159"/>
      <c r="AC63" s="159"/>
      <c r="AD63" s="160"/>
      <c r="AE63" s="159"/>
      <c r="AF63" s="159"/>
      <c r="AG63" s="159"/>
      <c r="AH63" s="160"/>
      <c r="AI63" s="50"/>
      <c r="AJ63" s="159"/>
      <c r="AK63" s="159"/>
      <c r="AL63" s="160"/>
      <c r="AM63" s="159"/>
      <c r="AN63" s="159"/>
      <c r="AO63" s="159"/>
      <c r="AP63" s="160"/>
      <c r="AQ63" s="159"/>
      <c r="AR63" s="159"/>
      <c r="AS63" s="159"/>
      <c r="AT63" s="160"/>
      <c r="AU63" s="159"/>
      <c r="AV63" s="159"/>
      <c r="AW63" s="159"/>
      <c r="AX63" s="160"/>
      <c r="AY63" s="159"/>
      <c r="AZ63" s="159"/>
      <c r="BA63" s="159"/>
      <c r="BB63" s="160"/>
      <c r="BC63" s="159"/>
      <c r="BD63" s="159"/>
      <c r="BE63" s="159"/>
      <c r="BF63" s="160"/>
      <c r="BG63" s="159"/>
      <c r="BH63" s="159"/>
      <c r="BI63" s="159"/>
      <c r="BJ63" s="160"/>
      <c r="BK63" s="159"/>
      <c r="BL63" s="50"/>
      <c r="BM63" s="50"/>
      <c r="BN63" s="51"/>
      <c r="BO63" s="50"/>
      <c r="BP63" s="50"/>
      <c r="BQ63" s="50"/>
      <c r="BR63" s="51"/>
      <c r="BS63" s="50"/>
      <c r="BT63" s="50"/>
      <c r="BU63" s="50"/>
      <c r="BV63" s="51"/>
      <c r="BW63" s="50"/>
      <c r="BX63" s="50"/>
      <c r="BY63" s="50"/>
      <c r="BZ63" s="51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</row>
    <row r="64" spans="1:115" x14ac:dyDescent="0.4">
      <c r="A64" s="69"/>
      <c r="B64" s="163" t="s">
        <v>103</v>
      </c>
      <c r="C64" s="50">
        <f t="shared" ref="C64:L64" si="72">C55</f>
        <v>0</v>
      </c>
      <c r="D64" s="50">
        <f t="shared" si="72"/>
        <v>51.102125139999998</v>
      </c>
      <c r="E64" s="50">
        <f t="shared" si="72"/>
        <v>0</v>
      </c>
      <c r="F64" s="50">
        <f t="shared" si="72"/>
        <v>76.8</v>
      </c>
      <c r="G64" s="50">
        <f t="shared" si="72"/>
        <v>28.16</v>
      </c>
      <c r="H64" s="50">
        <f t="shared" si="72"/>
        <v>23.231999999999999</v>
      </c>
      <c r="I64" s="50">
        <f t="shared" si="72"/>
        <v>34.660598</v>
      </c>
      <c r="J64" s="50">
        <f t="shared" si="72"/>
        <v>66.561764429999997</v>
      </c>
      <c r="K64" s="50">
        <f t="shared" si="72"/>
        <v>94.493669849999989</v>
      </c>
      <c r="L64" s="50">
        <f t="shared" si="72"/>
        <v>103.93306200000001</v>
      </c>
      <c r="M64" s="50">
        <f>M55</f>
        <v>121.9395312</v>
      </c>
      <c r="N64" s="50">
        <f>N55</f>
        <v>135.77000063999998</v>
      </c>
      <c r="O64" s="50">
        <f>O55</f>
        <v>149.25350496000001</v>
      </c>
      <c r="P64" s="164">
        <v>157.98099999999999</v>
      </c>
      <c r="Q64" s="164">
        <v>356.72584999999998</v>
      </c>
      <c r="R64" s="164">
        <v>557.13099999999997</v>
      </c>
      <c r="S64" s="50">
        <f t="shared" ref="S64:U64" si="73">+S63*S65</f>
        <v>989.38782774766196</v>
      </c>
      <c r="T64" s="50">
        <f t="shared" si="73"/>
        <v>1653.0497238888854</v>
      </c>
      <c r="U64" s="50">
        <f t="shared" si="73"/>
        <v>2048.9234719462652</v>
      </c>
      <c r="V64" s="8"/>
      <c r="W64" s="50"/>
      <c r="X64" s="50"/>
      <c r="Y64" s="50"/>
      <c r="Z64" s="51"/>
      <c r="AA64" s="50"/>
      <c r="AB64" s="50"/>
      <c r="AC64" s="50"/>
      <c r="AD64" s="51"/>
      <c r="AE64" s="50"/>
      <c r="AF64" s="50"/>
      <c r="AG64" s="50"/>
      <c r="AH64" s="51"/>
      <c r="AI64" s="50"/>
      <c r="AJ64" s="50"/>
      <c r="AK64" s="50"/>
      <c r="AL64" s="51"/>
      <c r="AM64" s="50"/>
      <c r="AN64" s="50"/>
      <c r="AO64" s="50"/>
      <c r="AP64" s="51"/>
      <c r="AQ64" s="50"/>
      <c r="AR64" s="50"/>
      <c r="AS64" s="50"/>
      <c r="AT64" s="51"/>
      <c r="AU64" s="50"/>
      <c r="AV64" s="87"/>
      <c r="AW64" s="165"/>
      <c r="AX64" s="151"/>
      <c r="AY64" s="50"/>
      <c r="AZ64" s="50"/>
      <c r="BA64" s="50"/>
      <c r="BB64" s="51"/>
      <c r="BC64" s="50"/>
      <c r="BD64" s="50"/>
      <c r="BE64" s="50"/>
      <c r="BF64" s="51"/>
      <c r="BG64" s="50"/>
      <c r="BH64" s="50"/>
      <c r="BI64" s="50"/>
      <c r="BJ64" s="51"/>
      <c r="BK64" s="50"/>
      <c r="BL64" s="50"/>
      <c r="BM64" s="50"/>
      <c r="BN64" s="51"/>
      <c r="BO64" s="50"/>
      <c r="BP64" s="50"/>
      <c r="BQ64" s="50"/>
      <c r="BR64" s="51"/>
      <c r="BS64" s="50"/>
      <c r="BT64" s="50"/>
      <c r="BU64" s="50"/>
      <c r="BV64" s="51"/>
      <c r="BW64" s="50"/>
      <c r="BX64" s="50"/>
      <c r="BY64" s="50"/>
      <c r="BZ64" s="51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</row>
    <row r="65" spans="1:115" x14ac:dyDescent="0.4">
      <c r="A65" s="69"/>
      <c r="B65" s="163" t="s">
        <v>104</v>
      </c>
      <c r="C65" s="90">
        <f>C64/C63</f>
        <v>0</v>
      </c>
      <c r="D65" s="90">
        <f>D64/D63</f>
        <v>1.2191598877772249</v>
      </c>
      <c r="E65" s="90">
        <f>E64/E63</f>
        <v>0</v>
      </c>
      <c r="F65" s="90">
        <f t="shared" ref="F65:K65" si="74">F64/F63</f>
        <v>2.6689020973618218</v>
      </c>
      <c r="G65" s="90">
        <f t="shared" si="74"/>
        <v>1.977399356190509</v>
      </c>
      <c r="H65" s="90">
        <f t="shared" si="74"/>
        <v>4.0377799174373079</v>
      </c>
      <c r="I65" s="90">
        <f t="shared" si="74"/>
        <v>6.2514955263619711</v>
      </c>
      <c r="J65" s="90">
        <f t="shared" si="74"/>
        <v>6.6203395256155568</v>
      </c>
      <c r="K65" s="90">
        <f t="shared" si="74"/>
        <v>0.58508050054197691</v>
      </c>
      <c r="L65" s="90">
        <f>L64/L63</f>
        <v>0.1667956934624919</v>
      </c>
      <c r="M65" s="90">
        <f>M64/M63</f>
        <v>0.23747336072669217</v>
      </c>
      <c r="N65" s="90">
        <f>N64/N63</f>
        <v>0.15687184414570352</v>
      </c>
      <c r="O65" s="90">
        <f>O64/O63</f>
        <v>0.17019087554347334</v>
      </c>
      <c r="P65" s="90">
        <f>+P64/P63</f>
        <v>0.12907040760283525</v>
      </c>
      <c r="Q65" s="90">
        <f>+Q64/Q63</f>
        <v>0.16412297950462976</v>
      </c>
      <c r="R65" s="90">
        <f>+R64/R63</f>
        <v>0.10773131812859245</v>
      </c>
      <c r="S65" s="90">
        <v>0.1</v>
      </c>
      <c r="T65" s="90">
        <v>0.1</v>
      </c>
      <c r="U65" s="90">
        <v>0.1</v>
      </c>
      <c r="V65" s="8"/>
      <c r="W65" s="90"/>
      <c r="X65" s="90"/>
      <c r="Y65" s="90"/>
      <c r="Z65" s="144"/>
      <c r="AA65" s="90"/>
      <c r="AB65" s="90"/>
      <c r="AC65" s="90"/>
      <c r="AD65" s="144"/>
      <c r="AE65" s="90"/>
      <c r="AF65" s="90"/>
      <c r="AG65" s="90"/>
      <c r="AH65" s="144"/>
      <c r="AI65" s="90"/>
      <c r="AJ65" s="90"/>
      <c r="AK65" s="90"/>
      <c r="AL65" s="144"/>
      <c r="AM65" s="90"/>
      <c r="AN65" s="90"/>
      <c r="AO65" s="90"/>
      <c r="AP65" s="144"/>
      <c r="AQ65" s="90"/>
      <c r="AR65" s="90"/>
      <c r="AS65" s="90"/>
      <c r="AT65" s="144"/>
      <c r="AU65" s="90"/>
      <c r="AV65" s="166"/>
      <c r="AW65" s="90"/>
      <c r="AX65" s="144"/>
      <c r="AY65" s="90"/>
      <c r="AZ65" s="90"/>
      <c r="BA65" s="90"/>
      <c r="BB65" s="144"/>
      <c r="BC65" s="90"/>
      <c r="BD65" s="90"/>
      <c r="BE65" s="90"/>
      <c r="BF65" s="144"/>
      <c r="BG65" s="90"/>
      <c r="BH65" s="90"/>
      <c r="BI65" s="90"/>
      <c r="BJ65" s="144"/>
      <c r="BK65" s="90"/>
      <c r="BL65" s="90"/>
      <c r="BM65" s="90"/>
      <c r="BN65" s="144"/>
      <c r="BO65" s="90"/>
      <c r="BP65" s="90"/>
      <c r="BQ65" s="90"/>
      <c r="BR65" s="144"/>
      <c r="BS65" s="90"/>
      <c r="BT65" s="90"/>
      <c r="BU65" s="90"/>
      <c r="BV65" s="144"/>
      <c r="BW65" s="90"/>
      <c r="BX65" s="90"/>
      <c r="BY65" s="90"/>
      <c r="BZ65" s="144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  <c r="CN65" s="90"/>
      <c r="CO65" s="90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</row>
    <row r="66" spans="1:115" x14ac:dyDescent="0.4">
      <c r="A66" s="69"/>
      <c r="B66" s="167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34"/>
      <c r="W66" s="50"/>
      <c r="X66" s="50"/>
      <c r="Y66" s="50"/>
      <c r="Z66" s="51"/>
      <c r="AA66" s="50"/>
      <c r="AB66" s="50"/>
      <c r="AC66" s="50"/>
      <c r="AD66" s="51"/>
      <c r="AE66" s="50"/>
      <c r="AF66" s="50"/>
      <c r="AG66" s="50"/>
      <c r="AH66" s="51"/>
      <c r="AI66" s="50"/>
      <c r="AJ66" s="50"/>
      <c r="AK66" s="50"/>
      <c r="AL66" s="51"/>
      <c r="AM66" s="50"/>
      <c r="AN66" s="50"/>
      <c r="AO66" s="50"/>
      <c r="AP66" s="51"/>
      <c r="AQ66" s="50"/>
      <c r="AR66" s="50"/>
      <c r="AS66" s="50"/>
      <c r="AT66" s="51"/>
      <c r="AU66" s="50"/>
      <c r="AV66" s="50"/>
      <c r="AW66" s="50"/>
      <c r="AX66" s="51"/>
      <c r="AY66" s="50"/>
      <c r="AZ66" s="50"/>
      <c r="BA66" s="50"/>
      <c r="BB66" s="51"/>
      <c r="BC66" s="50"/>
      <c r="BD66" s="50"/>
      <c r="BE66" s="50"/>
      <c r="BF66" s="51"/>
      <c r="BG66" s="50"/>
      <c r="BH66" s="50"/>
      <c r="BI66" s="50"/>
      <c r="BJ66" s="51"/>
      <c r="BK66" s="50"/>
      <c r="BL66" s="50"/>
      <c r="BM66" s="50"/>
      <c r="BN66" s="51"/>
      <c r="BO66" s="50"/>
      <c r="BP66" s="50"/>
      <c r="BQ66" s="50"/>
      <c r="BR66" s="51"/>
      <c r="BS66" s="50"/>
      <c r="BT66" s="50"/>
      <c r="BU66" s="50"/>
      <c r="BV66" s="51"/>
      <c r="BW66" s="50"/>
      <c r="BX66" s="50"/>
      <c r="BY66" s="50"/>
      <c r="BZ66" s="51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</row>
    <row r="67" spans="1:115" x14ac:dyDescent="0.4">
      <c r="A67" s="29"/>
      <c r="B67" s="15" t="s">
        <v>105</v>
      </c>
      <c r="C67" s="23">
        <f t="shared" ref="C67:U67" si="75">C4</f>
        <v>2009</v>
      </c>
      <c r="D67" s="23">
        <f t="shared" si="75"/>
        <v>2010</v>
      </c>
      <c r="E67" s="23">
        <f t="shared" si="75"/>
        <v>2011</v>
      </c>
      <c r="F67" s="23">
        <f t="shared" si="75"/>
        <v>2012</v>
      </c>
      <c r="G67" s="23">
        <f t="shared" si="75"/>
        <v>2013</v>
      </c>
      <c r="H67" s="23">
        <f t="shared" si="75"/>
        <v>2014</v>
      </c>
      <c r="I67" s="23">
        <f t="shared" si="75"/>
        <v>2015</v>
      </c>
      <c r="J67" s="23">
        <f t="shared" si="75"/>
        <v>2016</v>
      </c>
      <c r="K67" s="23">
        <f t="shared" si="75"/>
        <v>2017</v>
      </c>
      <c r="L67" s="23">
        <f t="shared" si="75"/>
        <v>2018</v>
      </c>
      <c r="M67" s="23">
        <f t="shared" si="75"/>
        <v>2019</v>
      </c>
      <c r="N67" s="23">
        <f t="shared" si="75"/>
        <v>2020</v>
      </c>
      <c r="O67" s="23">
        <f t="shared" si="75"/>
        <v>2021</v>
      </c>
      <c r="P67" s="23">
        <f t="shared" si="75"/>
        <v>2022</v>
      </c>
      <c r="Q67" s="23">
        <f t="shared" si="75"/>
        <v>2023</v>
      </c>
      <c r="R67" s="23">
        <f t="shared" si="75"/>
        <v>2024</v>
      </c>
      <c r="S67" s="20">
        <f t="shared" si="75"/>
        <v>2025</v>
      </c>
      <c r="T67" s="20">
        <f t="shared" si="75"/>
        <v>2026</v>
      </c>
      <c r="U67" s="20">
        <f t="shared" si="75"/>
        <v>2027</v>
      </c>
      <c r="V67" s="11"/>
      <c r="W67" s="23" t="str">
        <f t="shared" ref="W67:BB67" si="76">W4</f>
        <v>1Q14</v>
      </c>
      <c r="X67" s="23" t="str">
        <f t="shared" si="76"/>
        <v>2Q14</v>
      </c>
      <c r="Y67" s="23" t="str">
        <f t="shared" si="76"/>
        <v>3Q14</v>
      </c>
      <c r="Z67" s="24" t="str">
        <f t="shared" si="76"/>
        <v>4Q14</v>
      </c>
      <c r="AA67" s="23" t="str">
        <f t="shared" si="76"/>
        <v>1Q15</v>
      </c>
      <c r="AB67" s="23" t="str">
        <f t="shared" si="76"/>
        <v>2Q15</v>
      </c>
      <c r="AC67" s="23" t="str">
        <f t="shared" si="76"/>
        <v>3Q15</v>
      </c>
      <c r="AD67" s="24" t="str">
        <f t="shared" si="76"/>
        <v>4Q15</v>
      </c>
      <c r="AE67" s="23" t="str">
        <f t="shared" si="76"/>
        <v>1Q16</v>
      </c>
      <c r="AF67" s="23" t="str">
        <f t="shared" si="76"/>
        <v>2Q16</v>
      </c>
      <c r="AG67" s="23" t="str">
        <f t="shared" si="76"/>
        <v>3Q16</v>
      </c>
      <c r="AH67" s="24" t="str">
        <f t="shared" si="76"/>
        <v>4Q16</v>
      </c>
      <c r="AI67" s="23" t="str">
        <f t="shared" si="76"/>
        <v>1Q17</v>
      </c>
      <c r="AJ67" s="23" t="str">
        <f t="shared" si="76"/>
        <v>2Q17</v>
      </c>
      <c r="AK67" s="23" t="str">
        <f t="shared" si="76"/>
        <v>3Q17</v>
      </c>
      <c r="AL67" s="24" t="str">
        <f t="shared" si="76"/>
        <v>4Q17</v>
      </c>
      <c r="AM67" s="23" t="str">
        <f t="shared" si="76"/>
        <v>1Q18</v>
      </c>
      <c r="AN67" s="23" t="str">
        <f t="shared" si="76"/>
        <v>2Q18</v>
      </c>
      <c r="AO67" s="23" t="str">
        <f t="shared" si="76"/>
        <v>3Q18</v>
      </c>
      <c r="AP67" s="22" t="str">
        <f t="shared" si="76"/>
        <v>4Q18</v>
      </c>
      <c r="AQ67" s="19" t="str">
        <f t="shared" si="76"/>
        <v>1Q19</v>
      </c>
      <c r="AR67" s="19" t="str">
        <f t="shared" si="76"/>
        <v>2Q19</v>
      </c>
      <c r="AS67" s="19" t="str">
        <f t="shared" si="76"/>
        <v>3Q19</v>
      </c>
      <c r="AT67" s="22" t="str">
        <f t="shared" si="76"/>
        <v>4Q19</v>
      </c>
      <c r="AU67" s="19" t="str">
        <f t="shared" si="76"/>
        <v>1Q20</v>
      </c>
      <c r="AV67" s="19" t="str">
        <f t="shared" si="76"/>
        <v>2Q20</v>
      </c>
      <c r="AW67" s="19" t="str">
        <f t="shared" si="76"/>
        <v>3Q20</v>
      </c>
      <c r="AX67" s="22" t="str">
        <f t="shared" si="76"/>
        <v>4Q20</v>
      </c>
      <c r="AY67" s="19" t="str">
        <f t="shared" si="76"/>
        <v>1Q21</v>
      </c>
      <c r="AZ67" s="19" t="str">
        <f t="shared" si="76"/>
        <v>2Q21</v>
      </c>
      <c r="BA67" s="19" t="str">
        <f t="shared" si="76"/>
        <v>3Q21</v>
      </c>
      <c r="BB67" s="22" t="str">
        <f t="shared" si="76"/>
        <v>4Q21</v>
      </c>
      <c r="BC67" s="19" t="str">
        <f>BC4</f>
        <v>1Q22</v>
      </c>
      <c r="BD67" s="19" t="str">
        <f>BD4</f>
        <v>2Q22</v>
      </c>
      <c r="BE67" s="19" t="str">
        <f>BE4</f>
        <v>3Q22</v>
      </c>
      <c r="BF67" s="22" t="str">
        <f>BF4</f>
        <v>4Q22</v>
      </c>
      <c r="BG67" s="19" t="str">
        <f t="shared" ref="BG67:BZ67" si="77">BG4</f>
        <v>1Q23</v>
      </c>
      <c r="BH67" s="19" t="str">
        <f t="shared" si="77"/>
        <v>2Q23</v>
      </c>
      <c r="BI67" s="23" t="str">
        <f t="shared" si="77"/>
        <v>3Q23</v>
      </c>
      <c r="BJ67" s="22" t="str">
        <f t="shared" si="77"/>
        <v>4Q23</v>
      </c>
      <c r="BK67" s="19" t="str">
        <f t="shared" si="77"/>
        <v>1Q24</v>
      </c>
      <c r="BL67" s="19" t="str">
        <f t="shared" si="77"/>
        <v>2Q24</v>
      </c>
      <c r="BM67" s="23" t="str">
        <f t="shared" si="77"/>
        <v>3Q24</v>
      </c>
      <c r="BN67" s="22" t="str">
        <f t="shared" si="77"/>
        <v>4Q24</v>
      </c>
      <c r="BO67" s="19" t="str">
        <f t="shared" si="77"/>
        <v>1Q25</v>
      </c>
      <c r="BP67" s="25" t="str">
        <f t="shared" si="77"/>
        <v>2Q25</v>
      </c>
      <c r="BQ67" s="25" t="str">
        <f t="shared" si="77"/>
        <v>3Q25</v>
      </c>
      <c r="BR67" s="26" t="str">
        <f t="shared" si="77"/>
        <v>4Q25</v>
      </c>
      <c r="BS67" s="25" t="str">
        <f t="shared" si="77"/>
        <v>1Q26</v>
      </c>
      <c r="BT67" s="25" t="str">
        <f t="shared" si="77"/>
        <v>2Q26</v>
      </c>
      <c r="BU67" s="25" t="str">
        <f t="shared" si="77"/>
        <v>3Q26</v>
      </c>
      <c r="BV67" s="26" t="str">
        <f t="shared" si="77"/>
        <v>4Q26</v>
      </c>
      <c r="BW67" s="25" t="str">
        <f t="shared" si="77"/>
        <v>1Q27</v>
      </c>
      <c r="BX67" s="25" t="str">
        <f t="shared" si="77"/>
        <v>2Q27</v>
      </c>
      <c r="BY67" s="25" t="str">
        <f t="shared" si="77"/>
        <v>3Q27</v>
      </c>
      <c r="BZ67" s="26" t="str">
        <f t="shared" si="77"/>
        <v>4Q27</v>
      </c>
      <c r="CA67" s="27"/>
      <c r="CB67" s="27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</row>
    <row r="68" spans="1:115" x14ac:dyDescent="0.4">
      <c r="A68" s="65"/>
      <c r="B68" s="50" t="s">
        <v>106</v>
      </c>
      <c r="C68" s="168" t="str">
        <f t="shared" ref="C68:U68" si="78">IF(ISERROR(C7/B7-1)," ",(C7/B7-1))</f>
        <v xml:space="preserve"> </v>
      </c>
      <c r="D68" s="168">
        <f t="shared" si="78"/>
        <v>0.36706918769588781</v>
      </c>
      <c r="E68" s="168">
        <f t="shared" si="78"/>
        <v>0.31188138779689778</v>
      </c>
      <c r="F68" s="168">
        <f t="shared" si="78"/>
        <v>-0.28023061310240627</v>
      </c>
      <c r="G68" s="168">
        <f t="shared" si="78"/>
        <v>-0.22401475070366417</v>
      </c>
      <c r="H68" s="168">
        <f t="shared" si="78"/>
        <v>0.31173375212915277</v>
      </c>
      <c r="I68" s="168">
        <f t="shared" si="78"/>
        <v>2.2432131003310651E-2</v>
      </c>
      <c r="J68" s="168">
        <f t="shared" si="78"/>
        <v>8.4098943864540532E-2</v>
      </c>
      <c r="K68" s="168">
        <f t="shared" si="78"/>
        <v>16.90819463012312</v>
      </c>
      <c r="L68" s="168">
        <f t="shared" si="78"/>
        <v>1.1875823681930231</v>
      </c>
      <c r="M68" s="168">
        <f t="shared" si="78"/>
        <v>-7.7310496995181333E-2</v>
      </c>
      <c r="N68" s="168">
        <f t="shared" si="78"/>
        <v>0.48172944292805431</v>
      </c>
      <c r="O68" s="168">
        <f t="shared" si="78"/>
        <v>9.1610245242405686E-2</v>
      </c>
      <c r="P68" s="168">
        <f t="shared" si="78"/>
        <v>0.2529288594345076</v>
      </c>
      <c r="Q68" s="168">
        <f t="shared" si="78"/>
        <v>0.11161715542173267</v>
      </c>
      <c r="R68" s="168">
        <f t="shared" si="78"/>
        <v>1.2263663287503195</v>
      </c>
      <c r="S68" s="168">
        <f t="shared" si="78"/>
        <v>0.46851571743791798</v>
      </c>
      <c r="T68" s="168">
        <f t="shared" si="78"/>
        <v>0.44348709395660424</v>
      </c>
      <c r="U68" s="168">
        <f t="shared" si="78"/>
        <v>0.21404137725305983</v>
      </c>
      <c r="W68" s="168"/>
      <c r="X68" s="168"/>
      <c r="Y68" s="168"/>
      <c r="Z68" s="169" t="str">
        <f>IF(ISERROR(Z7/#REF!-1),"",Z7/#REF!-1)</f>
        <v/>
      </c>
      <c r="AA68" s="168">
        <f t="shared" ref="AA68:BZ68" si="79">IF(ISERROR(AA7/W7-1),"",AA7/W7-1)</f>
        <v>-0.49979999046341594</v>
      </c>
      <c r="AB68" s="168">
        <f t="shared" si="79"/>
        <v>0.20500065264779765</v>
      </c>
      <c r="AC68" s="168">
        <f t="shared" si="79"/>
        <v>0.19751895427054089</v>
      </c>
      <c r="AD68" s="169">
        <f t="shared" si="79"/>
        <v>0.34775876330796152</v>
      </c>
      <c r="AE68" s="168">
        <f t="shared" si="79"/>
        <v>-0.46189110504298114</v>
      </c>
      <c r="AF68" s="168">
        <f t="shared" si="79"/>
        <v>0.94078140418619594</v>
      </c>
      <c r="AG68" s="168">
        <f t="shared" si="79"/>
        <v>-9.838650946981109E-3</v>
      </c>
      <c r="AH68" s="169">
        <f t="shared" si="79"/>
        <v>-6.0297869933064741E-2</v>
      </c>
      <c r="AI68" s="168">
        <f t="shared" si="79"/>
        <v>0.4105793003078404</v>
      </c>
      <c r="AJ68" s="168">
        <f t="shared" si="79"/>
        <v>0.20836520624389365</v>
      </c>
      <c r="AK68" s="168">
        <f t="shared" si="79"/>
        <v>40.18747772962363</v>
      </c>
      <c r="AL68" s="169">
        <f t="shared" si="79"/>
        <v>23.858978492258242</v>
      </c>
      <c r="AM68" s="168">
        <f t="shared" si="79"/>
        <v>95.027386875300294</v>
      </c>
      <c r="AN68" s="168">
        <f t="shared" si="79"/>
        <v>24.470960192012381</v>
      </c>
      <c r="AO68" s="168">
        <f t="shared" si="79"/>
        <v>0.28850154111862336</v>
      </c>
      <c r="AP68" s="169">
        <f t="shared" si="79"/>
        <v>-0.21691433044730257</v>
      </c>
      <c r="AQ68" s="168">
        <f t="shared" si="79"/>
        <v>-0.37391107340781138</v>
      </c>
      <c r="AR68" s="168">
        <f t="shared" si="79"/>
        <v>-0.18739557569511966</v>
      </c>
      <c r="AS68" s="168">
        <f t="shared" si="79"/>
        <v>-9.3337116563479428E-2</v>
      </c>
      <c r="AT68" s="169">
        <f t="shared" si="79"/>
        <v>0.54564637865157195</v>
      </c>
      <c r="AU68" s="168">
        <f t="shared" si="79"/>
        <v>0.51441236924968403</v>
      </c>
      <c r="AV68" s="168">
        <f t="shared" si="79"/>
        <v>0.65458660741137664</v>
      </c>
      <c r="AW68" s="168">
        <f t="shared" si="79"/>
        <v>0.56970624339286347</v>
      </c>
      <c r="AX68" s="169">
        <f t="shared" si="79"/>
        <v>0.25176452253485615</v>
      </c>
      <c r="AY68" s="168">
        <f t="shared" si="79"/>
        <v>0.10984773142911286</v>
      </c>
      <c r="AZ68" s="168">
        <f t="shared" si="79"/>
        <v>-4.8208223321452581E-2</v>
      </c>
      <c r="BA68" s="168">
        <f t="shared" si="79"/>
        <v>3.2714909567089556E-2</v>
      </c>
      <c r="BB68" s="169">
        <f t="shared" si="79"/>
        <v>0.28648750704028525</v>
      </c>
      <c r="BC68" s="168">
        <f t="shared" si="79"/>
        <v>0.41913415769974982</v>
      </c>
      <c r="BD68" s="168">
        <f t="shared" si="79"/>
        <v>0.17322614135568348</v>
      </c>
      <c r="BE68" s="168">
        <f t="shared" si="79"/>
        <v>0.3012052205958089</v>
      </c>
      <c r="BF68" s="169">
        <f t="shared" si="79"/>
        <v>0.17001031703337222</v>
      </c>
      <c r="BG68" s="168">
        <f t="shared" si="79"/>
        <v>-0.12039486115943621</v>
      </c>
      <c r="BH68" s="168">
        <f t="shared" si="79"/>
        <v>1.1387512405097056E-2</v>
      </c>
      <c r="BI68" s="168">
        <f t="shared" si="79"/>
        <v>0.14896469021712933</v>
      </c>
      <c r="BJ68" s="169">
        <f t="shared" si="79"/>
        <v>0.32803422576239627</v>
      </c>
      <c r="BK68" s="168">
        <f t="shared" si="79"/>
        <v>1.6358828012540192</v>
      </c>
      <c r="BL68" s="168">
        <f t="shared" si="79"/>
        <v>1.7487528642392984</v>
      </c>
      <c r="BM68" s="168">
        <f t="shared" si="79"/>
        <v>1.1524594350456079</v>
      </c>
      <c r="BN68" s="169">
        <f t="shared" si="79"/>
        <v>0.7760578132639453</v>
      </c>
      <c r="BO68" s="168">
        <f t="shared" si="79"/>
        <v>0.37823682282464244</v>
      </c>
      <c r="BP68" s="168">
        <f t="shared" si="79"/>
        <v>0.36246372707577446</v>
      </c>
      <c r="BQ68" s="168">
        <f t="shared" si="79"/>
        <v>0.46529345509041442</v>
      </c>
      <c r="BR68" s="169">
        <f t="shared" si="79"/>
        <v>0.6349117254352723</v>
      </c>
      <c r="BS68" s="168">
        <f t="shared" si="79"/>
        <v>0.62087692572647213</v>
      </c>
      <c r="BT68" s="168">
        <f t="shared" si="79"/>
        <v>0.48597459968769741</v>
      </c>
      <c r="BU68" s="168">
        <f t="shared" si="79"/>
        <v>0.39118601188822044</v>
      </c>
      <c r="BV68" s="169">
        <f t="shared" si="79"/>
        <v>0.34734333013748264</v>
      </c>
      <c r="BW68" s="168">
        <f t="shared" si="79"/>
        <v>0.23693059192249621</v>
      </c>
      <c r="BX68" s="168">
        <f t="shared" si="79"/>
        <v>0.25434939052518568</v>
      </c>
      <c r="BY68" s="168">
        <f t="shared" si="79"/>
        <v>0.21624745941988999</v>
      </c>
      <c r="BZ68" s="169">
        <f t="shared" si="79"/>
        <v>0.16115785871164223</v>
      </c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  <c r="DG68" s="168"/>
      <c r="DH68" s="168"/>
      <c r="DI68" s="168"/>
      <c r="DJ68" s="168"/>
      <c r="DK68" s="168"/>
    </row>
    <row r="69" spans="1:115" x14ac:dyDescent="0.4">
      <c r="A69" s="65"/>
      <c r="B69" s="50" t="s">
        <v>63</v>
      </c>
      <c r="C69" s="168" t="str">
        <f t="shared" ref="C69:U69" si="80">IF(ISERROR(C12/B12-1)," ",(C12/B12-1))</f>
        <v xml:space="preserve"> </v>
      </c>
      <c r="D69" s="168">
        <f t="shared" si="80"/>
        <v>0.39527426080505612</v>
      </c>
      <c r="E69" s="168">
        <f t="shared" si="80"/>
        <v>0.29608015413757793</v>
      </c>
      <c r="F69" s="168">
        <f t="shared" si="80"/>
        <v>-0.30171328644030604</v>
      </c>
      <c r="G69" s="168">
        <f t="shared" si="80"/>
        <v>-0.35432055219855707</v>
      </c>
      <c r="H69" s="168">
        <f t="shared" si="80"/>
        <v>5.1078654563338155E-2</v>
      </c>
      <c r="I69" s="168">
        <f t="shared" si="80"/>
        <v>-0.14492247921735968</v>
      </c>
      <c r="J69" s="168">
        <f t="shared" si="80"/>
        <v>0.2203318663998961</v>
      </c>
      <c r="K69" s="168">
        <f t="shared" si="80"/>
        <v>14.702157852159566</v>
      </c>
      <c r="L69" s="168">
        <f t="shared" si="80"/>
        <v>1.2267282637465744</v>
      </c>
      <c r="M69" s="168">
        <f t="shared" si="80"/>
        <v>-8.2798448703702676E-2</v>
      </c>
      <c r="N69" s="168">
        <f t="shared" si="80"/>
        <v>0.38974282761443102</v>
      </c>
      <c r="O69" s="168">
        <f t="shared" si="80"/>
        <v>9.7829917634420616E-2</v>
      </c>
      <c r="P69" s="168">
        <f t="shared" si="80"/>
        <v>0.43607520000135458</v>
      </c>
      <c r="Q69" s="168">
        <f t="shared" si="80"/>
        <v>0.25118648647101227</v>
      </c>
      <c r="R69" s="168">
        <f t="shared" si="80"/>
        <v>1.2812072357540307</v>
      </c>
      <c r="S69" s="168">
        <f t="shared" si="80"/>
        <v>0.80746255810636169</v>
      </c>
      <c r="T69" s="168">
        <f t="shared" si="80"/>
        <v>0.56691670277655515</v>
      </c>
      <c r="U69" s="168">
        <f t="shared" si="80"/>
        <v>0.22425464133307704</v>
      </c>
      <c r="V69" s="8"/>
      <c r="W69" s="168"/>
      <c r="X69" s="168"/>
      <c r="Y69" s="168"/>
      <c r="Z69" s="169" t="str">
        <f>IF(ISERROR(Z12/#REF!-1),"",Z12/#REF!-1)</f>
        <v/>
      </c>
      <c r="AA69" s="168">
        <f t="shared" ref="AA69:BZ69" si="81">IF(ISERROR(AA12/W12-1),"",AA12/W12-1)</f>
        <v>-0.76832780430985448</v>
      </c>
      <c r="AB69" s="168">
        <f t="shared" si="81"/>
        <v>0.53388172406208967</v>
      </c>
      <c r="AC69" s="168">
        <f t="shared" si="81"/>
        <v>8.2460828242759465E-2</v>
      </c>
      <c r="AD69" s="169">
        <f t="shared" si="81"/>
        <v>6.2012027338848918E-2</v>
      </c>
      <c r="AE69" s="168">
        <f t="shared" si="81"/>
        <v>0.11613395275932303</v>
      </c>
      <c r="AF69" s="168">
        <f t="shared" si="81"/>
        <v>0.36621810384742082</v>
      </c>
      <c r="AG69" s="168">
        <f t="shared" si="81"/>
        <v>9.6911512370370101E-2</v>
      </c>
      <c r="AH69" s="169">
        <f t="shared" si="81"/>
        <v>0.20713936962015089</v>
      </c>
      <c r="AI69" s="168">
        <f t="shared" si="81"/>
        <v>0.35585895407331702</v>
      </c>
      <c r="AJ69" s="168">
        <f t="shared" si="81"/>
        <v>0.5577845003012698</v>
      </c>
      <c r="AK69" s="168">
        <f t="shared" si="81"/>
        <v>38.257397118930236</v>
      </c>
      <c r="AL69" s="169">
        <f t="shared" si="81"/>
        <v>17.751535100531694</v>
      </c>
      <c r="AM69" s="168">
        <f t="shared" si="81"/>
        <v>72.797461561617268</v>
      </c>
      <c r="AN69" s="168">
        <f t="shared" si="81"/>
        <v>18.112443072126791</v>
      </c>
      <c r="AO69" s="168">
        <f t="shared" si="81"/>
        <v>0.33717654358457927</v>
      </c>
      <c r="AP69" s="169">
        <f t="shared" si="81"/>
        <v>-2.4654114448614206E-2</v>
      </c>
      <c r="AQ69" s="168">
        <f t="shared" si="81"/>
        <v>-0.27546848265288548</v>
      </c>
      <c r="AR69" s="168">
        <f t="shared" si="81"/>
        <v>-0.10057368813481737</v>
      </c>
      <c r="AS69" s="168">
        <f t="shared" si="81"/>
        <v>-8.812075290365573E-2</v>
      </c>
      <c r="AT69" s="169">
        <f t="shared" si="81"/>
        <v>0.15434209154896705</v>
      </c>
      <c r="AU69" s="168">
        <f t="shared" si="81"/>
        <v>0.34404119890916851</v>
      </c>
      <c r="AV69" s="168">
        <f t="shared" si="81"/>
        <v>0.47228288005431462</v>
      </c>
      <c r="AW69" s="168">
        <f t="shared" si="81"/>
        <v>0.36257831808585639</v>
      </c>
      <c r="AX69" s="169">
        <f t="shared" si="81"/>
        <v>0.3711424505365164</v>
      </c>
      <c r="AY69" s="168">
        <f t="shared" si="81"/>
        <v>0.11719772694645969</v>
      </c>
      <c r="AZ69" s="168">
        <f t="shared" si="81"/>
        <v>-0.11196378553068276</v>
      </c>
      <c r="BA69" s="168">
        <f t="shared" si="81"/>
        <v>3.9393460487868737E-2</v>
      </c>
      <c r="BB69" s="169">
        <f t="shared" si="81"/>
        <v>0.34926359358281656</v>
      </c>
      <c r="BC69" s="168">
        <f t="shared" si="81"/>
        <v>0.4853701573048339</v>
      </c>
      <c r="BD69" s="168">
        <f t="shared" si="81"/>
        <v>0.34287514218220561</v>
      </c>
      <c r="BE69" s="168">
        <f t="shared" si="81"/>
        <v>0.5781460189629557</v>
      </c>
      <c r="BF69" s="169">
        <f t="shared" si="81"/>
        <v>0.36386867556431124</v>
      </c>
      <c r="BG69" s="168">
        <f t="shared" si="81"/>
        <v>-1.1007065863615773E-2</v>
      </c>
      <c r="BH69" s="168">
        <f t="shared" si="81"/>
        <v>0.15310960358067849</v>
      </c>
      <c r="BI69" s="168">
        <f t="shared" si="81"/>
        <v>0.29620095088334097</v>
      </c>
      <c r="BJ69" s="169">
        <f t="shared" si="81"/>
        <v>0.43363506041726052</v>
      </c>
      <c r="BK69" s="168">
        <f t="shared" si="81"/>
        <v>1.9221947674441542</v>
      </c>
      <c r="BL69" s="168">
        <f t="shared" si="81"/>
        <v>1.9553367918252538</v>
      </c>
      <c r="BM69" s="168">
        <f t="shared" si="81"/>
        <v>1.1582816550215265</v>
      </c>
      <c r="BN69" s="169">
        <f t="shared" si="81"/>
        <v>0.7617872637144909</v>
      </c>
      <c r="BO69" s="168">
        <f t="shared" si="81"/>
        <v>0.54408061836379451</v>
      </c>
      <c r="BP69" s="168">
        <f t="shared" si="81"/>
        <v>0.69053951193611529</v>
      </c>
      <c r="BQ69" s="168">
        <f t="shared" si="81"/>
        <v>0.86720511706370096</v>
      </c>
      <c r="BR69" s="169">
        <f t="shared" si="81"/>
        <v>1.0336687677191896</v>
      </c>
      <c r="BS69" s="168">
        <f t="shared" si="81"/>
        <v>0.95819299008639591</v>
      </c>
      <c r="BT69" s="168">
        <f t="shared" si="81"/>
        <v>0.59465842127837276</v>
      </c>
      <c r="BU69" s="168">
        <f t="shared" si="81"/>
        <v>0.47708222130610167</v>
      </c>
      <c r="BV69" s="169">
        <f t="shared" si="81"/>
        <v>0.42047591103534687</v>
      </c>
      <c r="BW69" s="168">
        <f t="shared" si="81"/>
        <v>0.24735749789423944</v>
      </c>
      <c r="BX69" s="168">
        <f t="shared" si="81"/>
        <v>0.26561352950745754</v>
      </c>
      <c r="BY69" s="168">
        <f t="shared" si="81"/>
        <v>0.22200360283883147</v>
      </c>
      <c r="BZ69" s="169">
        <f t="shared" si="81"/>
        <v>0.17615854206483994</v>
      </c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  <c r="DG69" s="168"/>
      <c r="DH69" s="168"/>
      <c r="DI69" s="168"/>
      <c r="DJ69" s="168"/>
      <c r="DK69" s="168"/>
    </row>
    <row r="70" spans="1:115" x14ac:dyDescent="0.4">
      <c r="A70" s="69"/>
      <c r="B70" s="50" t="s">
        <v>70</v>
      </c>
      <c r="C70" s="168" t="str">
        <f t="shared" ref="C70:U70" si="82">IF(ISERROR(C45/B45-1)," ",(C45/B45-1))</f>
        <v xml:space="preserve"> </v>
      </c>
      <c r="D70" s="168">
        <f t="shared" si="82"/>
        <v>0.48142386382386038</v>
      </c>
      <c r="E70" s="168">
        <f t="shared" si="82"/>
        <v>0.22461369378705864</v>
      </c>
      <c r="F70" s="168">
        <f t="shared" si="82"/>
        <v>-0.50727662433543819</v>
      </c>
      <c r="G70" s="168">
        <f t="shared" si="82"/>
        <v>-0.95082870837716504</v>
      </c>
      <c r="H70" s="168">
        <f t="shared" si="82"/>
        <v>-2.5996066951170054</v>
      </c>
      <c r="I70" s="168">
        <f t="shared" si="82"/>
        <v>0.56278557906168958</v>
      </c>
      <c r="J70" s="168">
        <f t="shared" si="82"/>
        <v>0.90489396153612156</v>
      </c>
      <c r="K70" s="168">
        <f t="shared" si="82"/>
        <v>-50.302678250876589</v>
      </c>
      <c r="L70" s="168">
        <f t="shared" si="82"/>
        <v>1.2267169945295424</v>
      </c>
      <c r="M70" s="168">
        <f t="shared" si="82"/>
        <v>-0.24780700169347536</v>
      </c>
      <c r="N70" s="168">
        <f t="shared" si="82"/>
        <v>0.3539848820500906</v>
      </c>
      <c r="O70" s="168">
        <f t="shared" si="82"/>
        <v>0.14137049539070734</v>
      </c>
      <c r="P70" s="168">
        <f t="shared" si="82"/>
        <v>0.55631999072122018</v>
      </c>
      <c r="Q70" s="168">
        <f t="shared" si="82"/>
        <v>0.56413041978743661</v>
      </c>
      <c r="R70" s="168">
        <f t="shared" si="82"/>
        <v>1.6954906711377231</v>
      </c>
      <c r="S70" s="168">
        <f t="shared" si="82"/>
        <v>1.0247773836363665</v>
      </c>
      <c r="T70" s="168">
        <f t="shared" si="82"/>
        <v>0.65269836717376672</v>
      </c>
      <c r="U70" s="168">
        <f t="shared" si="82"/>
        <v>0.23464744289315065</v>
      </c>
      <c r="V70" s="34"/>
      <c r="W70" s="168"/>
      <c r="X70" s="168"/>
      <c r="Y70" s="168"/>
      <c r="Z70" s="169"/>
      <c r="AA70" s="168"/>
      <c r="AB70" s="168"/>
      <c r="AC70" s="168"/>
      <c r="AD70" s="169"/>
      <c r="AE70" s="168"/>
      <c r="AF70" s="168"/>
      <c r="AG70" s="168"/>
      <c r="AH70" s="169"/>
      <c r="AI70" s="168"/>
      <c r="AJ70" s="168"/>
      <c r="AK70" s="168">
        <f>IF(ISERROR(AK20/AG20-1),"",AK20/AG20-1)</f>
        <v>-82.198544209056621</v>
      </c>
      <c r="AL70" s="169">
        <f t="shared" ref="AL70:BZ70" si="83">IF(ISERROR(AL20/AH20-1),"",AL20/AH20-1)</f>
        <v>43.353458705842705</v>
      </c>
      <c r="AM70" s="168">
        <f t="shared" si="83"/>
        <v>-30.96191253230834</v>
      </c>
      <c r="AN70" s="168">
        <f t="shared" si="83"/>
        <v>29.015127065658014</v>
      </c>
      <c r="AO70" s="168">
        <f t="shared" si="83"/>
        <v>0.2750588152046276</v>
      </c>
      <c r="AP70" s="169">
        <f t="shared" si="83"/>
        <v>-0.10538072556854428</v>
      </c>
      <c r="AQ70" s="168">
        <f t="shared" si="83"/>
        <v>-0.34254661192748681</v>
      </c>
      <c r="AR70" s="168">
        <f t="shared" si="83"/>
        <v>-0.23721170719400109</v>
      </c>
      <c r="AS70" s="168">
        <f t="shared" si="83"/>
        <v>-0.1424007474238278</v>
      </c>
      <c r="AT70" s="169">
        <f t="shared" si="83"/>
        <v>-0.29491844564531422</v>
      </c>
      <c r="AU70" s="168">
        <f t="shared" si="83"/>
        <v>0.24185844890834685</v>
      </c>
      <c r="AV70" s="168">
        <f t="shared" si="83"/>
        <v>0.87079943235687352</v>
      </c>
      <c r="AW70" s="168">
        <f t="shared" si="83"/>
        <v>0.15319093539443052</v>
      </c>
      <c r="AX70" s="169">
        <f t="shared" si="83"/>
        <v>6.7499474643485824E-2</v>
      </c>
      <c r="AY70" s="168">
        <f t="shared" si="83"/>
        <v>-0.10932182388270995</v>
      </c>
      <c r="AZ70" s="168">
        <f t="shared" si="83"/>
        <v>-0.32345495383783607</v>
      </c>
      <c r="BA70" s="168">
        <f t="shared" si="83"/>
        <v>0.15780224760341954</v>
      </c>
      <c r="BB70" s="169">
        <f t="shared" si="83"/>
        <v>1.6169384281916503</v>
      </c>
      <c r="BC70" s="168">
        <f t="shared" si="83"/>
        <v>0.71047942663341312</v>
      </c>
      <c r="BD70" s="168">
        <f t="shared" si="83"/>
        <v>0.2623874869913545</v>
      </c>
      <c r="BE70" s="168">
        <f t="shared" si="83"/>
        <v>0.60108352413641675</v>
      </c>
      <c r="BF70" s="169">
        <f t="shared" si="83"/>
        <v>0.64548287461002984</v>
      </c>
      <c r="BG70" s="168">
        <f t="shared" si="83"/>
        <v>0.15312939812470283</v>
      </c>
      <c r="BH70" s="168">
        <f t="shared" si="83"/>
        <v>0.50042094666885784</v>
      </c>
      <c r="BI70" s="168">
        <f t="shared" si="83"/>
        <v>0.80478074837914071</v>
      </c>
      <c r="BJ70" s="169">
        <f t="shared" si="83"/>
        <v>0.59594677814513175</v>
      </c>
      <c r="BK70" s="168">
        <f t="shared" si="83"/>
        <v>3.1612773238599852</v>
      </c>
      <c r="BL70" s="168">
        <f t="shared" si="83"/>
        <v>2.9359062726151781</v>
      </c>
      <c r="BM70" s="168">
        <f t="shared" si="83"/>
        <v>1.4316970071254511</v>
      </c>
      <c r="BN70" s="169">
        <f t="shared" si="83"/>
        <v>0.85654962390553013</v>
      </c>
      <c r="BO70" s="168">
        <f t="shared" si="83"/>
        <v>0.74207831020773973</v>
      </c>
      <c r="BP70" s="168">
        <f t="shared" si="83"/>
        <v>0.87522541308379354</v>
      </c>
      <c r="BQ70" s="168">
        <f t="shared" si="83"/>
        <v>0.95657286770103811</v>
      </c>
      <c r="BR70" s="169">
        <f t="shared" si="83"/>
        <v>1.4636940778860863</v>
      </c>
      <c r="BS70" s="168">
        <f t="shared" si="83"/>
        <v>1.1385424480784834</v>
      </c>
      <c r="BT70" s="168">
        <f t="shared" si="83"/>
        <v>0.65612763026381504</v>
      </c>
      <c r="BU70" s="168">
        <f t="shared" si="83"/>
        <v>0.55303644609551195</v>
      </c>
      <c r="BV70" s="169">
        <f t="shared" si="83"/>
        <v>0.48717620991580102</v>
      </c>
      <c r="BW70" s="168">
        <f t="shared" si="83"/>
        <v>0.26102125948998722</v>
      </c>
      <c r="BX70" s="168">
        <f t="shared" si="83"/>
        <v>0.28076379859229506</v>
      </c>
      <c r="BY70" s="168">
        <f t="shared" si="83"/>
        <v>0.23092920978645037</v>
      </c>
      <c r="BZ70" s="169">
        <f t="shared" si="83"/>
        <v>0.17907974996522502</v>
      </c>
      <c r="CA70" s="168"/>
      <c r="CB70" s="168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</row>
    <row r="71" spans="1:115" x14ac:dyDescent="0.4">
      <c r="A71" s="65"/>
      <c r="B71" s="50" t="s">
        <v>107</v>
      </c>
      <c r="C71" s="168" t="str">
        <f t="shared" ref="C71:U71" si="84">IF(ISERROR(C33/B33-1)," ",(C33/B33-1))</f>
        <v xml:space="preserve"> </v>
      </c>
      <c r="D71" s="168">
        <f t="shared" si="84"/>
        <v>0.38113636197279677</v>
      </c>
      <c r="E71" s="168">
        <f t="shared" si="84"/>
        <v>0.21992992198893102</v>
      </c>
      <c r="F71" s="168">
        <f t="shared" si="84"/>
        <v>-0.43649111719794853</v>
      </c>
      <c r="G71" s="168">
        <f t="shared" si="84"/>
        <v>-0.51808006237284876</v>
      </c>
      <c r="H71" s="168">
        <f t="shared" si="84"/>
        <v>-0.60750039726856886</v>
      </c>
      <c r="I71" s="168">
        <f t="shared" si="84"/>
        <v>-6.2880191923765372E-3</v>
      </c>
      <c r="J71" s="168">
        <f t="shared" si="84"/>
        <v>0.72551548883376471</v>
      </c>
      <c r="K71" s="168">
        <f t="shared" si="84"/>
        <v>17.870445933079509</v>
      </c>
      <c r="L71" s="168">
        <f t="shared" si="84"/>
        <v>2.3753118087190148</v>
      </c>
      <c r="M71" s="168">
        <f t="shared" si="84"/>
        <v>-0.17019250907471362</v>
      </c>
      <c r="N71" s="168">
        <f t="shared" si="84"/>
        <v>0.71145993706079369</v>
      </c>
      <c r="O71" s="168">
        <f t="shared" si="84"/>
        <v>-2.7401210424663702E-2</v>
      </c>
      <c r="P71" s="168">
        <f t="shared" si="84"/>
        <v>0.40799012532075785</v>
      </c>
      <c r="Q71" s="168">
        <f t="shared" si="84"/>
        <v>0.84415003641758934</v>
      </c>
      <c r="R71" s="168">
        <f t="shared" si="84"/>
        <v>1.4282954287890095</v>
      </c>
      <c r="S71" s="168">
        <f t="shared" si="84"/>
        <v>0.98467781298177837</v>
      </c>
      <c r="T71" s="168">
        <f t="shared" si="84"/>
        <v>0.64799246226497931</v>
      </c>
      <c r="U71" s="168">
        <f t="shared" si="84"/>
        <v>0.23658569071417768</v>
      </c>
      <c r="V71" s="8"/>
      <c r="W71" s="168"/>
      <c r="X71" s="168"/>
      <c r="Y71" s="168"/>
      <c r="Z71" s="169" t="str">
        <f>IF(ISERROR(Z33/#REF!-1)," ",(Z33/#REF!-1))</f>
        <v xml:space="preserve"> </v>
      </c>
      <c r="AA71" s="168">
        <f t="shared" ref="AA71:BZ71" si="85">IF(ISERROR(AA33/W33-1)," ",(AA33/W33-1))</f>
        <v>-1.7026826504483923</v>
      </c>
      <c r="AB71" s="168">
        <f t="shared" si="85"/>
        <v>-0.85095384724084588</v>
      </c>
      <c r="AC71" s="168">
        <f t="shared" si="85"/>
        <v>-1.0561961397254107</v>
      </c>
      <c r="AD71" s="169">
        <f t="shared" si="85"/>
        <v>1.4779036323050438</v>
      </c>
      <c r="AE71" s="168">
        <f t="shared" si="85"/>
        <v>0.69494577156343507</v>
      </c>
      <c r="AF71" s="168">
        <f t="shared" si="85"/>
        <v>-11.056130579090128</v>
      </c>
      <c r="AG71" s="168">
        <f t="shared" si="85"/>
        <v>5.1493596508568213</v>
      </c>
      <c r="AH71" s="169">
        <f t="shared" si="85"/>
        <v>-0.46534435077600766</v>
      </c>
      <c r="AI71" s="168">
        <f t="shared" si="85"/>
        <v>-0.32562504044743068</v>
      </c>
      <c r="AJ71" s="168">
        <f t="shared" si="85"/>
        <v>-0.31471924437947107</v>
      </c>
      <c r="AK71" s="168">
        <f t="shared" si="85"/>
        <v>-89.770490224736491</v>
      </c>
      <c r="AL71" s="169">
        <f t="shared" si="85"/>
        <v>8.0691495580795998</v>
      </c>
      <c r="AM71" s="168">
        <f t="shared" si="85"/>
        <v>-39.478314774234335</v>
      </c>
      <c r="AN71" s="168">
        <f t="shared" si="85"/>
        <v>21.616699909860561</v>
      </c>
      <c r="AO71" s="168">
        <f t="shared" si="85"/>
        <v>0.26571921658834552</v>
      </c>
      <c r="AP71" s="169">
        <f t="shared" si="85"/>
        <v>1.5551902014955545</v>
      </c>
      <c r="AQ71" s="168">
        <f t="shared" si="85"/>
        <v>-0.30578187483104191</v>
      </c>
      <c r="AR71" s="168">
        <f t="shared" si="85"/>
        <v>-0.41904235896465014</v>
      </c>
      <c r="AS71" s="168">
        <f t="shared" si="85"/>
        <v>-0.14362522986663495</v>
      </c>
      <c r="AT71" s="169">
        <f t="shared" si="85"/>
        <v>0.29439856756853788</v>
      </c>
      <c r="AU71" s="168">
        <f t="shared" si="85"/>
        <v>0.46290852776827851</v>
      </c>
      <c r="AV71" s="168">
        <f t="shared" si="85"/>
        <v>1.2387492393928063</v>
      </c>
      <c r="AW71" s="168">
        <f t="shared" si="85"/>
        <v>0.71265651008781927</v>
      </c>
      <c r="AX71" s="169">
        <f t="shared" si="85"/>
        <v>0.54183983315373707</v>
      </c>
      <c r="AY71" s="168">
        <f t="shared" si="85"/>
        <v>-0.14012365265702198</v>
      </c>
      <c r="AZ71" s="168">
        <f t="shared" si="85"/>
        <v>-0.1358359493318273</v>
      </c>
      <c r="BA71" s="168">
        <f t="shared" si="85"/>
        <v>-9.9301707150953988E-2</v>
      </c>
      <c r="BB71" s="169">
        <f t="shared" si="85"/>
        <v>0.20286701865937729</v>
      </c>
      <c r="BC71" s="168">
        <f t="shared" si="85"/>
        <v>0.5843527118669769</v>
      </c>
      <c r="BD71" s="168">
        <f t="shared" si="85"/>
        <v>0.30203979960733007</v>
      </c>
      <c r="BE71" s="168">
        <f t="shared" si="85"/>
        <v>0.6897234025972141</v>
      </c>
      <c r="BF71" s="169">
        <f t="shared" si="85"/>
        <v>0.20505261634487049</v>
      </c>
      <c r="BG71" s="168">
        <f t="shared" si="85"/>
        <v>0.15790435149052162</v>
      </c>
      <c r="BH71" s="168">
        <f t="shared" si="85"/>
        <v>0.53154027403988358</v>
      </c>
      <c r="BI71" s="168">
        <f t="shared" si="85"/>
        <v>0.84463932404364206</v>
      </c>
      <c r="BJ71" s="169">
        <f t="shared" si="85"/>
        <v>1.4419355172617498</v>
      </c>
      <c r="BK71" s="168">
        <f t="shared" si="85"/>
        <v>3.3515705780541767</v>
      </c>
      <c r="BL71" s="168">
        <f t="shared" si="85"/>
        <v>2.4988370175532273</v>
      </c>
      <c r="BM71" s="168">
        <f t="shared" si="85"/>
        <v>1.2301694803927763</v>
      </c>
      <c r="BN71" s="169">
        <f t="shared" si="85"/>
        <v>0.60220082200114899</v>
      </c>
      <c r="BO71" s="168">
        <f t="shared" si="85"/>
        <v>0.69295119835329588</v>
      </c>
      <c r="BP71" s="168">
        <f t="shared" si="85"/>
        <v>0.86036895799446111</v>
      </c>
      <c r="BQ71" s="168">
        <f t="shared" si="85"/>
        <v>1.0332869460278875</v>
      </c>
      <c r="BR71" s="169">
        <f t="shared" si="85"/>
        <v>1.2617017585164372</v>
      </c>
      <c r="BS71" s="168">
        <f t="shared" si="85"/>
        <v>1.1083855934860156</v>
      </c>
      <c r="BT71" s="168">
        <f t="shared" si="85"/>
        <v>0.6375246013758491</v>
      </c>
      <c r="BU71" s="168">
        <f t="shared" si="85"/>
        <v>0.56215667372393696</v>
      </c>
      <c r="BV71" s="169">
        <f t="shared" si="85"/>
        <v>0.4883515375390457</v>
      </c>
      <c r="BW71" s="168">
        <f t="shared" si="85"/>
        <v>0.26307755751542627</v>
      </c>
      <c r="BX71" s="168">
        <f t="shared" si="85"/>
        <v>0.28244943078946316</v>
      </c>
      <c r="BY71" s="168">
        <f t="shared" si="85"/>
        <v>0.23265507607599956</v>
      </c>
      <c r="BZ71" s="169">
        <f t="shared" si="85"/>
        <v>0.18091837899447083</v>
      </c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  <c r="DG71" s="168"/>
      <c r="DH71" s="168"/>
      <c r="DI71" s="168"/>
      <c r="DJ71" s="168"/>
      <c r="DK71" s="168"/>
    </row>
    <row r="72" spans="1:115" x14ac:dyDescent="0.4">
      <c r="A72" s="170"/>
      <c r="B72" s="42" t="s">
        <v>108</v>
      </c>
      <c r="C72" s="171" t="str">
        <f t="shared" ref="C72:U72" si="86">IF(ISERROR(C40/B40-1)," ",(C40/B40-1))</f>
        <v xml:space="preserve"> </v>
      </c>
      <c r="D72" s="171">
        <f t="shared" si="86"/>
        <v>0.3403826546798876</v>
      </c>
      <c r="E72" s="171">
        <f t="shared" si="86"/>
        <v>0.22174324241341781</v>
      </c>
      <c r="F72" s="171">
        <f t="shared" si="86"/>
        <v>-0.43808537505197198</v>
      </c>
      <c r="G72" s="171">
        <f t="shared" si="86"/>
        <v>-0.50510885288006868</v>
      </c>
      <c r="H72" s="171">
        <f t="shared" si="86"/>
        <v>-0.59597736820372427</v>
      </c>
      <c r="I72" s="171">
        <f t="shared" si="86"/>
        <v>-3.6374750212552986E-2</v>
      </c>
      <c r="J72" s="171">
        <f t="shared" si="86"/>
        <v>0.81339509329195026</v>
      </c>
      <c r="K72" s="171">
        <f t="shared" si="86"/>
        <v>15.06358696695548</v>
      </c>
      <c r="L72" s="171">
        <f t="shared" si="86"/>
        <v>2.8581738870136442</v>
      </c>
      <c r="M72" s="171">
        <f t="shared" si="86"/>
        <v>-0.17593639551854079</v>
      </c>
      <c r="N72" s="171">
        <f t="shared" si="86"/>
        <v>0.68550170204181171</v>
      </c>
      <c r="O72" s="171">
        <f t="shared" si="86"/>
        <v>1.3279947196868536E-2</v>
      </c>
      <c r="P72" s="171">
        <f t="shared" si="86"/>
        <v>0.39569303399753486</v>
      </c>
      <c r="Q72" s="171">
        <f t="shared" si="86"/>
        <v>0.77577121515085046</v>
      </c>
      <c r="R72" s="171">
        <f t="shared" si="86"/>
        <v>1.3793052438165772</v>
      </c>
      <c r="S72" s="171">
        <f t="shared" si="86"/>
        <v>0.91315964869376143</v>
      </c>
      <c r="T72" s="171">
        <f t="shared" si="86"/>
        <v>0.67078033257397918</v>
      </c>
      <c r="U72" s="171">
        <f t="shared" si="86"/>
        <v>0.23948084702864603</v>
      </c>
      <c r="V72" s="172"/>
      <c r="W72" s="171"/>
      <c r="X72" s="171"/>
      <c r="Y72" s="171"/>
      <c r="Z72" s="173" t="str">
        <f>IF(ISERROR(Z40/#REF!-1)," ",(Z40/#REF!-1))</f>
        <v xml:space="preserve"> </v>
      </c>
      <c r="AA72" s="171">
        <f t="shared" ref="AA72:BZ72" si="87">IF(ISERROR(AA40/W40-1)," ",(AA40/W40-1))</f>
        <v>-1.8266854711157556</v>
      </c>
      <c r="AB72" s="171">
        <f t="shared" si="87"/>
        <v>-0.83335249440173209</v>
      </c>
      <c r="AC72" s="171">
        <f t="shared" si="87"/>
        <v>-1.066113105567545</v>
      </c>
      <c r="AD72" s="173">
        <f t="shared" si="87"/>
        <v>1.3052064172537237</v>
      </c>
      <c r="AE72" s="171">
        <f t="shared" si="87"/>
        <v>0.69494577156343507</v>
      </c>
      <c r="AF72" s="171">
        <f t="shared" si="87"/>
        <v>-10.294530554629645</v>
      </c>
      <c r="AG72" s="171">
        <f t="shared" si="87"/>
        <v>3.4182837864917817</v>
      </c>
      <c r="AH72" s="173">
        <f t="shared" si="87"/>
        <v>-0.4590285708987395</v>
      </c>
      <c r="AI72" s="171">
        <f t="shared" si="87"/>
        <v>-0.32562504044743068</v>
      </c>
      <c r="AJ72" s="171">
        <f t="shared" si="87"/>
        <v>-0.29348190593877233</v>
      </c>
      <c r="AK72" s="171">
        <f t="shared" si="87"/>
        <v>-105.37405682065875</v>
      </c>
      <c r="AL72" s="173">
        <f t="shared" si="87"/>
        <v>4.9618755860664923</v>
      </c>
      <c r="AM72" s="171">
        <f t="shared" si="87"/>
        <v>-34.724919209451194</v>
      </c>
      <c r="AN72" s="171">
        <f t="shared" si="87"/>
        <v>19.255228486200849</v>
      </c>
      <c r="AO72" s="171">
        <f t="shared" si="87"/>
        <v>0.34523808069081796</v>
      </c>
      <c r="AP72" s="173">
        <f t="shared" si="87"/>
        <v>3.0237533913124937</v>
      </c>
      <c r="AQ72" s="171">
        <f t="shared" si="87"/>
        <v>-0.32664146737456423</v>
      </c>
      <c r="AR72" s="171">
        <f t="shared" si="87"/>
        <v>-0.36256409985048077</v>
      </c>
      <c r="AS72" s="171">
        <f t="shared" si="87"/>
        <v>-8.5066479638280734E-2</v>
      </c>
      <c r="AT72" s="173">
        <f t="shared" si="87"/>
        <v>9.856090114587901E-2</v>
      </c>
      <c r="AU72" s="171">
        <f t="shared" si="87"/>
        <v>0.54434132058538109</v>
      </c>
      <c r="AV72" s="171">
        <f t="shared" si="87"/>
        <v>0.96150886279262693</v>
      </c>
      <c r="AW72" s="171">
        <f t="shared" si="87"/>
        <v>0.55897480153055001</v>
      </c>
      <c r="AX72" s="173">
        <f t="shared" si="87"/>
        <v>0.7069614663257926</v>
      </c>
      <c r="AY72" s="171">
        <f t="shared" si="87"/>
        <v>-0.13400962877407296</v>
      </c>
      <c r="AZ72" s="171">
        <f t="shared" si="87"/>
        <v>-1.7623969954325247E-2</v>
      </c>
      <c r="BA72" s="171">
        <f t="shared" si="87"/>
        <v>-6.5832298492634722E-2</v>
      </c>
      <c r="BB72" s="173">
        <f t="shared" si="87"/>
        <v>0.19301400654047396</v>
      </c>
      <c r="BC72" s="171">
        <f t="shared" si="87"/>
        <v>0.63382504086251878</v>
      </c>
      <c r="BD72" s="171">
        <f t="shared" si="87"/>
        <v>0.32390325659683961</v>
      </c>
      <c r="BE72" s="171">
        <f t="shared" si="87"/>
        <v>0.64196152331584222</v>
      </c>
      <c r="BF72" s="173">
        <f t="shared" si="87"/>
        <v>0.17233569367478663</v>
      </c>
      <c r="BG72" s="171">
        <f t="shared" si="87"/>
        <v>0.14952061914364623</v>
      </c>
      <c r="BH72" s="171">
        <f t="shared" si="87"/>
        <v>0.32282252986211346</v>
      </c>
      <c r="BI72" s="171">
        <f t="shared" si="87"/>
        <v>0.89448387884520297</v>
      </c>
      <c r="BJ72" s="173">
        <f t="shared" si="87"/>
        <v>1.3625878285652879</v>
      </c>
      <c r="BK72" s="171">
        <f t="shared" si="87"/>
        <v>3.0383530949369337</v>
      </c>
      <c r="BL72" s="171">
        <f t="shared" si="87"/>
        <v>2.7081753777317812</v>
      </c>
      <c r="BM72" s="171">
        <f t="shared" si="87"/>
        <v>1.0439924575909791</v>
      </c>
      <c r="BN72" s="173">
        <f t="shared" si="87"/>
        <v>0.61660211342109106</v>
      </c>
      <c r="BO72" s="171">
        <f t="shared" si="87"/>
        <v>0.56834339184262483</v>
      </c>
      <c r="BP72" s="171">
        <f t="shared" si="87"/>
        <v>0.7879633522027738</v>
      </c>
      <c r="BQ72" s="171">
        <f t="shared" si="87"/>
        <v>1.0304463670592914</v>
      </c>
      <c r="BR72" s="173">
        <f t="shared" si="87"/>
        <v>1.1622351472067263</v>
      </c>
      <c r="BS72" s="171">
        <f t="shared" si="87"/>
        <v>1.2131194277594766</v>
      </c>
      <c r="BT72" s="171">
        <f t="shared" si="87"/>
        <v>0.63951292533582005</v>
      </c>
      <c r="BU72" s="171">
        <f t="shared" si="87"/>
        <v>0.57909376293301107</v>
      </c>
      <c r="BV72" s="173">
        <f t="shared" si="87"/>
        <v>0.50014765462562671</v>
      </c>
      <c r="BW72" s="171">
        <f t="shared" si="87"/>
        <v>0.26358725977789699</v>
      </c>
      <c r="BX72" s="171">
        <f t="shared" si="87"/>
        <v>0.28319400891879787</v>
      </c>
      <c r="BY72" s="171">
        <f t="shared" si="87"/>
        <v>0.23584530237696066</v>
      </c>
      <c r="BZ72" s="173">
        <f t="shared" si="87"/>
        <v>0.18709814369169986</v>
      </c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  <c r="DA72" s="171"/>
      <c r="DB72" s="171"/>
      <c r="DC72" s="171"/>
      <c r="DD72" s="171"/>
      <c r="DE72" s="171"/>
      <c r="DF72" s="171"/>
      <c r="DG72" s="171"/>
      <c r="DH72" s="171"/>
      <c r="DI72" s="171"/>
      <c r="DJ72" s="171"/>
      <c r="DK72" s="171"/>
    </row>
    <row r="73" spans="1:115" x14ac:dyDescent="0.4">
      <c r="A73" s="65"/>
      <c r="B73" s="50" t="s">
        <v>92</v>
      </c>
      <c r="C73" s="168" t="str">
        <f t="shared" ref="C73:H73" si="88">IF(ISERROR(C20/B20-1)," ",(C20/B20-1))</f>
        <v xml:space="preserve"> </v>
      </c>
      <c r="D73" s="168">
        <f t="shared" si="88"/>
        <v>0.48142386382386038</v>
      </c>
      <c r="E73" s="168">
        <f t="shared" si="88"/>
        <v>0.22461369378705864</v>
      </c>
      <c r="F73" s="168">
        <f t="shared" si="88"/>
        <v>-0.50727662433543819</v>
      </c>
      <c r="G73" s="168">
        <f t="shared" si="88"/>
        <v>-0.95082870837716504</v>
      </c>
      <c r="H73" s="168">
        <f t="shared" si="88"/>
        <v>-2.5996066951170054</v>
      </c>
      <c r="I73" s="168">
        <f t="shared" ref="I73:U73" si="89">IF(ISERROR(I48/H48-1)," ",(I48/H48-1))</f>
        <v>5.0256940563046637E-2</v>
      </c>
      <c r="J73" s="168">
        <f t="shared" si="89"/>
        <v>1.4560838852350821E-2</v>
      </c>
      <c r="K73" s="168">
        <f t="shared" si="89"/>
        <v>17.665272261595092</v>
      </c>
      <c r="L73" s="168">
        <f t="shared" si="89"/>
        <v>1.1723944854081707</v>
      </c>
      <c r="M73" s="168">
        <f t="shared" si="89"/>
        <v>-0.15558643701214836</v>
      </c>
      <c r="N73" s="168">
        <f t="shared" si="89"/>
        <v>0.35924282365895732</v>
      </c>
      <c r="O73" s="168">
        <f t="shared" si="89"/>
        <v>0.16702849394625319</v>
      </c>
      <c r="P73" s="168">
        <f t="shared" si="89"/>
        <v>0.41232773895879737</v>
      </c>
      <c r="Q73" s="168">
        <f t="shared" si="89"/>
        <v>0.44176183341563058</v>
      </c>
      <c r="R73" s="168">
        <f t="shared" si="89"/>
        <v>1.4608679322968983</v>
      </c>
      <c r="S73" s="168">
        <f t="shared" si="89"/>
        <v>0.9373119443097977</v>
      </c>
      <c r="T73" s="168">
        <f t="shared" si="89"/>
        <v>0.63386237214143404</v>
      </c>
      <c r="U73" s="168">
        <f t="shared" si="89"/>
        <v>0.23217308099888911</v>
      </c>
      <c r="V73" s="8"/>
      <c r="W73" s="168"/>
      <c r="X73" s="168"/>
      <c r="Y73" s="168"/>
      <c r="Z73" s="169" t="str">
        <f>IF(ISERROR(Z20/#REF!-1),"",Z20/#REF!-1)</f>
        <v/>
      </c>
      <c r="AA73" s="168">
        <f t="shared" ref="AA73:BZ73" si="90">IF(ISERROR(AA20/W20-1),"",AA20/W20-1)</f>
        <v>-3.7948070927175119</v>
      </c>
      <c r="AB73" s="168">
        <f t="shared" si="90"/>
        <v>-0.89186297565893669</v>
      </c>
      <c r="AC73" s="168">
        <f t="shared" si="90"/>
        <v>-0.61629156214146652</v>
      </c>
      <c r="AD73" s="169">
        <f t="shared" si="90"/>
        <v>-0.32699316817858415</v>
      </c>
      <c r="AE73" s="168">
        <f t="shared" si="90"/>
        <v>0.52091260382498605</v>
      </c>
      <c r="AF73" s="168">
        <f t="shared" si="90"/>
        <v>0.58270192757879324</v>
      </c>
      <c r="AG73" s="168">
        <f t="shared" si="90"/>
        <v>0.27645450342284894</v>
      </c>
      <c r="AH73" s="169">
        <f t="shared" si="90"/>
        <v>4.8539181627664574E-2</v>
      </c>
      <c r="AI73" s="168">
        <f t="shared" si="90"/>
        <v>-0.21274364576601501</v>
      </c>
      <c r="AJ73" s="168">
        <f t="shared" si="90"/>
        <v>-8.3787147554644932</v>
      </c>
      <c r="AK73" s="168">
        <f t="shared" si="90"/>
        <v>-82.198544209056621</v>
      </c>
      <c r="AL73" s="169">
        <f t="shared" si="90"/>
        <v>43.353458705842705</v>
      </c>
      <c r="AM73" s="168">
        <f t="shared" si="90"/>
        <v>-30.96191253230834</v>
      </c>
      <c r="AN73" s="168">
        <f t="shared" si="90"/>
        <v>29.015127065658014</v>
      </c>
      <c r="AO73" s="168">
        <f t="shared" si="90"/>
        <v>0.2750588152046276</v>
      </c>
      <c r="AP73" s="169">
        <f t="shared" si="90"/>
        <v>-0.10538072556854428</v>
      </c>
      <c r="AQ73" s="168">
        <f t="shared" si="90"/>
        <v>-0.34254661192748681</v>
      </c>
      <c r="AR73" s="168">
        <f t="shared" si="90"/>
        <v>-0.23721170719400109</v>
      </c>
      <c r="AS73" s="168">
        <f t="shared" si="90"/>
        <v>-0.1424007474238278</v>
      </c>
      <c r="AT73" s="169">
        <f t="shared" si="90"/>
        <v>-0.29491844564531422</v>
      </c>
      <c r="AU73" s="168">
        <f t="shared" si="90"/>
        <v>0.24185844890834685</v>
      </c>
      <c r="AV73" s="168">
        <f t="shared" si="90"/>
        <v>0.87079943235687352</v>
      </c>
      <c r="AW73" s="168">
        <f t="shared" si="90"/>
        <v>0.15319093539443052</v>
      </c>
      <c r="AX73" s="169">
        <f t="shared" si="90"/>
        <v>6.7499474643485824E-2</v>
      </c>
      <c r="AY73" s="168">
        <f t="shared" si="90"/>
        <v>-0.10932182388270995</v>
      </c>
      <c r="AZ73" s="168">
        <f t="shared" si="90"/>
        <v>-0.32345495383783607</v>
      </c>
      <c r="BA73" s="168">
        <f t="shared" si="90"/>
        <v>0.15780224760341954</v>
      </c>
      <c r="BB73" s="169">
        <f t="shared" si="90"/>
        <v>1.6169384281916503</v>
      </c>
      <c r="BC73" s="168">
        <f t="shared" si="90"/>
        <v>0.71047942663341312</v>
      </c>
      <c r="BD73" s="168">
        <f t="shared" si="90"/>
        <v>0.2623874869913545</v>
      </c>
      <c r="BE73" s="168">
        <f t="shared" si="90"/>
        <v>0.60108352413641675</v>
      </c>
      <c r="BF73" s="169">
        <f t="shared" si="90"/>
        <v>0.64548287461002984</v>
      </c>
      <c r="BG73" s="168">
        <f t="shared" si="90"/>
        <v>0.15312939812470283</v>
      </c>
      <c r="BH73" s="168">
        <f t="shared" si="90"/>
        <v>0.50042094666885784</v>
      </c>
      <c r="BI73" s="168">
        <f t="shared" si="90"/>
        <v>0.80478074837914071</v>
      </c>
      <c r="BJ73" s="169">
        <f t="shared" si="90"/>
        <v>0.59594677814513175</v>
      </c>
      <c r="BK73" s="168">
        <f t="shared" si="90"/>
        <v>3.1612773238599852</v>
      </c>
      <c r="BL73" s="168">
        <f t="shared" si="90"/>
        <v>2.9359062726151781</v>
      </c>
      <c r="BM73" s="168">
        <f t="shared" si="90"/>
        <v>1.4316970071254511</v>
      </c>
      <c r="BN73" s="169">
        <f t="shared" si="90"/>
        <v>0.85654962390553013</v>
      </c>
      <c r="BO73" s="168">
        <f t="shared" si="90"/>
        <v>0.74207831020773973</v>
      </c>
      <c r="BP73" s="168">
        <f t="shared" si="90"/>
        <v>0.87522541308379354</v>
      </c>
      <c r="BQ73" s="168">
        <f t="shared" si="90"/>
        <v>0.95657286770103811</v>
      </c>
      <c r="BR73" s="169">
        <f t="shared" si="90"/>
        <v>1.4636940778860863</v>
      </c>
      <c r="BS73" s="168">
        <f t="shared" si="90"/>
        <v>1.1385424480784834</v>
      </c>
      <c r="BT73" s="168">
        <f t="shared" si="90"/>
        <v>0.65612763026381504</v>
      </c>
      <c r="BU73" s="168">
        <f t="shared" si="90"/>
        <v>0.55303644609551195</v>
      </c>
      <c r="BV73" s="169">
        <f t="shared" si="90"/>
        <v>0.48717620991580102</v>
      </c>
      <c r="BW73" s="168">
        <f t="shared" si="90"/>
        <v>0.26102125948998722</v>
      </c>
      <c r="BX73" s="168">
        <f t="shared" si="90"/>
        <v>0.28076379859229506</v>
      </c>
      <c r="BY73" s="168">
        <f t="shared" si="90"/>
        <v>0.23092920978645037</v>
      </c>
      <c r="BZ73" s="169">
        <f t="shared" si="90"/>
        <v>0.17907974996522502</v>
      </c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  <c r="DG73" s="168"/>
      <c r="DH73" s="168"/>
      <c r="DI73" s="168"/>
      <c r="DJ73" s="168"/>
      <c r="DK73" s="168"/>
    </row>
    <row r="74" spans="1:115" x14ac:dyDescent="0.4">
      <c r="A74" s="65"/>
      <c r="B74" s="50" t="s">
        <v>89</v>
      </c>
      <c r="C74" s="168" t="str">
        <f t="shared" ref="C74:U74" si="91">IF(ISERROR(C45/B45-1)," ",(C45/B45-1))</f>
        <v xml:space="preserve"> </v>
      </c>
      <c r="D74" s="168">
        <f t="shared" si="91"/>
        <v>0.48142386382386038</v>
      </c>
      <c r="E74" s="168">
        <f t="shared" si="91"/>
        <v>0.22461369378705864</v>
      </c>
      <c r="F74" s="168">
        <f t="shared" si="91"/>
        <v>-0.50727662433543819</v>
      </c>
      <c r="G74" s="168">
        <f t="shared" si="91"/>
        <v>-0.95082870837716504</v>
      </c>
      <c r="H74" s="168">
        <f t="shared" si="91"/>
        <v>-2.5996066951170054</v>
      </c>
      <c r="I74" s="168">
        <f t="shared" si="91"/>
        <v>0.56278557906168958</v>
      </c>
      <c r="J74" s="168">
        <f t="shared" si="91"/>
        <v>0.90489396153612156</v>
      </c>
      <c r="K74" s="168">
        <f t="shared" si="91"/>
        <v>-50.302678250876589</v>
      </c>
      <c r="L74" s="168">
        <f t="shared" si="91"/>
        <v>1.2267169945295424</v>
      </c>
      <c r="M74" s="168">
        <f t="shared" si="91"/>
        <v>-0.24780700169347536</v>
      </c>
      <c r="N74" s="168">
        <f t="shared" si="91"/>
        <v>0.3539848820500906</v>
      </c>
      <c r="O74" s="168">
        <f t="shared" si="91"/>
        <v>0.14137049539070734</v>
      </c>
      <c r="P74" s="168">
        <f t="shared" si="91"/>
        <v>0.55631999072122018</v>
      </c>
      <c r="Q74" s="168">
        <f t="shared" si="91"/>
        <v>0.56413041978743661</v>
      </c>
      <c r="R74" s="168">
        <f t="shared" si="91"/>
        <v>1.6954906711377231</v>
      </c>
      <c r="S74" s="168">
        <f t="shared" si="91"/>
        <v>1.0247773836363665</v>
      </c>
      <c r="T74" s="168">
        <f t="shared" si="91"/>
        <v>0.65269836717376672</v>
      </c>
      <c r="U74" s="168">
        <f t="shared" si="91"/>
        <v>0.23464744289315065</v>
      </c>
      <c r="V74" s="8"/>
      <c r="W74" s="168"/>
      <c r="X74" s="168"/>
      <c r="Y74" s="168"/>
      <c r="Z74" s="169" t="str">
        <f>IF(ISERROR(Z45/#REF!-1)," ",(Z45/#REF!-1))</f>
        <v xml:space="preserve"> </v>
      </c>
      <c r="AA74" s="168">
        <f t="shared" ref="AA74:BZ74" si="92">IF(ISERROR(AA45/W45-1)," ",(AA45/W45-1))</f>
        <v>-3.7948070927175119</v>
      </c>
      <c r="AB74" s="168">
        <f t="shared" si="92"/>
        <v>-0.89186297565893669</v>
      </c>
      <c r="AC74" s="168">
        <f t="shared" si="92"/>
        <v>-0.61629156214146652</v>
      </c>
      <c r="AD74" s="169">
        <f t="shared" si="92"/>
        <v>-0.32699316817858415</v>
      </c>
      <c r="AE74" s="168">
        <f t="shared" si="92"/>
        <v>0.52091260382498605</v>
      </c>
      <c r="AF74" s="168">
        <f t="shared" si="92"/>
        <v>0.58270192757879324</v>
      </c>
      <c r="AG74" s="168">
        <f t="shared" si="92"/>
        <v>0.27645450342284894</v>
      </c>
      <c r="AH74" s="169">
        <f t="shared" si="92"/>
        <v>4.8539181627664574E-2</v>
      </c>
      <c r="AI74" s="168">
        <f t="shared" si="92"/>
        <v>-0.21274364576601501</v>
      </c>
      <c r="AJ74" s="168">
        <f t="shared" si="92"/>
        <v>-8.3787147554644932</v>
      </c>
      <c r="AK74" s="168">
        <f t="shared" si="92"/>
        <v>-82.198544209056621</v>
      </c>
      <c r="AL74" s="169">
        <f t="shared" si="92"/>
        <v>43.353458705842705</v>
      </c>
      <c r="AM74" s="168">
        <f t="shared" si="92"/>
        <v>-30.96191253230834</v>
      </c>
      <c r="AN74" s="168">
        <f t="shared" si="92"/>
        <v>29.015127065658014</v>
      </c>
      <c r="AO74" s="168">
        <f t="shared" si="92"/>
        <v>0.2750588152046276</v>
      </c>
      <c r="AP74" s="169">
        <f>IF(ISERROR(AP45/AL45-1)," ",(AP45/AL45-1))</f>
        <v>-0.10538072556854428</v>
      </c>
      <c r="AQ74" s="168">
        <f t="shared" si="92"/>
        <v>-0.34254661192748681</v>
      </c>
      <c r="AR74" s="168">
        <f t="shared" si="92"/>
        <v>-0.23721170719400109</v>
      </c>
      <c r="AS74" s="168">
        <f t="shared" si="92"/>
        <v>-0.1424007474238278</v>
      </c>
      <c r="AT74" s="169">
        <f t="shared" si="92"/>
        <v>-0.29491844564531422</v>
      </c>
      <c r="AU74" s="168">
        <f t="shared" si="92"/>
        <v>0.24185844890834685</v>
      </c>
      <c r="AV74" s="168">
        <f t="shared" si="92"/>
        <v>0.87079943235687352</v>
      </c>
      <c r="AW74" s="168">
        <f t="shared" si="92"/>
        <v>0.15319093539443052</v>
      </c>
      <c r="AX74" s="169">
        <f t="shared" si="92"/>
        <v>6.7499474643485824E-2</v>
      </c>
      <c r="AY74" s="168">
        <f t="shared" si="92"/>
        <v>-0.10932182388270995</v>
      </c>
      <c r="AZ74" s="168">
        <f t="shared" si="92"/>
        <v>-0.32345495383783607</v>
      </c>
      <c r="BA74" s="168">
        <f t="shared" si="92"/>
        <v>0.15780224760341954</v>
      </c>
      <c r="BB74" s="169">
        <f t="shared" si="92"/>
        <v>1.6169384281916503</v>
      </c>
      <c r="BC74" s="168">
        <f t="shared" si="92"/>
        <v>0.71047942663341312</v>
      </c>
      <c r="BD74" s="168">
        <f t="shared" si="92"/>
        <v>0.2623874869913545</v>
      </c>
      <c r="BE74" s="168">
        <f t="shared" si="92"/>
        <v>0.60108352413641675</v>
      </c>
      <c r="BF74" s="169">
        <f t="shared" si="92"/>
        <v>0.64548287461002984</v>
      </c>
      <c r="BG74" s="168">
        <f t="shared" si="92"/>
        <v>0.15312939812470283</v>
      </c>
      <c r="BH74" s="168">
        <f t="shared" si="92"/>
        <v>0.50042094666885784</v>
      </c>
      <c r="BI74" s="168">
        <f t="shared" si="92"/>
        <v>0.80478074837914071</v>
      </c>
      <c r="BJ74" s="169">
        <f t="shared" si="92"/>
        <v>0.59594677814513175</v>
      </c>
      <c r="BK74" s="168">
        <f t="shared" si="92"/>
        <v>3.1612773238599852</v>
      </c>
      <c r="BL74" s="168">
        <f t="shared" si="92"/>
        <v>2.9359062726151781</v>
      </c>
      <c r="BM74" s="168">
        <f t="shared" si="92"/>
        <v>1.4316970071254511</v>
      </c>
      <c r="BN74" s="169">
        <f t="shared" si="92"/>
        <v>0.85654962390553013</v>
      </c>
      <c r="BO74" s="168">
        <f t="shared" si="92"/>
        <v>0.74207831020773973</v>
      </c>
      <c r="BP74" s="168">
        <f t="shared" si="92"/>
        <v>0.87522541308379354</v>
      </c>
      <c r="BQ74" s="168">
        <f t="shared" si="92"/>
        <v>0.95657286770103811</v>
      </c>
      <c r="BR74" s="169">
        <f t="shared" si="92"/>
        <v>1.4636940778860863</v>
      </c>
      <c r="BS74" s="168">
        <f t="shared" si="92"/>
        <v>1.1385424480784834</v>
      </c>
      <c r="BT74" s="168">
        <f t="shared" si="92"/>
        <v>0.65612763026381504</v>
      </c>
      <c r="BU74" s="168">
        <f t="shared" si="92"/>
        <v>0.55303644609551195</v>
      </c>
      <c r="BV74" s="169">
        <f t="shared" si="92"/>
        <v>0.48717620991580102</v>
      </c>
      <c r="BW74" s="168">
        <f t="shared" si="92"/>
        <v>0.26102125948998722</v>
      </c>
      <c r="BX74" s="168">
        <f t="shared" si="92"/>
        <v>0.28076379859229506</v>
      </c>
      <c r="BY74" s="168">
        <f t="shared" si="92"/>
        <v>0.23092920978645037</v>
      </c>
      <c r="BZ74" s="169">
        <f t="shared" si="92"/>
        <v>0.17907974996522502</v>
      </c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  <c r="DG74" s="168"/>
      <c r="DH74" s="168"/>
      <c r="DI74" s="168"/>
      <c r="DJ74" s="168"/>
      <c r="DK74" s="168"/>
    </row>
    <row r="75" spans="1:115" x14ac:dyDescent="0.4">
      <c r="A75" s="65"/>
      <c r="B75" s="50" t="s">
        <v>109</v>
      </c>
      <c r="C75" s="168"/>
      <c r="D75" s="168">
        <f>D50/C50-1</f>
        <v>0.28985507246376829</v>
      </c>
      <c r="E75" s="168">
        <f t="shared" ref="E75:U75" si="93">E50/D50-1</f>
        <v>0.14606741573033699</v>
      </c>
      <c r="F75" s="168">
        <f t="shared" si="93"/>
        <v>-0.5490196078431373</v>
      </c>
      <c r="G75" s="168">
        <f t="shared" si="93"/>
        <v>-0.73913043478260865</v>
      </c>
      <c r="H75" s="168">
        <f t="shared" si="93"/>
        <v>-0.74750000000000005</v>
      </c>
      <c r="I75" s="168">
        <f t="shared" si="93"/>
        <v>-0.15181518151815154</v>
      </c>
      <c r="J75" s="168">
        <f t="shared" si="93"/>
        <v>0.809338521400778</v>
      </c>
      <c r="K75" s="168">
        <f t="shared" si="93"/>
        <v>6.5462365591397846</v>
      </c>
      <c r="L75" s="168">
        <f t="shared" si="93"/>
        <v>2.7409518381305222</v>
      </c>
      <c r="M75" s="168">
        <f t="shared" si="93"/>
        <v>-0.39041669840786175</v>
      </c>
      <c r="N75" s="168">
        <f t="shared" si="93"/>
        <v>0.51649587603099234</v>
      </c>
      <c r="O75" s="168">
        <f t="shared" si="93"/>
        <v>-2.6370004120313206E-2</v>
      </c>
      <c r="P75" s="168">
        <f t="shared" si="93"/>
        <v>0.29420228523063896</v>
      </c>
      <c r="Q75" s="168">
        <f t="shared" si="93"/>
        <v>0.4080082306018924</v>
      </c>
      <c r="R75" s="168">
        <f t="shared" si="93"/>
        <v>1.1413893179911945</v>
      </c>
      <c r="S75" s="168">
        <f t="shared" si="93"/>
        <v>0.91407844709222741</v>
      </c>
      <c r="T75" s="168">
        <f t="shared" si="93"/>
        <v>0.67078033257397984</v>
      </c>
      <c r="U75" s="168">
        <f t="shared" si="93"/>
        <v>0.2394808470286458</v>
      </c>
      <c r="V75" s="8"/>
      <c r="W75" s="168"/>
      <c r="X75" s="168"/>
      <c r="Y75" s="168"/>
      <c r="Z75" s="169"/>
      <c r="AA75" s="168"/>
      <c r="AB75" s="168"/>
      <c r="AC75" s="168"/>
      <c r="AD75" s="169"/>
      <c r="AE75" s="168"/>
      <c r="AF75" s="168"/>
      <c r="AG75" s="168"/>
      <c r="AH75" s="169"/>
      <c r="AI75" s="168"/>
      <c r="AJ75" s="168"/>
      <c r="AK75" s="168">
        <f t="shared" ref="AK75:BZ75" si="94">AK50/AG50-1</f>
        <v>-48.81481481481481</v>
      </c>
      <c r="AL75" s="169">
        <f t="shared" si="94"/>
        <v>1.7216117216117217</v>
      </c>
      <c r="AM75" s="168">
        <f>AM50/AI50-1</f>
        <v>-16.35960591133005</v>
      </c>
      <c r="AN75" s="168">
        <f>AN50/AJ50-1</f>
        <v>8.2222222222222232</v>
      </c>
      <c r="AO75" s="168">
        <f>AO50/AK50-1</f>
        <v>0.34043377226955873</v>
      </c>
      <c r="AP75" s="169">
        <f>AP50/AL50-1</f>
        <v>3.0094212651413184</v>
      </c>
      <c r="AQ75" s="168">
        <f t="shared" si="94"/>
        <v>-0.2944194996792816</v>
      </c>
      <c r="AR75" s="168">
        <f t="shared" si="94"/>
        <v>-0.57691230036424768</v>
      </c>
      <c r="AS75" s="168">
        <f t="shared" si="94"/>
        <v>-0.39034960993932399</v>
      </c>
      <c r="AT75" s="169">
        <f t="shared" si="94"/>
        <v>-0.26753944276602881</v>
      </c>
      <c r="AU75" s="168">
        <f t="shared" si="94"/>
        <v>-2.0454545454545503E-2</v>
      </c>
      <c r="AV75" s="168">
        <f t="shared" si="94"/>
        <v>0.96357615894039728</v>
      </c>
      <c r="AW75" s="168">
        <f t="shared" si="94"/>
        <v>0.5597156398104266</v>
      </c>
      <c r="AX75" s="169">
        <f t="shared" si="94"/>
        <v>0.70669110907424382</v>
      </c>
      <c r="AY75" s="168">
        <f t="shared" si="94"/>
        <v>-0.13410672853828309</v>
      </c>
      <c r="AZ75" s="168">
        <f t="shared" si="94"/>
        <v>-1.7200674536256289E-2</v>
      </c>
      <c r="BA75" s="168">
        <f t="shared" si="94"/>
        <v>-6.563354603464E-2</v>
      </c>
      <c r="BB75" s="169">
        <f t="shared" si="94"/>
        <v>6.3372717508055842E-2</v>
      </c>
      <c r="BC75" s="168">
        <f t="shared" si="94"/>
        <v>0.45712754555198276</v>
      </c>
      <c r="BD75" s="168">
        <f t="shared" si="94"/>
        <v>0.18016472203157163</v>
      </c>
      <c r="BE75" s="168">
        <f t="shared" si="94"/>
        <v>0.46178861788617898</v>
      </c>
      <c r="BF75" s="169">
        <f t="shared" si="94"/>
        <v>0.17121212121212115</v>
      </c>
      <c r="BG75" s="168">
        <f t="shared" si="94"/>
        <v>0.14748069143067322</v>
      </c>
      <c r="BH75" s="168">
        <f t="shared" si="94"/>
        <v>0.31782494911311421</v>
      </c>
      <c r="BI75" s="168">
        <f t="shared" si="94"/>
        <v>0.35016961685275105</v>
      </c>
      <c r="BJ75" s="169">
        <f t="shared" si="94"/>
        <v>0.68366568054774013</v>
      </c>
      <c r="BK75" s="168">
        <f t="shared" si="94"/>
        <v>1.8781375169363126</v>
      </c>
      <c r="BL75" s="168">
        <f t="shared" si="94"/>
        <v>1.6552275802208092</v>
      </c>
      <c r="BM75" s="168">
        <f t="shared" si="94"/>
        <v>1.049032322379015</v>
      </c>
      <c r="BN75" s="169">
        <f t="shared" si="94"/>
        <v>0.62058816338787892</v>
      </c>
      <c r="BO75" s="168">
        <f t="shared" si="94"/>
        <v>0.57221045045467633</v>
      </c>
      <c r="BP75" s="168">
        <f t="shared" si="94"/>
        <v>0.78796335220277336</v>
      </c>
      <c r="BQ75" s="168">
        <f t="shared" si="94"/>
        <v>1.0304463670592914</v>
      </c>
      <c r="BR75" s="169">
        <f t="shared" si="94"/>
        <v>1.1622351472067263</v>
      </c>
      <c r="BS75" s="168">
        <f t="shared" si="94"/>
        <v>1.2131194277594766</v>
      </c>
      <c r="BT75" s="168">
        <f t="shared" si="94"/>
        <v>0.63951292533582027</v>
      </c>
      <c r="BU75" s="168">
        <f t="shared" si="94"/>
        <v>0.57909376293301107</v>
      </c>
      <c r="BV75" s="169">
        <f t="shared" si="94"/>
        <v>0.50014765462562694</v>
      </c>
      <c r="BW75" s="168">
        <f t="shared" si="94"/>
        <v>0.26358725977789699</v>
      </c>
      <c r="BX75" s="168">
        <f t="shared" si="94"/>
        <v>0.28319400891879765</v>
      </c>
      <c r="BY75" s="168">
        <f t="shared" si="94"/>
        <v>0.23584530237696066</v>
      </c>
      <c r="BZ75" s="169">
        <f t="shared" si="94"/>
        <v>0.18709814369169986</v>
      </c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  <c r="DG75" s="168"/>
      <c r="DH75" s="168"/>
      <c r="DI75" s="168"/>
      <c r="DJ75" s="168"/>
      <c r="DK75" s="168"/>
    </row>
    <row r="76" spans="1:115" x14ac:dyDescent="0.4">
      <c r="A76" s="69"/>
      <c r="B76" s="167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34"/>
      <c r="W76" s="50"/>
      <c r="X76" s="50"/>
      <c r="Y76" s="50"/>
      <c r="Z76" s="51"/>
      <c r="AA76" s="50"/>
      <c r="AB76" s="50"/>
      <c r="AC76" s="50"/>
      <c r="AD76" s="51"/>
      <c r="AE76" s="50"/>
      <c r="AF76" s="50"/>
      <c r="AG76" s="50"/>
      <c r="AH76" s="51"/>
      <c r="AI76" s="50"/>
      <c r="AJ76" s="50"/>
      <c r="AK76" s="50"/>
      <c r="AL76" s="51"/>
      <c r="AM76" s="50"/>
      <c r="AN76" s="50"/>
      <c r="AO76" s="50"/>
      <c r="AP76" s="51"/>
      <c r="AQ76" s="50"/>
      <c r="AR76" s="50"/>
      <c r="AS76" s="50"/>
      <c r="AT76" s="51"/>
      <c r="AU76" s="50"/>
      <c r="AV76" s="50"/>
      <c r="AW76" s="50"/>
      <c r="AX76" s="51"/>
      <c r="AY76" s="50"/>
      <c r="AZ76" s="50"/>
      <c r="BA76" s="50"/>
      <c r="BB76" s="51"/>
      <c r="BC76" s="50"/>
      <c r="BD76" s="50"/>
      <c r="BE76" s="50"/>
      <c r="BF76" s="51"/>
      <c r="BG76" s="50"/>
      <c r="BH76" s="50"/>
      <c r="BI76" s="50"/>
      <c r="BJ76" s="51"/>
      <c r="BK76" s="50"/>
      <c r="BL76" s="50"/>
      <c r="BM76" s="50"/>
      <c r="BN76" s="51"/>
      <c r="BO76" s="50"/>
      <c r="BP76" s="50"/>
      <c r="BQ76" s="50"/>
      <c r="BR76" s="51"/>
      <c r="BS76" s="50"/>
      <c r="BT76" s="50"/>
      <c r="BU76" s="50"/>
      <c r="BV76" s="51"/>
      <c r="BW76" s="50"/>
      <c r="BX76" s="50"/>
      <c r="BY76" s="50"/>
      <c r="BZ76" s="51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</row>
    <row r="77" spans="1:115" x14ac:dyDescent="0.4">
      <c r="A77" s="29"/>
      <c r="B77" s="15" t="s">
        <v>110</v>
      </c>
      <c r="C77" s="23">
        <f t="shared" ref="C77:U77" si="95">C4</f>
        <v>2009</v>
      </c>
      <c r="D77" s="23">
        <f t="shared" si="95"/>
        <v>2010</v>
      </c>
      <c r="E77" s="23">
        <f t="shared" si="95"/>
        <v>2011</v>
      </c>
      <c r="F77" s="23">
        <f t="shared" si="95"/>
        <v>2012</v>
      </c>
      <c r="G77" s="23">
        <f t="shared" si="95"/>
        <v>2013</v>
      </c>
      <c r="H77" s="23">
        <f t="shared" si="95"/>
        <v>2014</v>
      </c>
      <c r="I77" s="23">
        <f t="shared" si="95"/>
        <v>2015</v>
      </c>
      <c r="J77" s="23">
        <f t="shared" si="95"/>
        <v>2016</v>
      </c>
      <c r="K77" s="23">
        <f t="shared" si="95"/>
        <v>2017</v>
      </c>
      <c r="L77" s="23">
        <f t="shared" si="95"/>
        <v>2018</v>
      </c>
      <c r="M77" s="23">
        <f t="shared" si="95"/>
        <v>2019</v>
      </c>
      <c r="N77" s="23">
        <f t="shared" si="95"/>
        <v>2020</v>
      </c>
      <c r="O77" s="23">
        <f t="shared" si="95"/>
        <v>2021</v>
      </c>
      <c r="P77" s="23">
        <f t="shared" si="95"/>
        <v>2022</v>
      </c>
      <c r="Q77" s="23">
        <f t="shared" si="95"/>
        <v>2023</v>
      </c>
      <c r="R77" s="23">
        <f t="shared" si="95"/>
        <v>2024</v>
      </c>
      <c r="S77" s="20">
        <f t="shared" si="95"/>
        <v>2025</v>
      </c>
      <c r="T77" s="20">
        <f t="shared" si="95"/>
        <v>2026</v>
      </c>
      <c r="U77" s="20">
        <f t="shared" si="95"/>
        <v>2027</v>
      </c>
      <c r="V77" s="11"/>
      <c r="W77" s="23" t="str">
        <f t="shared" ref="W77:BB77" si="96">W4</f>
        <v>1Q14</v>
      </c>
      <c r="X77" s="23" t="str">
        <f t="shared" si="96"/>
        <v>2Q14</v>
      </c>
      <c r="Y77" s="23" t="str">
        <f t="shared" si="96"/>
        <v>3Q14</v>
      </c>
      <c r="Z77" s="24" t="str">
        <f t="shared" si="96"/>
        <v>4Q14</v>
      </c>
      <c r="AA77" s="23" t="str">
        <f t="shared" si="96"/>
        <v>1Q15</v>
      </c>
      <c r="AB77" s="23" t="str">
        <f t="shared" si="96"/>
        <v>2Q15</v>
      </c>
      <c r="AC77" s="23" t="str">
        <f t="shared" si="96"/>
        <v>3Q15</v>
      </c>
      <c r="AD77" s="24" t="str">
        <f t="shared" si="96"/>
        <v>4Q15</v>
      </c>
      <c r="AE77" s="23" t="str">
        <f t="shared" si="96"/>
        <v>1Q16</v>
      </c>
      <c r="AF77" s="23" t="str">
        <f t="shared" si="96"/>
        <v>2Q16</v>
      </c>
      <c r="AG77" s="23" t="str">
        <f t="shared" si="96"/>
        <v>3Q16</v>
      </c>
      <c r="AH77" s="24" t="str">
        <f t="shared" si="96"/>
        <v>4Q16</v>
      </c>
      <c r="AI77" s="23" t="str">
        <f t="shared" si="96"/>
        <v>1Q17</v>
      </c>
      <c r="AJ77" s="23" t="str">
        <f t="shared" si="96"/>
        <v>2Q17</v>
      </c>
      <c r="AK77" s="23" t="str">
        <f t="shared" si="96"/>
        <v>3Q17</v>
      </c>
      <c r="AL77" s="24" t="str">
        <f t="shared" si="96"/>
        <v>4Q17</v>
      </c>
      <c r="AM77" s="23" t="str">
        <f t="shared" si="96"/>
        <v>1Q18</v>
      </c>
      <c r="AN77" s="23" t="str">
        <f t="shared" si="96"/>
        <v>2Q18</v>
      </c>
      <c r="AO77" s="23" t="str">
        <f t="shared" si="96"/>
        <v>3Q18</v>
      </c>
      <c r="AP77" s="24" t="str">
        <f t="shared" si="96"/>
        <v>4Q18</v>
      </c>
      <c r="AQ77" s="23" t="str">
        <f t="shared" si="96"/>
        <v>1Q19</v>
      </c>
      <c r="AR77" s="23" t="str">
        <f t="shared" si="96"/>
        <v>2Q19</v>
      </c>
      <c r="AS77" s="23" t="str">
        <f t="shared" si="96"/>
        <v>3Q19</v>
      </c>
      <c r="AT77" s="24" t="str">
        <f t="shared" si="96"/>
        <v>4Q19</v>
      </c>
      <c r="AU77" s="23" t="str">
        <f t="shared" si="96"/>
        <v>1Q20</v>
      </c>
      <c r="AV77" s="23" t="str">
        <f t="shared" si="96"/>
        <v>2Q20</v>
      </c>
      <c r="AW77" s="23" t="str">
        <f t="shared" si="96"/>
        <v>3Q20</v>
      </c>
      <c r="AX77" s="24" t="str">
        <f t="shared" si="96"/>
        <v>4Q20</v>
      </c>
      <c r="AY77" s="23" t="str">
        <f t="shared" si="96"/>
        <v>1Q21</v>
      </c>
      <c r="AZ77" s="23" t="str">
        <f t="shared" si="96"/>
        <v>2Q21</v>
      </c>
      <c r="BA77" s="23" t="str">
        <f t="shared" si="96"/>
        <v>3Q21</v>
      </c>
      <c r="BB77" s="22" t="str">
        <f t="shared" si="96"/>
        <v>4Q21</v>
      </c>
      <c r="BC77" s="23" t="str">
        <f>BC4</f>
        <v>1Q22</v>
      </c>
      <c r="BD77" s="23" t="str">
        <f>BD4</f>
        <v>2Q22</v>
      </c>
      <c r="BE77" s="23" t="str">
        <f>BE4</f>
        <v>3Q22</v>
      </c>
      <c r="BF77" s="22" t="str">
        <f>BF4</f>
        <v>4Q22</v>
      </c>
      <c r="BG77" s="23" t="str">
        <f t="shared" ref="BG77:BZ77" si="97">BG4</f>
        <v>1Q23</v>
      </c>
      <c r="BH77" s="23" t="str">
        <f t="shared" si="97"/>
        <v>2Q23</v>
      </c>
      <c r="BI77" s="23" t="str">
        <f t="shared" si="97"/>
        <v>3Q23</v>
      </c>
      <c r="BJ77" s="22" t="str">
        <f t="shared" si="97"/>
        <v>4Q23</v>
      </c>
      <c r="BK77" s="19" t="str">
        <f t="shared" si="97"/>
        <v>1Q24</v>
      </c>
      <c r="BL77" s="19" t="str">
        <f t="shared" si="97"/>
        <v>2Q24</v>
      </c>
      <c r="BM77" s="19" t="str">
        <f t="shared" si="97"/>
        <v>3Q24</v>
      </c>
      <c r="BN77" s="22" t="str">
        <f t="shared" si="97"/>
        <v>4Q24</v>
      </c>
      <c r="BO77" s="19" t="str">
        <f t="shared" si="97"/>
        <v>1Q25</v>
      </c>
      <c r="BP77" s="25" t="str">
        <f t="shared" si="97"/>
        <v>2Q25</v>
      </c>
      <c r="BQ77" s="25" t="str">
        <f t="shared" si="97"/>
        <v>3Q25</v>
      </c>
      <c r="BR77" s="26" t="str">
        <f t="shared" si="97"/>
        <v>4Q25</v>
      </c>
      <c r="BS77" s="25" t="str">
        <f t="shared" si="97"/>
        <v>1Q26</v>
      </c>
      <c r="BT77" s="25" t="str">
        <f t="shared" si="97"/>
        <v>2Q26</v>
      </c>
      <c r="BU77" s="25" t="str">
        <f t="shared" si="97"/>
        <v>3Q26</v>
      </c>
      <c r="BV77" s="26" t="str">
        <f t="shared" si="97"/>
        <v>4Q26</v>
      </c>
      <c r="BW77" s="25" t="str">
        <f t="shared" si="97"/>
        <v>1Q27</v>
      </c>
      <c r="BX77" s="25" t="str">
        <f t="shared" si="97"/>
        <v>2Q27</v>
      </c>
      <c r="BY77" s="25" t="str">
        <f t="shared" si="97"/>
        <v>3Q27</v>
      </c>
      <c r="BZ77" s="26" t="str">
        <f t="shared" si="97"/>
        <v>4Q27</v>
      </c>
      <c r="CA77" s="27"/>
      <c r="CB77" s="27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</row>
    <row r="78" spans="1:115" x14ac:dyDescent="0.4">
      <c r="A78" s="69"/>
      <c r="B78" s="30" t="s">
        <v>111</v>
      </c>
      <c r="C78" s="174"/>
      <c r="D78" s="174"/>
      <c r="E78" s="174"/>
      <c r="F78" s="174"/>
      <c r="G78" s="174"/>
      <c r="H78" s="174"/>
      <c r="I78" s="175"/>
      <c r="J78" s="175"/>
      <c r="K78" s="175"/>
      <c r="L78" s="175"/>
      <c r="M78" s="175"/>
      <c r="N78" s="174"/>
      <c r="O78" s="174"/>
      <c r="P78" s="174"/>
      <c r="Q78" s="174"/>
      <c r="R78" s="174"/>
      <c r="S78" s="174"/>
      <c r="T78" s="174"/>
      <c r="U78" s="174"/>
      <c r="V78" s="8"/>
      <c r="W78" s="174"/>
      <c r="X78" s="174"/>
      <c r="Y78" s="174"/>
      <c r="Z78" s="176"/>
      <c r="AA78" s="174"/>
      <c r="AB78" s="174"/>
      <c r="AC78" s="174"/>
      <c r="AD78" s="176"/>
      <c r="AE78" s="174"/>
      <c r="AF78" s="174"/>
      <c r="AG78" s="174"/>
      <c r="AH78" s="176"/>
      <c r="AI78" s="174"/>
      <c r="AJ78" s="174"/>
      <c r="AK78" s="174"/>
      <c r="AL78" s="176"/>
      <c r="AM78" s="174"/>
      <c r="AN78" s="174"/>
      <c r="AO78" s="174"/>
      <c r="AP78" s="176"/>
      <c r="AQ78" s="174"/>
      <c r="AR78" s="174"/>
      <c r="AS78" s="174"/>
      <c r="AT78" s="176"/>
      <c r="AU78" s="174"/>
      <c r="AV78" s="174"/>
      <c r="AW78" s="174"/>
      <c r="AX78" s="177"/>
      <c r="AY78" s="178"/>
      <c r="AZ78" s="174"/>
      <c r="BA78" s="174"/>
      <c r="BB78" s="176"/>
      <c r="BC78" s="178"/>
      <c r="BD78" s="174"/>
      <c r="BE78" s="174"/>
      <c r="BF78" s="176"/>
      <c r="BG78" s="174"/>
      <c r="BH78" s="174"/>
      <c r="BI78" s="174"/>
      <c r="BJ78" s="176"/>
      <c r="BK78" s="174"/>
      <c r="BL78" s="174"/>
      <c r="BM78" s="174"/>
      <c r="BN78" s="176"/>
      <c r="BO78" s="174"/>
      <c r="BP78" s="174"/>
      <c r="BQ78" s="174"/>
      <c r="BR78" s="176"/>
      <c r="BS78" s="174"/>
      <c r="BT78" s="174"/>
      <c r="BU78" s="174"/>
      <c r="BV78" s="176"/>
      <c r="BW78" s="174"/>
      <c r="BX78" s="174"/>
      <c r="BY78" s="174"/>
      <c r="BZ78" s="176"/>
      <c r="CA78" s="174"/>
      <c r="CB78" s="174"/>
      <c r="CC78" s="174"/>
      <c r="CD78" s="174"/>
      <c r="CE78" s="174"/>
      <c r="CF78" s="174"/>
      <c r="CG78" s="174"/>
      <c r="CH78" s="174"/>
      <c r="CI78" s="174"/>
      <c r="CJ78" s="174"/>
      <c r="CK78" s="174"/>
      <c r="CL78" s="174"/>
      <c r="CM78" s="174"/>
      <c r="CN78" s="174"/>
      <c r="CO78" s="174"/>
      <c r="CP78" s="174"/>
      <c r="CQ78" s="174"/>
      <c r="CR78" s="174"/>
      <c r="CS78" s="174"/>
      <c r="CT78" s="174"/>
      <c r="CU78" s="174"/>
      <c r="CV78" s="174"/>
      <c r="CW78" s="174"/>
      <c r="CX78" s="174"/>
      <c r="CY78" s="174"/>
      <c r="CZ78" s="174"/>
      <c r="DA78" s="174"/>
      <c r="DB78" s="174"/>
      <c r="DC78" s="174"/>
      <c r="DD78" s="174"/>
      <c r="DE78" s="174"/>
      <c r="DF78" s="174"/>
      <c r="DG78" s="174"/>
      <c r="DH78" s="174"/>
      <c r="DI78" s="174"/>
      <c r="DJ78" s="174"/>
      <c r="DK78" s="174"/>
    </row>
    <row r="79" spans="1:115" x14ac:dyDescent="0.4">
      <c r="A79" s="179"/>
      <c r="B79" s="180" t="s">
        <v>65</v>
      </c>
      <c r="C79" s="175">
        <f t="shared" ref="C79:S79" si="98">C15/C7</f>
        <v>0.12539948533470782</v>
      </c>
      <c r="D79" s="175">
        <f t="shared" si="98"/>
        <v>0.10452554745889135</v>
      </c>
      <c r="E79" s="175">
        <f t="shared" si="98"/>
        <v>0.12524431099148306</v>
      </c>
      <c r="F79" s="175">
        <f t="shared" si="98"/>
        <v>0.22906159647928279</v>
      </c>
      <c r="G79" s="175">
        <f t="shared" si="98"/>
        <v>0.38877360701289682</v>
      </c>
      <c r="H79" s="175">
        <f t="shared" si="98"/>
        <v>0.344531388814105</v>
      </c>
      <c r="I79" s="175">
        <f t="shared" si="98"/>
        <v>0.30192658010546014</v>
      </c>
      <c r="J79" s="175">
        <f t="shared" si="98"/>
        <v>0.35909564329506111</v>
      </c>
      <c r="K79" s="175">
        <f t="shared" si="98"/>
        <v>0.12064812973663232</v>
      </c>
      <c r="L79" s="175">
        <f t="shared" si="98"/>
        <v>0.12280783768761944</v>
      </c>
      <c r="M79" s="175">
        <f>M15/M7</f>
        <v>0.14889083501536546</v>
      </c>
      <c r="N79" s="175">
        <f t="shared" si="98"/>
        <v>0.14259731334199477</v>
      </c>
      <c r="O79" s="175">
        <f t="shared" si="98"/>
        <v>0.13895480092084919</v>
      </c>
      <c r="P79" s="175">
        <f t="shared" si="98"/>
        <v>0.14805869443333838</v>
      </c>
      <c r="Q79" s="175">
        <f t="shared" si="98"/>
        <v>0.12581037879973858</v>
      </c>
      <c r="R79" s="175">
        <f t="shared" si="98"/>
        <v>9.0928056926929832E-2</v>
      </c>
      <c r="S79" s="175">
        <f t="shared" si="98"/>
        <v>7.5345388460936538E-2</v>
      </c>
      <c r="T79" s="175">
        <f>T15/T7</f>
        <v>6.1539612346966518E-2</v>
      </c>
      <c r="U79" s="175">
        <f>U15/U7</f>
        <v>5.8717762662323814E-2</v>
      </c>
      <c r="V79" s="8"/>
      <c r="W79" s="175">
        <f t="shared" ref="W79:BC79" si="99">W15/W7</f>
        <v>0.2934838970080883</v>
      </c>
      <c r="X79" s="175">
        <f t="shared" si="99"/>
        <v>0.5795678454157952</v>
      </c>
      <c r="Y79" s="175">
        <f t="shared" si="99"/>
        <v>0.47779343036245908</v>
      </c>
      <c r="Z79" s="181">
        <f t="shared" si="99"/>
        <v>0.1992685343499602</v>
      </c>
      <c r="AA79" s="175">
        <f t="shared" si="99"/>
        <v>0.43095537135614781</v>
      </c>
      <c r="AB79" s="175">
        <f t="shared" si="99"/>
        <v>0.40599304833208844</v>
      </c>
      <c r="AC79" s="175">
        <f t="shared" si="99"/>
        <v>0.31745695222382375</v>
      </c>
      <c r="AD79" s="181">
        <f t="shared" si="99"/>
        <v>0.19892413683201915</v>
      </c>
      <c r="AE79" s="175">
        <f t="shared" si="99"/>
        <v>1.0988158452775112</v>
      </c>
      <c r="AF79" s="175">
        <f t="shared" si="99"/>
        <v>0.28860659019842694</v>
      </c>
      <c r="AG79" s="175">
        <f t="shared" si="99"/>
        <v>0.36307636356913092</v>
      </c>
      <c r="AH79" s="181">
        <f t="shared" si="99"/>
        <v>0.26777327628468806</v>
      </c>
      <c r="AI79" s="175">
        <f t="shared" si="99"/>
        <v>0.74579140858649318</v>
      </c>
      <c r="AJ79" s="175">
        <f t="shared" si="99"/>
        <v>0.22030686191765367</v>
      </c>
      <c r="AK79" s="175">
        <f t="shared" si="99"/>
        <v>0.10915419876803682</v>
      </c>
      <c r="AL79" s="181">
        <f t="shared" si="99"/>
        <v>0.11867505014334621</v>
      </c>
      <c r="AM79" s="175">
        <f t="shared" si="99"/>
        <v>0.1087795771295208</v>
      </c>
      <c r="AN79" s="175">
        <f t="shared" si="99"/>
        <v>0.11167531926259068</v>
      </c>
      <c r="AO79" s="175">
        <f t="shared" si="99"/>
        <v>0.12097658890536657</v>
      </c>
      <c r="AP79" s="181">
        <f t="shared" si="99"/>
        <v>0.16269033744378769</v>
      </c>
      <c r="AQ79" s="175">
        <f t="shared" si="99"/>
        <v>0.14024978118094597</v>
      </c>
      <c r="AR79" s="175">
        <f t="shared" si="99"/>
        <v>0.14843529390523441</v>
      </c>
      <c r="AS79" s="175">
        <f t="shared" si="99"/>
        <v>0.13113365744792707</v>
      </c>
      <c r="AT79" s="181">
        <f t="shared" si="99"/>
        <v>0.16942895202786148</v>
      </c>
      <c r="AU79" s="175">
        <f t="shared" si="99"/>
        <v>0.1339725725788698</v>
      </c>
      <c r="AV79" s="175">
        <f>AV15/AV7</f>
        <v>9.8696944457511815E-2</v>
      </c>
      <c r="AW79" s="175">
        <f t="shared" si="99"/>
        <v>0.13376971188192907</v>
      </c>
      <c r="AX79" s="181">
        <f>AX15/AX7</f>
        <v>0.20383245507372405</v>
      </c>
      <c r="AY79" s="175">
        <f t="shared" si="99"/>
        <v>0.15842658890414343</v>
      </c>
      <c r="AZ79" s="175">
        <f t="shared" si="99"/>
        <v>0.12690862863985597</v>
      </c>
      <c r="BA79" s="175">
        <f t="shared" si="99"/>
        <v>0.12204351306362851</v>
      </c>
      <c r="BB79" s="181">
        <f t="shared" si="99"/>
        <v>0.15057232795081987</v>
      </c>
      <c r="BC79" s="175">
        <f t="shared" si="99"/>
        <v>0.15112200180894872</v>
      </c>
      <c r="BD79" s="175">
        <f>BD15/BD7</f>
        <v>0.15290184022640221</v>
      </c>
      <c r="BE79" s="175">
        <f>BE15/BE7</f>
        <v>0.14584822455163188</v>
      </c>
      <c r="BF79" s="181">
        <f>BF15/BF7</f>
        <v>0.14411463264401289</v>
      </c>
      <c r="BG79" s="175">
        <f t="shared" ref="BG79:BZ79" si="100">BG15/BG7</f>
        <v>0.14907414229195395</v>
      </c>
      <c r="BH79" s="175">
        <f t="shared" si="100"/>
        <v>0.13316684671903295</v>
      </c>
      <c r="BI79" s="175">
        <f t="shared" si="100"/>
        <v>9.7481682485680288E-2</v>
      </c>
      <c r="BJ79" s="181">
        <f t="shared" si="100"/>
        <v>0.1331461104585365</v>
      </c>
      <c r="BK79" s="175">
        <f t="shared" si="100"/>
        <v>9.6437277041823755E-2</v>
      </c>
      <c r="BL79" s="175">
        <f t="shared" si="100"/>
        <v>7.9741625036869296E-2</v>
      </c>
      <c r="BM79" s="175">
        <f t="shared" si="100"/>
        <v>6.7518406840263251E-2</v>
      </c>
      <c r="BN79" s="181">
        <f t="shared" si="100"/>
        <v>0.12031002467020732</v>
      </c>
      <c r="BO79" s="175">
        <f t="shared" si="100"/>
        <v>7.4834059706936282E-2</v>
      </c>
      <c r="BP79" s="175">
        <f t="shared" si="100"/>
        <v>6.4429233227952312E-2</v>
      </c>
      <c r="BQ79" s="175">
        <f t="shared" si="100"/>
        <v>6.9641888441026562E-2</v>
      </c>
      <c r="BR79" s="181">
        <f t="shared" si="100"/>
        <v>8.9020809597550932E-2</v>
      </c>
      <c r="BS79" s="175">
        <f t="shared" si="100"/>
        <v>5.7898140973831363E-2</v>
      </c>
      <c r="BT79" s="175">
        <f t="shared" si="100"/>
        <v>5.4645195954484783E-2</v>
      </c>
      <c r="BU79" s="175">
        <f t="shared" si="100"/>
        <v>5.4343465791731306E-2</v>
      </c>
      <c r="BV79" s="181">
        <f t="shared" si="100"/>
        <v>7.6655838025386613E-2</v>
      </c>
      <c r="BW79" s="175">
        <f t="shared" si="100"/>
        <v>5.4127893289278313E-2</v>
      </c>
      <c r="BX79" s="175">
        <f t="shared" si="100"/>
        <v>5.0418570533827547E-2</v>
      </c>
      <c r="BY79" s="175">
        <f t="shared" si="100"/>
        <v>5.1659863254478265E-2</v>
      </c>
      <c r="BZ79" s="181">
        <f t="shared" si="100"/>
        <v>7.6681512255992276E-2</v>
      </c>
      <c r="CA79" s="175"/>
      <c r="CB79" s="175"/>
      <c r="CC79" s="174"/>
      <c r="CD79" s="174"/>
      <c r="CE79" s="174"/>
      <c r="CF79" s="174"/>
      <c r="CG79" s="174"/>
      <c r="CH79" s="174"/>
      <c r="CI79" s="174"/>
      <c r="CJ79" s="174"/>
      <c r="CK79" s="174"/>
      <c r="CL79" s="174"/>
      <c r="CM79" s="174"/>
      <c r="CN79" s="174"/>
      <c r="CO79" s="174"/>
      <c r="CP79" s="174"/>
      <c r="CQ79" s="174"/>
      <c r="CR79" s="174"/>
      <c r="CS79" s="174"/>
      <c r="CT79" s="174"/>
      <c r="CU79" s="174"/>
      <c r="CV79" s="174"/>
      <c r="CW79" s="174"/>
      <c r="CX79" s="174"/>
      <c r="CY79" s="174"/>
      <c r="CZ79" s="174"/>
      <c r="DA79" s="174"/>
      <c r="DB79" s="174"/>
      <c r="DC79" s="174"/>
      <c r="DD79" s="174"/>
      <c r="DE79" s="174"/>
      <c r="DF79" s="174"/>
      <c r="DG79" s="175"/>
      <c r="DH79" s="175"/>
      <c r="DI79" s="175"/>
      <c r="DJ79" s="175"/>
      <c r="DK79" s="175"/>
    </row>
    <row r="80" spans="1:115" x14ac:dyDescent="0.4">
      <c r="A80" s="179"/>
      <c r="B80" s="83" t="s">
        <v>66</v>
      </c>
      <c r="C80" s="175">
        <f t="shared" ref="C80:U83" si="101">IF(ISERROR(C16/C$7)," ",C16/C$7)</f>
        <v>0</v>
      </c>
      <c r="D80" s="175">
        <f t="shared" si="101"/>
        <v>5.0980878625835513E-4</v>
      </c>
      <c r="E80" s="175">
        <f t="shared" si="101"/>
        <v>8.6407570671938449E-3</v>
      </c>
      <c r="F80" s="175">
        <f t="shared" si="101"/>
        <v>9.4207998109947684E-3</v>
      </c>
      <c r="G80" s="175">
        <f t="shared" si="101"/>
        <v>6.292630554629218E-3</v>
      </c>
      <c r="H80" s="175">
        <f t="shared" si="101"/>
        <v>6.9482635389472129E-3</v>
      </c>
      <c r="I80" s="175">
        <f t="shared" si="101"/>
        <v>8.8145433802027471E-3</v>
      </c>
      <c r="J80" s="175">
        <f t="shared" si="101"/>
        <v>2.0879413640061514E-2</v>
      </c>
      <c r="K80" s="175">
        <f t="shared" si="101"/>
        <v>2.7351452213479998E-3</v>
      </c>
      <c r="L80" s="175">
        <f t="shared" si="101"/>
        <v>1.9747628395505772E-3</v>
      </c>
      <c r="M80" s="175">
        <f>IF(ISERROR(M16/M$7)," ",M16/M$7)</f>
        <v>3.4884685148958744E-3</v>
      </c>
      <c r="N80" s="175">
        <f t="shared" si="101"/>
        <v>3.1169861522450612E-3</v>
      </c>
      <c r="O80" s="175">
        <f t="shared" si="101"/>
        <v>2.7304700792950658E-3</v>
      </c>
      <c r="P80" s="175">
        <f t="shared" si="101"/>
        <v>6.5340312626892176E-3</v>
      </c>
      <c r="Q80" s="175">
        <f t="shared" si="101"/>
        <v>4.7241886062495929E-3</v>
      </c>
      <c r="R80" s="175">
        <f t="shared" si="101"/>
        <v>1.9658067368718514E-3</v>
      </c>
      <c r="S80" s="175">
        <f t="shared" si="101"/>
        <v>2.4388915615572151E-3</v>
      </c>
      <c r="T80" s="175">
        <f t="shared" si="101"/>
        <v>2E-3</v>
      </c>
      <c r="U80" s="175">
        <f t="shared" si="101"/>
        <v>2E-3</v>
      </c>
      <c r="V80" s="8"/>
      <c r="W80" s="175">
        <f t="shared" ref="W80:BO83" si="102">IF(ISERROR(W16/W$7)," ",W16/W$7)</f>
        <v>1.4394831422225101E-2</v>
      </c>
      <c r="X80" s="175">
        <f t="shared" si="102"/>
        <v>5.4748047911697788E-3</v>
      </c>
      <c r="Y80" s="175">
        <f t="shared" si="102"/>
        <v>1.0504891275234274E-4</v>
      </c>
      <c r="Z80" s="181">
        <f t="shared" si="102"/>
        <v>4.1900950036235958E-3</v>
      </c>
      <c r="AA80" s="175">
        <f t="shared" si="102"/>
        <v>7.5504172266508268E-3</v>
      </c>
      <c r="AB80" s="175">
        <f t="shared" si="102"/>
        <v>3.0482470942554876E-3</v>
      </c>
      <c r="AC80" s="175">
        <f t="shared" si="102"/>
        <v>1.0833215221931736E-3</v>
      </c>
      <c r="AD80" s="181">
        <f t="shared" si="102"/>
        <v>1.5810166553291802E-2</v>
      </c>
      <c r="AE80" s="175">
        <f t="shared" si="102"/>
        <v>3.0857564770086256E-3</v>
      </c>
      <c r="AF80" s="175">
        <f t="shared" si="102"/>
        <v>1.5532084962373677E-2</v>
      </c>
      <c r="AG80" s="175">
        <f t="shared" si="102"/>
        <v>2.0019531529026336E-3</v>
      </c>
      <c r="AH80" s="181">
        <f t="shared" si="102"/>
        <v>3.9693822595122295E-2</v>
      </c>
      <c r="AI80" s="175">
        <f t="shared" si="102"/>
        <v>3.5084729262961897E-2</v>
      </c>
      <c r="AJ80" s="175">
        <f t="shared" si="102"/>
        <v>1.6561360934682828E-2</v>
      </c>
      <c r="AK80" s="175">
        <f t="shared" si="102"/>
        <v>2.1022453814145059E-3</v>
      </c>
      <c r="AL80" s="181">
        <f t="shared" si="102"/>
        <v>2.2676327159388129E-3</v>
      </c>
      <c r="AM80" s="175">
        <f t="shared" si="102"/>
        <v>1.6508305984694789E-3</v>
      </c>
      <c r="AN80" s="175">
        <f t="shared" si="102"/>
        <v>1.7890695116935845E-3</v>
      </c>
      <c r="AO80" s="175">
        <f t="shared" si="102"/>
        <v>2.0098966998920837E-3</v>
      </c>
      <c r="AP80" s="181">
        <f t="shared" si="102"/>
        <v>2.6770646155403247E-3</v>
      </c>
      <c r="AQ80" s="175">
        <f t="shared" si="102"/>
        <v>2.2739373754411115E-3</v>
      </c>
      <c r="AR80" s="175">
        <f t="shared" si="102"/>
        <v>5.3142431917366402E-3</v>
      </c>
      <c r="AS80" s="175">
        <f t="shared" si="102"/>
        <v>3.8328726576970719E-3</v>
      </c>
      <c r="AT80" s="181">
        <f t="shared" si="102"/>
        <v>2.4817609294661169E-3</v>
      </c>
      <c r="AU80" s="175">
        <f t="shared" si="102"/>
        <v>2.2220353364883201E-3</v>
      </c>
      <c r="AV80" s="175">
        <f t="shared" si="102"/>
        <v>2.0411886083201128E-3</v>
      </c>
      <c r="AW80" s="175">
        <f t="shared" si="102"/>
        <v>2.5869659353785416E-3</v>
      </c>
      <c r="AX80" s="181">
        <f t="shared" si="102"/>
        <v>5.442269395500343E-3</v>
      </c>
      <c r="AY80" s="175">
        <f t="shared" si="102"/>
        <v>3.2055817967184745E-3</v>
      </c>
      <c r="AZ80" s="175">
        <f t="shared" si="102"/>
        <v>2.4608586454586559E-3</v>
      </c>
      <c r="BA80" s="175">
        <f t="shared" si="102"/>
        <v>4.3841993049275512E-4</v>
      </c>
      <c r="BB80" s="181">
        <f t="shared" si="102"/>
        <v>4.5982067312798809E-3</v>
      </c>
      <c r="BC80" s="175">
        <f t="shared" si="102"/>
        <v>2.8236425330483883E-3</v>
      </c>
      <c r="BD80" s="175">
        <f t="shared" si="102"/>
        <v>2.7350171821047542E-3</v>
      </c>
      <c r="BE80" s="175">
        <f t="shared" si="102"/>
        <v>2.1043120732750081E-3</v>
      </c>
      <c r="BF80" s="181">
        <f t="shared" si="102"/>
        <v>1.6457777864336425E-2</v>
      </c>
      <c r="BG80" s="175">
        <f t="shared" si="102"/>
        <v>2.4341723375365986E-3</v>
      </c>
      <c r="BH80" s="175">
        <f t="shared" si="102"/>
        <v>2.1738194433147525E-3</v>
      </c>
      <c r="BI80" s="175">
        <f t="shared" si="102"/>
        <v>2.2996429436909611E-3</v>
      </c>
      <c r="BJ80" s="181">
        <f t="shared" si="102"/>
        <v>9.35329930303367E-3</v>
      </c>
      <c r="BK80" s="175">
        <f t="shared" si="102"/>
        <v>7.3353020829319453E-3</v>
      </c>
      <c r="BL80" s="175">
        <f t="shared" si="102"/>
        <v>-2.3396531001407339E-3</v>
      </c>
      <c r="BM80" s="175">
        <f t="shared" si="102"/>
        <v>1.7339347747080682E-3</v>
      </c>
      <c r="BN80" s="181">
        <f t="shared" si="102"/>
        <v>2.1416819402388298E-3</v>
      </c>
      <c r="BO80" s="175">
        <f t="shared" si="102"/>
        <v>1.5919784171619625E-3</v>
      </c>
      <c r="BP80" s="182">
        <v>2E-3</v>
      </c>
      <c r="BQ80" s="182">
        <v>2E-3</v>
      </c>
      <c r="BR80" s="183">
        <v>2E-3</v>
      </c>
      <c r="BS80" s="182">
        <v>2E-3</v>
      </c>
      <c r="BT80" s="182">
        <v>2E-3</v>
      </c>
      <c r="BU80" s="182">
        <v>2E-3</v>
      </c>
      <c r="BV80" s="183">
        <v>2E-3</v>
      </c>
      <c r="BW80" s="182">
        <v>2E-3</v>
      </c>
      <c r="BX80" s="182">
        <v>2E-3</v>
      </c>
      <c r="BY80" s="182">
        <v>2E-3</v>
      </c>
      <c r="BZ80" s="183">
        <v>2E-3</v>
      </c>
      <c r="CA80" s="184"/>
      <c r="CB80" s="18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5"/>
      <c r="DH80" s="175"/>
      <c r="DI80" s="175"/>
      <c r="DJ80" s="175"/>
      <c r="DK80" s="175"/>
    </row>
    <row r="81" spans="1:115" x14ac:dyDescent="0.4">
      <c r="A81" s="179"/>
      <c r="B81" s="83" t="s">
        <v>67</v>
      </c>
      <c r="C81" s="175">
        <f t="shared" si="101"/>
        <v>2.7158718742916515E-2</v>
      </c>
      <c r="D81" s="175">
        <f t="shared" si="101"/>
        <v>1.8956502177800448E-2</v>
      </c>
      <c r="E81" s="175">
        <f t="shared" si="101"/>
        <v>1.9032612271352955E-2</v>
      </c>
      <c r="F81" s="175">
        <f t="shared" si="101"/>
        <v>3.3282798870166296E-2</v>
      </c>
      <c r="G81" s="175">
        <f t="shared" si="101"/>
        <v>3.6004755814735272E-2</v>
      </c>
      <c r="H81" s="175">
        <f t="shared" si="101"/>
        <v>3.8749047139774603E-2</v>
      </c>
      <c r="I81" s="175">
        <f t="shared" si="101"/>
        <v>3.1629675727021668E-2</v>
      </c>
      <c r="J81" s="175">
        <f t="shared" si="101"/>
        <v>2.808948965259488E-2</v>
      </c>
      <c r="K81" s="175">
        <f t="shared" si="101"/>
        <v>1.3585546020764278E-2</v>
      </c>
      <c r="L81" s="175">
        <f t="shared" si="101"/>
        <v>1.1681423291449387E-2</v>
      </c>
      <c r="M81" s="175">
        <f>IF(ISERROR(M17/M$7)," ",M17/M$7)</f>
        <v>1.1526652618673496E-2</v>
      </c>
      <c r="N81" s="175">
        <f t="shared" si="101"/>
        <v>1.5137548878891662E-2</v>
      </c>
      <c r="O81" s="175">
        <f t="shared" si="101"/>
        <v>9.4909257127054128E-3</v>
      </c>
      <c r="P81" s="175">
        <f t="shared" si="101"/>
        <v>9.4100380013468522E-3</v>
      </c>
      <c r="Q81" s="175">
        <f t="shared" si="101"/>
        <v>1.1647700420488002E-2</v>
      </c>
      <c r="R81" s="175">
        <f t="shared" si="101"/>
        <v>8.3507998607343092E-3</v>
      </c>
      <c r="S81" s="175">
        <f t="shared" si="101"/>
        <v>6.7073247489115697E-3</v>
      </c>
      <c r="T81" s="175">
        <f t="shared" si="101"/>
        <v>5.4564204640182119E-3</v>
      </c>
      <c r="U81" s="175">
        <f t="shared" si="101"/>
        <v>5.3249190617597171E-3</v>
      </c>
      <c r="V81" s="8"/>
      <c r="W81" s="175">
        <f t="shared" si="102"/>
        <v>1.9115165503443287E-2</v>
      </c>
      <c r="X81" s="175">
        <f t="shared" si="102"/>
        <v>5.3809588954563156E-2</v>
      </c>
      <c r="Y81" s="175">
        <f t="shared" si="102"/>
        <v>7.0199603022609525E-2</v>
      </c>
      <c r="Z81" s="181">
        <f t="shared" si="102"/>
        <v>3.2705114584672984E-2</v>
      </c>
      <c r="AA81" s="175">
        <f t="shared" si="102"/>
        <v>3.5162117033455759E-2</v>
      </c>
      <c r="AB81" s="175">
        <f t="shared" si="102"/>
        <v>5.90103072893318E-2</v>
      </c>
      <c r="AC81" s="175">
        <f t="shared" si="102"/>
        <v>3.8751502129294485E-2</v>
      </c>
      <c r="AD81" s="181">
        <f t="shared" si="102"/>
        <v>1.4199429357793539E-2</v>
      </c>
      <c r="AE81" s="175">
        <f t="shared" si="102"/>
        <v>0.10807599018524738</v>
      </c>
      <c r="AF81" s="175">
        <f t="shared" si="102"/>
        <v>2.2229178313145501E-2</v>
      </c>
      <c r="AG81" s="175">
        <f t="shared" si="102"/>
        <v>2.7196020924272639E-2</v>
      </c>
      <c r="AH81" s="181">
        <f t="shared" si="102"/>
        <v>1.7248626157809439E-2</v>
      </c>
      <c r="AI81" s="175">
        <f t="shared" si="102"/>
        <v>5.4367979093647656E-2</v>
      </c>
      <c r="AJ81" s="175">
        <f t="shared" si="102"/>
        <v>1.5696216443717721E-2</v>
      </c>
      <c r="AK81" s="175">
        <f t="shared" si="102"/>
        <v>1.5661362030822926E-2</v>
      </c>
      <c r="AL81" s="181">
        <f t="shared" si="102"/>
        <v>1.1178343212087827E-2</v>
      </c>
      <c r="AM81" s="175">
        <f t="shared" si="102"/>
        <v>1.0003758071870501E-2</v>
      </c>
      <c r="AN81" s="175">
        <f t="shared" si="102"/>
        <v>9.1945023192362609E-3</v>
      </c>
      <c r="AO81" s="175">
        <f t="shared" si="102"/>
        <v>1.1415409654120906E-2</v>
      </c>
      <c r="AP81" s="181">
        <f t="shared" si="102"/>
        <v>1.8248321039978737E-2</v>
      </c>
      <c r="AQ81" s="175">
        <f t="shared" si="102"/>
        <v>1.5094912359358226E-2</v>
      </c>
      <c r="AR81" s="175">
        <f t="shared" si="102"/>
        <v>9.7350787004693348E-3</v>
      </c>
      <c r="AS81" s="175">
        <f t="shared" si="102"/>
        <v>1.0464038765865333E-2</v>
      </c>
      <c r="AT81" s="181">
        <f t="shared" si="102"/>
        <v>1.1716501550457848E-2</v>
      </c>
      <c r="AU81" s="175">
        <f t="shared" si="102"/>
        <v>1.073282575697636E-2</v>
      </c>
      <c r="AV81" s="175">
        <f t="shared" si="102"/>
        <v>8.5205966019074528E-3</v>
      </c>
      <c r="AW81" s="175">
        <f t="shared" si="102"/>
        <v>2.2078567144214849E-2</v>
      </c>
      <c r="AX81" s="181">
        <f>IF(ISERROR(AX17/AX$7)," ",AX17/AX$7)</f>
        <v>1.7810511476828553E-2</v>
      </c>
      <c r="AY81" s="175">
        <f t="shared" si="102"/>
        <v>1.0523763579499842E-2</v>
      </c>
      <c r="AZ81" s="175">
        <f t="shared" si="102"/>
        <v>7.8763855570830616E-3</v>
      </c>
      <c r="BA81" s="175">
        <f t="shared" si="102"/>
        <v>8.7666096421651022E-3</v>
      </c>
      <c r="BB81" s="181">
        <f t="shared" si="102"/>
        <v>1.071048405514145E-2</v>
      </c>
      <c r="BC81" s="175">
        <f t="shared" si="102"/>
        <v>8.8906898764546625E-3</v>
      </c>
      <c r="BD81" s="175">
        <f t="shared" si="102"/>
        <v>9.6257231526673398E-3</v>
      </c>
      <c r="BE81" s="175">
        <f t="shared" si="102"/>
        <v>1.145321278746397E-2</v>
      </c>
      <c r="BF81" s="181">
        <f t="shared" si="102"/>
        <v>7.6962077592727914E-3</v>
      </c>
      <c r="BG81" s="175">
        <f t="shared" si="102"/>
        <v>1.2113063344523552E-2</v>
      </c>
      <c r="BH81" s="175">
        <f t="shared" si="102"/>
        <v>9.8832101913971602E-3</v>
      </c>
      <c r="BI81" s="175">
        <f t="shared" si="102"/>
        <v>1.2186290652675277E-2</v>
      </c>
      <c r="BJ81" s="181">
        <f t="shared" si="102"/>
        <v>1.2010648382371541E-2</v>
      </c>
      <c r="BK81" s="175">
        <f t="shared" si="102"/>
        <v>9.2567791415108947E-3</v>
      </c>
      <c r="BL81" s="175">
        <f t="shared" si="102"/>
        <v>7.4457494967362734E-3</v>
      </c>
      <c r="BM81" s="175">
        <f t="shared" si="102"/>
        <v>7.057949122934175E-3</v>
      </c>
      <c r="BN81" s="181">
        <f t="shared" si="102"/>
        <v>9.7898153265626627E-3</v>
      </c>
      <c r="BO81" s="175">
        <f t="shared" si="102"/>
        <v>7.5067954429826333E-3</v>
      </c>
      <c r="BP81" s="175">
        <f t="shared" ref="BP81:BZ83" si="103">IF(ISERROR(BP17/BP$7)," ",BP17/BP$7)</f>
        <v>6.2830245182823119E-3</v>
      </c>
      <c r="BQ81" s="175">
        <f t="shared" si="103"/>
        <v>6.6475062361674468E-3</v>
      </c>
      <c r="BR81" s="181">
        <f t="shared" si="103"/>
        <v>6.5838938677195338E-3</v>
      </c>
      <c r="BS81" s="175">
        <f t="shared" si="103"/>
        <v>5.6128577582066509E-3</v>
      </c>
      <c r="BT81" s="175">
        <f t="shared" si="103"/>
        <v>5.2643220286822416E-3</v>
      </c>
      <c r="BU81" s="175">
        <f t="shared" si="103"/>
        <v>5.1962617009862185E-3</v>
      </c>
      <c r="BV81" s="181">
        <f t="shared" si="103"/>
        <v>5.7391260641600451E-3</v>
      </c>
      <c r="BW81" s="175">
        <f t="shared" si="103"/>
        <v>5.3762242606272149E-3</v>
      </c>
      <c r="BX81" s="175">
        <f t="shared" si="103"/>
        <v>4.972360359297278E-3</v>
      </c>
      <c r="BY81" s="175">
        <f t="shared" si="103"/>
        <v>5.0618321509145669E-3</v>
      </c>
      <c r="BZ81" s="181">
        <f t="shared" si="103"/>
        <v>5.8558934936488605E-3</v>
      </c>
      <c r="CA81" s="175"/>
      <c r="CB81" s="175"/>
      <c r="CC81" s="174"/>
      <c r="CD81" s="174"/>
      <c r="CE81" s="174"/>
      <c r="CF81" s="174"/>
      <c r="CG81" s="174"/>
      <c r="CH81" s="174"/>
      <c r="CI81" s="174"/>
      <c r="CJ81" s="174"/>
      <c r="CK81" s="174"/>
      <c r="CL81" s="174"/>
      <c r="CM81" s="174"/>
      <c r="CN81" s="174"/>
      <c r="CO81" s="174"/>
      <c r="CP81" s="174"/>
      <c r="CQ81" s="174"/>
      <c r="CR81" s="174"/>
      <c r="CS81" s="174"/>
      <c r="CT81" s="174"/>
      <c r="CU81" s="174"/>
      <c r="CV81" s="174"/>
      <c r="CW81" s="174"/>
      <c r="CX81" s="174"/>
      <c r="CY81" s="174"/>
      <c r="CZ81" s="174"/>
      <c r="DA81" s="174"/>
      <c r="DB81" s="174"/>
      <c r="DC81" s="174"/>
      <c r="DD81" s="174"/>
      <c r="DE81" s="174"/>
      <c r="DF81" s="174"/>
      <c r="DG81" s="175"/>
      <c r="DH81" s="175"/>
      <c r="DI81" s="175"/>
      <c r="DJ81" s="175"/>
      <c r="DK81" s="175"/>
    </row>
    <row r="82" spans="1:115" x14ac:dyDescent="0.4">
      <c r="A82" s="179"/>
      <c r="B82" s="83" t="s">
        <v>68</v>
      </c>
      <c r="C82" s="175">
        <f t="shared" si="101"/>
        <v>2.6342882661375997E-2</v>
      </c>
      <c r="D82" s="175">
        <f t="shared" si="101"/>
        <v>2.5805548142057377E-2</v>
      </c>
      <c r="E82" s="175">
        <f t="shared" si="101"/>
        <v>4.6041345511369125E-2</v>
      </c>
      <c r="F82" s="175">
        <f t="shared" si="101"/>
        <v>0.1177127944181077</v>
      </c>
      <c r="G82" s="175">
        <f t="shared" si="101"/>
        <v>0.25041972358077869</v>
      </c>
      <c r="H82" s="175">
        <f t="shared" si="101"/>
        <v>0.23718475855488111</v>
      </c>
      <c r="I82" s="175">
        <f t="shared" si="101"/>
        <v>0.20796384983557364</v>
      </c>
      <c r="J82" s="175">
        <f t="shared" si="101"/>
        <v>0.2588490659201188</v>
      </c>
      <c r="K82" s="175">
        <f t="shared" si="101"/>
        <v>4.9460371636580319E-2</v>
      </c>
      <c r="L82" s="175">
        <f t="shared" si="101"/>
        <v>4.913343141299964E-2</v>
      </c>
      <c r="M82" s="175">
        <f>IF(ISERROR(M18/M$7)," ",M18/M$7)</f>
        <v>5.7713936743158382E-2</v>
      </c>
      <c r="N82" s="175">
        <f t="shared" si="101"/>
        <v>5.2504703685435604E-2</v>
      </c>
      <c r="O82" s="175">
        <f t="shared" si="101"/>
        <v>5.6418805236727376E-2</v>
      </c>
      <c r="P82" s="175">
        <f t="shared" si="101"/>
        <v>5.2563153434145082E-2</v>
      </c>
      <c r="Q82" s="175">
        <f t="shared" si="101"/>
        <v>4.045466315910156E-2</v>
      </c>
      <c r="R82" s="175">
        <f t="shared" si="101"/>
        <v>2.8477575444158788E-2</v>
      </c>
      <c r="S82" s="175">
        <f t="shared" si="101"/>
        <v>2.0724009724492738E-2</v>
      </c>
      <c r="T82" s="175">
        <f t="shared" si="101"/>
        <v>1.5954098965444554E-2</v>
      </c>
      <c r="U82" s="175">
        <f t="shared" si="101"/>
        <v>1.4085795071627386E-2</v>
      </c>
      <c r="V82" s="174"/>
      <c r="W82" s="175">
        <f t="shared" si="102"/>
        <v>0.21226476252776319</v>
      </c>
      <c r="X82" s="175">
        <f t="shared" si="102"/>
        <v>0.42796617402405462</v>
      </c>
      <c r="Y82" s="175">
        <f t="shared" si="102"/>
        <v>0.32386873109318554</v>
      </c>
      <c r="Z82" s="181">
        <f t="shared" si="102"/>
        <v>0.11505107360343615</v>
      </c>
      <c r="AA82" s="175">
        <f t="shared" si="102"/>
        <v>0.30358481943204818</v>
      </c>
      <c r="AB82" s="175">
        <f t="shared" si="102"/>
        <v>0.27593496070578177</v>
      </c>
      <c r="AC82" s="175">
        <f t="shared" si="102"/>
        <v>0.21564403152776279</v>
      </c>
      <c r="AD82" s="181">
        <f t="shared" si="102"/>
        <v>0.13774980461186584</v>
      </c>
      <c r="AE82" s="175">
        <f t="shared" si="102"/>
        <v>0.82423939159282678</v>
      </c>
      <c r="AF82" s="175">
        <f t="shared" si="102"/>
        <v>0.21445193577856403</v>
      </c>
      <c r="AG82" s="175">
        <f t="shared" si="102"/>
        <v>0.26886160547539717</v>
      </c>
      <c r="AH82" s="181">
        <f t="shared" si="102"/>
        <v>0.17638263331065521</v>
      </c>
      <c r="AI82" s="175">
        <f t="shared" si="102"/>
        <v>0.51901922154944258</v>
      </c>
      <c r="AJ82" s="175">
        <f t="shared" si="102"/>
        <v>0.15234972759517332</v>
      </c>
      <c r="AK82" s="175">
        <f t="shared" si="102"/>
        <v>6.114763682940981E-2</v>
      </c>
      <c r="AL82" s="181">
        <f t="shared" si="102"/>
        <v>2.8849954601603143E-2</v>
      </c>
      <c r="AM82" s="175">
        <f t="shared" si="102"/>
        <v>4.1806597813971176E-2</v>
      </c>
      <c r="AN82" s="175">
        <f t="shared" si="102"/>
        <v>4.6472933748926894E-2</v>
      </c>
      <c r="AO82" s="175">
        <f t="shared" si="102"/>
        <v>4.9305219030732358E-2</v>
      </c>
      <c r="AP82" s="181">
        <f t="shared" si="102"/>
        <v>6.6038938679972695E-2</v>
      </c>
      <c r="AQ82" s="175">
        <f t="shared" si="102"/>
        <v>6.642819817547542E-2</v>
      </c>
      <c r="AR82" s="175">
        <f t="shared" si="102"/>
        <v>5.2338685685795007E-2</v>
      </c>
      <c r="AS82" s="175">
        <f t="shared" si="102"/>
        <v>5.190611386643177E-2</v>
      </c>
      <c r="AT82" s="181">
        <f t="shared" si="102"/>
        <v>6.1686475301993692E-2</v>
      </c>
      <c r="AU82" s="175">
        <f t="shared" si="102"/>
        <v>5.4650004709473059E-2</v>
      </c>
      <c r="AV82" s="175">
        <f t="shared" si="102"/>
        <v>4.2443992258884115E-2</v>
      </c>
      <c r="AW82" s="175">
        <f t="shared" si="102"/>
        <v>4.963200085305107E-2</v>
      </c>
      <c r="AX82" s="181">
        <f>IF(ISERROR(AX18/AX$7)," ",AX18/AX$7)</f>
        <v>6.447794247932466E-2</v>
      </c>
      <c r="AY82" s="175">
        <f t="shared" si="102"/>
        <v>6.3207952327605496E-2</v>
      </c>
      <c r="AZ82" s="175">
        <f t="shared" si="102"/>
        <v>5.7618578277118117E-2</v>
      </c>
      <c r="BA82" s="175">
        <f t="shared" si="102"/>
        <v>5.1268035727467305E-2</v>
      </c>
      <c r="BB82" s="181">
        <f t="shared" si="102"/>
        <v>5.5678694665837775E-2</v>
      </c>
      <c r="BC82" s="175">
        <f t="shared" si="102"/>
        <v>6.5459444103344658E-2</v>
      </c>
      <c r="BD82" s="175">
        <f t="shared" si="102"/>
        <v>4.9719063813887091E-2</v>
      </c>
      <c r="BE82" s="175">
        <f t="shared" si="102"/>
        <v>5.1971960482561058E-2</v>
      </c>
      <c r="BF82" s="181">
        <f t="shared" si="102"/>
        <v>4.5618097152268729E-2</v>
      </c>
      <c r="BG82" s="175">
        <f t="shared" si="102"/>
        <v>4.9403689061515529E-2</v>
      </c>
      <c r="BH82" s="175">
        <f t="shared" si="102"/>
        <v>4.4448816182525462E-2</v>
      </c>
      <c r="BI82" s="175">
        <f t="shared" si="102"/>
        <v>3.3804482280899752E-2</v>
      </c>
      <c r="BJ82" s="181">
        <f t="shared" si="102"/>
        <v>3.9106958940084258E-2</v>
      </c>
      <c r="BK82" s="175">
        <f t="shared" si="102"/>
        <v>2.669432672158456E-2</v>
      </c>
      <c r="BL82" s="175">
        <f t="shared" si="102"/>
        <v>2.9752334494534623E-2</v>
      </c>
      <c r="BM82" s="175">
        <f t="shared" si="102"/>
        <v>2.5372917837426477E-2</v>
      </c>
      <c r="BN82" s="181">
        <f t="shared" si="102"/>
        <v>3.1724619608596398E-2</v>
      </c>
      <c r="BO82" s="175">
        <f t="shared" si="102"/>
        <v>2.2233132323353621E-2</v>
      </c>
      <c r="BP82" s="175">
        <f t="shared" si="103"/>
        <v>1.7528500639815012E-2</v>
      </c>
      <c r="BQ82" s="175">
        <f t="shared" si="103"/>
        <v>2.0456927780520971E-2</v>
      </c>
      <c r="BR82" s="181">
        <f t="shared" si="103"/>
        <v>2.2443140060856147E-2</v>
      </c>
      <c r="BS82" s="175">
        <f t="shared" si="103"/>
        <v>1.6411508010408575E-2</v>
      </c>
      <c r="BT82" s="175">
        <f t="shared" si="103"/>
        <v>1.5392419844733947E-2</v>
      </c>
      <c r="BU82" s="175">
        <f t="shared" si="103"/>
        <v>1.519341736484014E-2</v>
      </c>
      <c r="BV82" s="181">
        <f t="shared" si="103"/>
        <v>1.678070555716361E-2</v>
      </c>
      <c r="BW82" s="175">
        <f t="shared" si="103"/>
        <v>1.4221510658845693E-2</v>
      </c>
      <c r="BX82" s="175">
        <f t="shared" si="103"/>
        <v>1.3153185659914819E-2</v>
      </c>
      <c r="BY82" s="175">
        <f t="shared" si="103"/>
        <v>1.3389861805936086E-2</v>
      </c>
      <c r="BZ82" s="181">
        <f t="shared" si="103"/>
        <v>1.5490360464850961E-2</v>
      </c>
      <c r="CA82" s="175"/>
      <c r="CB82" s="175"/>
      <c r="CC82" s="175"/>
      <c r="CD82" s="175"/>
      <c r="CE82" s="175"/>
      <c r="CF82" s="175"/>
      <c r="CG82" s="175"/>
      <c r="CH82" s="175"/>
      <c r="CI82" s="175"/>
      <c r="CJ82" s="175"/>
      <c r="CK82" s="175"/>
      <c r="CL82" s="175"/>
      <c r="CM82" s="175"/>
      <c r="CN82" s="175"/>
      <c r="CO82" s="175"/>
      <c r="CP82" s="175"/>
      <c r="CQ82" s="175"/>
      <c r="CR82" s="175"/>
      <c r="CS82" s="175"/>
      <c r="CT82" s="175"/>
      <c r="CU82" s="175"/>
      <c r="CV82" s="175"/>
      <c r="CW82" s="175"/>
      <c r="CX82" s="175"/>
      <c r="CY82" s="175"/>
      <c r="CZ82" s="175"/>
      <c r="DA82" s="175"/>
      <c r="DB82" s="175"/>
      <c r="DC82" s="175"/>
      <c r="DD82" s="175"/>
      <c r="DE82" s="175"/>
      <c r="DF82" s="175"/>
      <c r="DG82" s="175"/>
      <c r="DH82" s="175"/>
      <c r="DI82" s="175"/>
      <c r="DJ82" s="175"/>
      <c r="DK82" s="175"/>
    </row>
    <row r="83" spans="1:115" x14ac:dyDescent="0.4">
      <c r="A83" s="179"/>
      <c r="B83" s="83" t="s">
        <v>69</v>
      </c>
      <c r="C83" s="175">
        <f t="shared" si="101"/>
        <v>7.189788393041531E-2</v>
      </c>
      <c r="D83" s="175">
        <f t="shared" si="101"/>
        <v>5.9253688352775162E-2</v>
      </c>
      <c r="E83" s="175">
        <f t="shared" si="101"/>
        <v>5.1529596141567109E-2</v>
      </c>
      <c r="F83" s="175">
        <f t="shared" si="101"/>
        <v>6.864520338001405E-2</v>
      </c>
      <c r="G83" s="175">
        <f t="shared" si="101"/>
        <v>9.6056497062753696E-2</v>
      </c>
      <c r="H83" s="175">
        <f t="shared" si="101"/>
        <v>6.1649319580502071E-2</v>
      </c>
      <c r="I83" s="175">
        <f t="shared" si="101"/>
        <v>5.3518511162662041E-2</v>
      </c>
      <c r="J83" s="175">
        <f t="shared" si="101"/>
        <v>5.1277674082285903E-2</v>
      </c>
      <c r="K83" s="175">
        <f t="shared" si="101"/>
        <v>5.4867066857939725E-2</v>
      </c>
      <c r="L83" s="175">
        <f t="shared" si="101"/>
        <v>6.0018220143619849E-2</v>
      </c>
      <c r="M83" s="175">
        <f>IF(ISERROR(M19/M$7)," ",M19/M$7)</f>
        <v>7.6161777138637712E-2</v>
      </c>
      <c r="N83" s="175">
        <f t="shared" si="101"/>
        <v>7.1838074625422466E-2</v>
      </c>
      <c r="O83" s="175">
        <f t="shared" si="101"/>
        <v>7.0314599892121327E-2</v>
      </c>
      <c r="P83" s="175">
        <f t="shared" si="101"/>
        <v>7.9551471735157225E-2</v>
      </c>
      <c r="Q83" s="175">
        <f t="shared" si="101"/>
        <v>6.8983826613899416E-2</v>
      </c>
      <c r="R83" s="175">
        <f t="shared" si="101"/>
        <v>5.2133874885164876E-2</v>
      </c>
      <c r="S83" s="175">
        <f t="shared" si="101"/>
        <v>4.5475162425975012E-2</v>
      </c>
      <c r="T83" s="175">
        <f t="shared" si="101"/>
        <v>3.812909291750375E-2</v>
      </c>
      <c r="U83" s="175">
        <f t="shared" si="101"/>
        <v>3.7307048528936716E-2</v>
      </c>
      <c r="V83" s="174"/>
      <c r="W83" s="175">
        <f t="shared" si="102"/>
        <v>4.7709137554656743E-2</v>
      </c>
      <c r="X83" s="175">
        <f t="shared" si="102"/>
        <v>9.2317277646007626E-2</v>
      </c>
      <c r="Y83" s="175">
        <f t="shared" si="102"/>
        <v>8.3620047333911721E-2</v>
      </c>
      <c r="Z83" s="181">
        <f t="shared" si="102"/>
        <v>4.7322251158227448E-2</v>
      </c>
      <c r="AA83" s="175">
        <f t="shared" si="102"/>
        <v>8.4658017663993085E-2</v>
      </c>
      <c r="AB83" s="175">
        <f t="shared" si="102"/>
        <v>6.7999533242719401E-2</v>
      </c>
      <c r="AC83" s="175">
        <f t="shared" si="102"/>
        <v>6.1978097044573334E-2</v>
      </c>
      <c r="AD83" s="181">
        <f t="shared" si="102"/>
        <v>3.1164736309067999E-2</v>
      </c>
      <c r="AE83" s="175">
        <f t="shared" si="102"/>
        <v>0.1634147070224285</v>
      </c>
      <c r="AF83" s="175">
        <f t="shared" si="102"/>
        <v>3.6393391144343736E-2</v>
      </c>
      <c r="AG83" s="175">
        <f t="shared" si="102"/>
        <v>6.5016784016558554E-2</v>
      </c>
      <c r="AH83" s="181">
        <f t="shared" si="102"/>
        <v>3.4448194221101139E-2</v>
      </c>
      <c r="AI83" s="175">
        <f t="shared" si="102"/>
        <v>0.137319478680441</v>
      </c>
      <c r="AJ83" s="175">
        <f t="shared" si="102"/>
        <v>3.5699556944079829E-2</v>
      </c>
      <c r="AK83" s="175">
        <f t="shared" si="102"/>
        <v>3.0242954526389584E-2</v>
      </c>
      <c r="AL83" s="181">
        <f t="shared" si="102"/>
        <v>7.6379119613716434E-2</v>
      </c>
      <c r="AM83" s="175">
        <f t="shared" si="102"/>
        <v>5.5318390645209652E-2</v>
      </c>
      <c r="AN83" s="175">
        <f t="shared" si="102"/>
        <v>5.421881368273393E-2</v>
      </c>
      <c r="AO83" s="175">
        <f t="shared" si="102"/>
        <v>5.824606352062122E-2</v>
      </c>
      <c r="AP83" s="181">
        <f t="shared" si="102"/>
        <v>7.5726013108295936E-2</v>
      </c>
      <c r="AQ83" s="175">
        <f t="shared" si="102"/>
        <v>5.6452733270671206E-2</v>
      </c>
      <c r="AR83" s="175">
        <f t="shared" si="102"/>
        <v>8.1047286327233417E-2</v>
      </c>
      <c r="AS83" s="175">
        <f t="shared" si="102"/>
        <v>6.4930632157932877E-2</v>
      </c>
      <c r="AT83" s="181">
        <f t="shared" si="102"/>
        <v>9.3544214245943835E-2</v>
      </c>
      <c r="AU83" s="175">
        <f t="shared" si="102"/>
        <v>6.6367706775932067E-2</v>
      </c>
      <c r="AV83" s="175">
        <f t="shared" si="102"/>
        <v>4.5691166988400138E-2</v>
      </c>
      <c r="AW83" s="175">
        <f t="shared" si="102"/>
        <v>5.9472177949284631E-2</v>
      </c>
      <c r="AX83" s="181">
        <f>IF(ISERROR(AX19/AX$7)," ",AX19/AX$7)</f>
        <v>0.1161017317220705</v>
      </c>
      <c r="AY83" s="175">
        <f t="shared" si="102"/>
        <v>8.1489291200319627E-2</v>
      </c>
      <c r="AZ83" s="175">
        <f t="shared" si="102"/>
        <v>5.8952806160196124E-2</v>
      </c>
      <c r="BA83" s="175">
        <f t="shared" si="102"/>
        <v>6.1570447763503344E-2</v>
      </c>
      <c r="BB83" s="181">
        <f t="shared" si="102"/>
        <v>7.9584942498560754E-2</v>
      </c>
      <c r="BC83" s="175">
        <f t="shared" si="102"/>
        <v>7.3948225296100997E-2</v>
      </c>
      <c r="BD83" s="175">
        <f t="shared" si="102"/>
        <v>9.0822036077743029E-2</v>
      </c>
      <c r="BE83" s="175">
        <f t="shared" si="102"/>
        <v>8.031873920833181E-2</v>
      </c>
      <c r="BF83" s="181">
        <f t="shared" si="102"/>
        <v>7.4342549868134961E-2</v>
      </c>
      <c r="BG83" s="175">
        <f t="shared" si="102"/>
        <v>8.5123217548378288E-2</v>
      </c>
      <c r="BH83" s="175">
        <f t="shared" si="102"/>
        <v>7.6661000901795562E-2</v>
      </c>
      <c r="BI83" s="175">
        <f t="shared" si="102"/>
        <v>4.9191266608414302E-2</v>
      </c>
      <c r="BJ83" s="181">
        <f t="shared" si="102"/>
        <v>7.2675203833047014E-2</v>
      </c>
      <c r="BK83" s="175">
        <f t="shared" si="102"/>
        <v>5.3150869095796367E-2</v>
      </c>
      <c r="BL83" s="175">
        <f t="shared" si="102"/>
        <v>4.4883194145739123E-2</v>
      </c>
      <c r="BM83" s="175">
        <f t="shared" si="102"/>
        <v>3.3353605105194535E-2</v>
      </c>
      <c r="BN83" s="181">
        <f t="shared" si="102"/>
        <v>7.6653907794809448E-2</v>
      </c>
      <c r="BO83" s="175">
        <f t="shared" si="102"/>
        <v>4.3502153523438065E-2</v>
      </c>
      <c r="BP83" s="175">
        <f t="shared" si="103"/>
        <v>3.6386894283063874E-2</v>
      </c>
      <c r="BQ83" s="175">
        <f t="shared" si="103"/>
        <v>4.0537454424338142E-2</v>
      </c>
      <c r="BR83" s="181">
        <f t="shared" si="103"/>
        <v>5.7993775668975248E-2</v>
      </c>
      <c r="BS83" s="175">
        <f t="shared" si="103"/>
        <v>3.3873775205216144E-2</v>
      </c>
      <c r="BT83" s="175">
        <f t="shared" si="103"/>
        <v>3.1988454081068596E-2</v>
      </c>
      <c r="BU83" s="175">
        <f t="shared" si="103"/>
        <v>3.1953786725904945E-2</v>
      </c>
      <c r="BV83" s="181">
        <f t="shared" si="103"/>
        <v>5.2136006404062962E-2</v>
      </c>
      <c r="BW83" s="175">
        <f t="shared" si="103"/>
        <v>3.2530158369805405E-2</v>
      </c>
      <c r="BX83" s="175">
        <f t="shared" si="103"/>
        <v>3.0293024514615449E-2</v>
      </c>
      <c r="BY83" s="175">
        <f t="shared" si="103"/>
        <v>3.1208169297627611E-2</v>
      </c>
      <c r="BZ83" s="181">
        <f t="shared" si="103"/>
        <v>5.3335258297492451E-2</v>
      </c>
      <c r="CA83" s="175"/>
      <c r="CB83" s="175"/>
      <c r="CC83" s="175"/>
      <c r="CD83" s="175"/>
      <c r="CE83" s="175"/>
      <c r="CF83" s="175"/>
      <c r="CG83" s="175"/>
      <c r="CH83" s="175"/>
      <c r="CI83" s="175"/>
      <c r="CJ83" s="175"/>
      <c r="CK83" s="175"/>
      <c r="CL83" s="175"/>
      <c r="CM83" s="175"/>
      <c r="CN83" s="175"/>
      <c r="CO83" s="175"/>
      <c r="CP83" s="175"/>
      <c r="CQ83" s="175"/>
      <c r="CR83" s="175"/>
      <c r="CS83" s="175"/>
      <c r="CT83" s="175"/>
      <c r="CU83" s="175"/>
      <c r="CV83" s="175"/>
      <c r="CW83" s="175"/>
      <c r="CX83" s="175"/>
      <c r="CY83" s="175"/>
      <c r="CZ83" s="175"/>
      <c r="DA83" s="175"/>
      <c r="DB83" s="175"/>
      <c r="DC83" s="175"/>
      <c r="DD83" s="175"/>
      <c r="DE83" s="175"/>
      <c r="DF83" s="175"/>
      <c r="DG83" s="175"/>
      <c r="DH83" s="175"/>
      <c r="DI83" s="175"/>
      <c r="DJ83" s="175"/>
      <c r="DK83" s="175"/>
    </row>
    <row r="84" spans="1:115" x14ac:dyDescent="0.4">
      <c r="A84" s="179"/>
      <c r="B84" s="185" t="s">
        <v>112</v>
      </c>
      <c r="C84" s="186">
        <f t="shared" ref="C84:U84" si="104">IF(ISERROR(C12/C$7)," ",C12/C$7)</f>
        <v>0.49769393387237032</v>
      </c>
      <c r="D84" s="186">
        <f t="shared" si="104"/>
        <v>0.50796224649122113</v>
      </c>
      <c r="E84" s="186">
        <f t="shared" si="104"/>
        <v>0.50184398746141667</v>
      </c>
      <c r="F84" s="186">
        <f t="shared" si="104"/>
        <v>0.48686564766887347</v>
      </c>
      <c r="G84" s="186">
        <f t="shared" si="104"/>
        <v>0.40510968839342143</v>
      </c>
      <c r="H84" s="186">
        <f t="shared" si="104"/>
        <v>0.3246101928352349</v>
      </c>
      <c r="I84" s="186">
        <f t="shared" si="104"/>
        <v>0.27147706971801799</v>
      </c>
      <c r="J84" s="186">
        <f t="shared" si="104"/>
        <v>0.30559214271788737</v>
      </c>
      <c r="K84" s="186">
        <f t="shared" si="104"/>
        <v>0.26794750461693817</v>
      </c>
      <c r="L84" s="186">
        <f t="shared" si="104"/>
        <v>0.27274231608647542</v>
      </c>
      <c r="M84" s="186">
        <f>IF(ISERROR(M12/M$7)," ",M12/M$7)</f>
        <v>0.27112010552194815</v>
      </c>
      <c r="N84" s="186">
        <f t="shared" si="104"/>
        <v>0.25428881356816646</v>
      </c>
      <c r="O84" s="186">
        <f t="shared" si="104"/>
        <v>0.25573767603555464</v>
      </c>
      <c r="P84" s="186">
        <f t="shared" si="104"/>
        <v>0.29312002153609734</v>
      </c>
      <c r="Q84" s="186">
        <f t="shared" si="104"/>
        <v>0.3299227688879251</v>
      </c>
      <c r="R84" s="186">
        <f t="shared" si="104"/>
        <v>0.33804958236571669</v>
      </c>
      <c r="S84" s="186">
        <f t="shared" si="104"/>
        <v>0.41607451364262044</v>
      </c>
      <c r="T84" s="186">
        <f t="shared" si="104"/>
        <v>0.45165218847869615</v>
      </c>
      <c r="U84" s="186">
        <f t="shared" si="104"/>
        <v>0.45545176496733925</v>
      </c>
      <c r="V84" s="187"/>
      <c r="W84" s="186">
        <f t="shared" ref="W84:BC84" si="105">IF(ISERROR(W12/W$7)," ",W12/W$7)</f>
        <v>0.34224412563673556</v>
      </c>
      <c r="X84" s="186">
        <f t="shared" si="105"/>
        <v>0.29917638556683557</v>
      </c>
      <c r="Y84" s="186">
        <f t="shared" si="105"/>
        <v>0.28168396899695325</v>
      </c>
      <c r="Z84" s="188">
        <f t="shared" si="105"/>
        <v>0.34444954773941416</v>
      </c>
      <c r="AA84" s="186">
        <f t="shared" si="105"/>
        <v>0.15851348767820742</v>
      </c>
      <c r="AB84" s="186">
        <f t="shared" si="105"/>
        <v>0.38083065688268275</v>
      </c>
      <c r="AC84" s="186">
        <f t="shared" si="105"/>
        <v>0.25461965449130153</v>
      </c>
      <c r="AD84" s="188">
        <f t="shared" si="105"/>
        <v>0.27142065217430733</v>
      </c>
      <c r="AE84" s="186">
        <f t="shared" si="105"/>
        <v>0.328785283473293</v>
      </c>
      <c r="AF84" s="186">
        <f t="shared" si="105"/>
        <v>0.26808672878406753</v>
      </c>
      <c r="AG84" s="186">
        <f t="shared" si="105"/>
        <v>0.28207042271887306</v>
      </c>
      <c r="AH84" s="188">
        <f t="shared" si="105"/>
        <v>0.34866639596128779</v>
      </c>
      <c r="AI84" s="186">
        <f t="shared" si="105"/>
        <v>0.31603077577241567</v>
      </c>
      <c r="AJ84" s="186">
        <f t="shared" si="105"/>
        <v>0.34560855333995688</v>
      </c>
      <c r="AK84" s="186">
        <f t="shared" si="105"/>
        <v>0.26885236024576803</v>
      </c>
      <c r="AL84" s="188">
        <f t="shared" si="105"/>
        <v>0.26300477971289488</v>
      </c>
      <c r="AM84" s="186">
        <f t="shared" si="105"/>
        <v>0.24287101613666606</v>
      </c>
      <c r="AN84" s="186">
        <f t="shared" si="105"/>
        <v>0.25933155841613947</v>
      </c>
      <c r="AO84" s="186">
        <f t="shared" si="105"/>
        <v>0.27900864557436744</v>
      </c>
      <c r="AP84" s="188">
        <f>IF(ISERROR(AP12/AP$7)," ",AP12/AP$7)</f>
        <v>0.32757671318368847</v>
      </c>
      <c r="AQ84" s="186">
        <f>IF(ISERROR(AQ12/AQ$7)," ",AQ12/AQ$7)</f>
        <v>0.28105864577246087</v>
      </c>
      <c r="AR84" s="186">
        <f>IF(ISERROR(AR12/AR$7)," ",AR12/AR$7)</f>
        <v>0.2870395732043981</v>
      </c>
      <c r="AS84" s="186">
        <f t="shared" si="105"/>
        <v>0.28061388450731495</v>
      </c>
      <c r="AT84" s="188">
        <f>IF(ISERROR(AT12/AT$7)," ",AT12/AT$7)</f>
        <v>0.24464560164730695</v>
      </c>
      <c r="AU84" s="186">
        <f>IF(ISERROR(AU12/AU$7)," ",AU12/AU$7)</f>
        <v>0.2494395891754134</v>
      </c>
      <c r="AV84" s="186">
        <f>IF(ISERROR(AV12/AV$7)," ",AV12/AV$7)</f>
        <v>0.25541331450041255</v>
      </c>
      <c r="AW84" s="186">
        <f t="shared" si="105"/>
        <v>0.24358595526578408</v>
      </c>
      <c r="AX84" s="188">
        <f>IF(ISERROR(AX12/AX$7)," ",AX12/AX$7)</f>
        <v>0.26797689478879461</v>
      </c>
      <c r="AY84" s="186">
        <f t="shared" si="105"/>
        <v>0.25109150935362318</v>
      </c>
      <c r="AZ84" s="186">
        <f t="shared" si="105"/>
        <v>0.23830450996910757</v>
      </c>
      <c r="BA84" s="186">
        <f t="shared" si="105"/>
        <v>0.24516122177037161</v>
      </c>
      <c r="BB84" s="188">
        <f t="shared" si="105"/>
        <v>0.28105322910731623</v>
      </c>
      <c r="BC84" s="186">
        <f t="shared" si="105"/>
        <v>0.26281083625739099</v>
      </c>
      <c r="BD84" s="186">
        <f>IF(ISERROR(BD12/BD$7)," ",BD12/BD$7)</f>
        <v>0.27276344382988715</v>
      </c>
      <c r="BE84" s="186">
        <f>IF(ISERROR(BE12/BE$7)," ",BE12/BE$7)</f>
        <v>0.29733988153217561</v>
      </c>
      <c r="BF84" s="188">
        <f>IF(ISERROR(BF12/BF$7)," ",BF12/BF$7)</f>
        <v>0.327620782283012</v>
      </c>
      <c r="BG84" s="186">
        <f>IF(ISERROR(BG12/BG$7)," ",BG12/BG$7)</f>
        <v>0.29549402180123735</v>
      </c>
      <c r="BH84" s="186">
        <f>IF(ISERROR(BH12/BH$7)," ",BH12/BH$7)</f>
        <v>0.31098480328082473</v>
      </c>
      <c r="BI84" s="186">
        <f t="shared" ref="BI84:BZ84" si="106">IF(ISERROR(BI12/BI$7)," ",BI12/BI$7)</f>
        <v>0.33544306492544296</v>
      </c>
      <c r="BJ84" s="188">
        <f t="shared" si="106"/>
        <v>0.35367208983836074</v>
      </c>
      <c r="BK84" s="186">
        <f t="shared" si="106"/>
        <v>0.32759084884494838</v>
      </c>
      <c r="BL84" s="186">
        <f t="shared" si="106"/>
        <v>0.33435702524996042</v>
      </c>
      <c r="BM84" s="186">
        <f t="shared" si="106"/>
        <v>0.33635040992883486</v>
      </c>
      <c r="BN84" s="188">
        <f t="shared" si="106"/>
        <v>0.35083034952754161</v>
      </c>
      <c r="BO84" s="186">
        <f t="shared" si="106"/>
        <v>0.36700998847074501</v>
      </c>
      <c r="BP84" s="186">
        <f t="shared" si="106"/>
        <v>0.41486885195222745</v>
      </c>
      <c r="BQ84" s="186">
        <f t="shared" si="106"/>
        <v>0.4286071191840829</v>
      </c>
      <c r="BR84" s="188">
        <f t="shared" si="106"/>
        <v>0.43639831649761757</v>
      </c>
      <c r="BS84" s="186">
        <f t="shared" si="106"/>
        <v>0.44338738821455753</v>
      </c>
      <c r="BT84" s="186">
        <f t="shared" si="106"/>
        <v>0.44521225909968509</v>
      </c>
      <c r="BU84" s="186">
        <f t="shared" si="106"/>
        <v>0.45507067370003268</v>
      </c>
      <c r="BV84" s="188">
        <f t="shared" si="106"/>
        <v>0.46008562356410765</v>
      </c>
      <c r="BW84" s="186">
        <f t="shared" si="106"/>
        <v>0.44712499373273334</v>
      </c>
      <c r="BX84" s="186">
        <f t="shared" si="106"/>
        <v>0.44921029409774121</v>
      </c>
      <c r="BY84" s="186">
        <f t="shared" si="106"/>
        <v>0.45722439007023674</v>
      </c>
      <c r="BZ84" s="188">
        <f t="shared" si="106"/>
        <v>0.46602934491315939</v>
      </c>
      <c r="CA84" s="186"/>
      <c r="CB84" s="186"/>
      <c r="CC84" s="174"/>
      <c r="CD84" s="174"/>
      <c r="CE84" s="174"/>
      <c r="CF84" s="174"/>
      <c r="CG84" s="174"/>
      <c r="CH84" s="174"/>
      <c r="CI84" s="174"/>
      <c r="CJ84" s="174"/>
      <c r="CK84" s="174"/>
      <c r="CL84" s="174"/>
      <c r="CM84" s="174"/>
      <c r="CN84" s="174"/>
      <c r="CO84" s="174"/>
      <c r="CP84" s="174"/>
      <c r="CQ84" s="174"/>
      <c r="CR84" s="174"/>
      <c r="CS84" s="174"/>
      <c r="CT84" s="174"/>
      <c r="CU84" s="174"/>
      <c r="CV84" s="174"/>
      <c r="CW84" s="174"/>
      <c r="CX84" s="174"/>
      <c r="CY84" s="174"/>
      <c r="CZ84" s="174"/>
      <c r="DA84" s="174"/>
      <c r="DB84" s="174"/>
      <c r="DC84" s="174"/>
      <c r="DD84" s="174"/>
      <c r="DE84" s="174"/>
      <c r="DF84" s="174"/>
      <c r="DG84" s="175"/>
      <c r="DH84" s="175"/>
      <c r="DI84" s="175"/>
      <c r="DJ84" s="175"/>
      <c r="DK84" s="175"/>
    </row>
    <row r="85" spans="1:115" x14ac:dyDescent="0.4">
      <c r="A85" s="179"/>
      <c r="B85" s="180" t="s">
        <v>113</v>
      </c>
      <c r="C85" s="175">
        <f t="shared" ref="C85:U85" si="107">IF(ISERROR(C20/C$7)," ",C20/C$7)</f>
        <v>0.37229444853766253</v>
      </c>
      <c r="D85" s="175">
        <f t="shared" si="107"/>
        <v>0.4034366990323297</v>
      </c>
      <c r="E85" s="175">
        <f t="shared" si="107"/>
        <v>0.37659967646993359</v>
      </c>
      <c r="F85" s="175">
        <f t="shared" si="107"/>
        <v>0.25780405118959066</v>
      </c>
      <c r="G85" s="175">
        <f t="shared" si="107"/>
        <v>1.6336081380524614E-2</v>
      </c>
      <c r="H85" s="175">
        <f t="shared" si="107"/>
        <v>-1.9921195978870071E-2</v>
      </c>
      <c r="I85" s="175">
        <f t="shared" si="107"/>
        <v>-3.0449510387442095E-2</v>
      </c>
      <c r="J85" s="175">
        <f t="shared" si="107"/>
        <v>-5.3503500577173714E-2</v>
      </c>
      <c r="K85" s="175">
        <f t="shared" si="107"/>
        <v>0.14729937488030584</v>
      </c>
      <c r="L85" s="175">
        <f t="shared" si="107"/>
        <v>0.14993447839885599</v>
      </c>
      <c r="M85" s="175">
        <f>IF(ISERROR(M20/M$7)," ",M20/M$7)</f>
        <v>0.12222927050658269</v>
      </c>
      <c r="N85" s="175">
        <f t="shared" si="107"/>
        <v>0.11169150022617166</v>
      </c>
      <c r="O85" s="175">
        <f t="shared" si="107"/>
        <v>0.11678287511470545</v>
      </c>
      <c r="P85" s="175">
        <f t="shared" si="107"/>
        <v>0.14506132710275893</v>
      </c>
      <c r="Q85" s="175">
        <f t="shared" si="107"/>
        <v>0.20411239008818652</v>
      </c>
      <c r="R85" s="175">
        <f t="shared" si="107"/>
        <v>0.24712152543878688</v>
      </c>
      <c r="S85" s="175">
        <f t="shared" si="107"/>
        <v>0.34072912518168391</v>
      </c>
      <c r="T85" s="175">
        <f t="shared" si="107"/>
        <v>0.39011257613172962</v>
      </c>
      <c r="U85" s="175">
        <f t="shared" si="107"/>
        <v>0.39673400230501543</v>
      </c>
      <c r="V85" s="8"/>
      <c r="W85" s="175">
        <f t="shared" ref="W85:BC85" si="108">IF(ISERROR(W20/W$7)," ",W20/W$7)</f>
        <v>4.8760228628647213E-2</v>
      </c>
      <c r="X85" s="175">
        <f t="shared" si="108"/>
        <v>-0.28039145984895963</v>
      </c>
      <c r="Y85" s="175">
        <f t="shared" si="108"/>
        <v>-0.19610946136550586</v>
      </c>
      <c r="Z85" s="181">
        <f t="shared" si="108"/>
        <v>0.14518101338945399</v>
      </c>
      <c r="AA85" s="175">
        <f t="shared" si="108"/>
        <v>-0.27244188367794042</v>
      </c>
      <c r="AB85" s="175">
        <f t="shared" si="108"/>
        <v>-2.5162391449405706E-2</v>
      </c>
      <c r="AC85" s="175">
        <f t="shared" si="108"/>
        <v>-6.2837297732522251E-2</v>
      </c>
      <c r="AD85" s="181">
        <f t="shared" si="108"/>
        <v>7.2496515342288181E-2</v>
      </c>
      <c r="AE85" s="175">
        <f t="shared" si="108"/>
        <v>-0.77003056180421825</v>
      </c>
      <c r="AF85" s="175">
        <f t="shared" si="108"/>
        <v>-2.0519861414359387E-2</v>
      </c>
      <c r="AG85" s="175">
        <f t="shared" si="108"/>
        <v>-8.1005940850257904E-2</v>
      </c>
      <c r="AH85" s="181">
        <f t="shared" si="108"/>
        <v>8.0893119676599734E-2</v>
      </c>
      <c r="AI85" s="175">
        <f t="shared" si="108"/>
        <v>-0.4297606328140775</v>
      </c>
      <c r="AJ85" s="175">
        <f t="shared" si="108"/>
        <v>0.12530169142230319</v>
      </c>
      <c r="AK85" s="175">
        <f t="shared" si="108"/>
        <v>0.15969816147773119</v>
      </c>
      <c r="AL85" s="181">
        <f t="shared" si="108"/>
        <v>0.14432972956954865</v>
      </c>
      <c r="AM85" s="175">
        <f t="shared" si="108"/>
        <v>0.13409143900714526</v>
      </c>
      <c r="AN85" s="175">
        <f t="shared" si="108"/>
        <v>0.14765623915354878</v>
      </c>
      <c r="AO85" s="175">
        <f t="shared" si="108"/>
        <v>0.15803205666900089</v>
      </c>
      <c r="AP85" s="181">
        <f>IF(ISERROR(AP20/AP$7)," ",AP20/AP$7)</f>
        <v>0.16488637573990078</v>
      </c>
      <c r="AQ85" s="175">
        <f>IF(ISERROR(AQ20/AQ$7)," ",AQ20/AQ$7)</f>
        <v>0.14080886459151493</v>
      </c>
      <c r="AR85" s="175">
        <f>IF(ISERROR(AR20/AR$7)," ",AR20/AR$7)</f>
        <v>0.13860427929916369</v>
      </c>
      <c r="AS85" s="175">
        <f t="shared" si="108"/>
        <v>0.1494802270593879</v>
      </c>
      <c r="AT85" s="181">
        <f>IF(ISERROR(AT20/AT$7)," ",AT20/AT$7)</f>
        <v>7.521664961944545E-2</v>
      </c>
      <c r="AU85" s="175">
        <f>IF(ISERROR(AU20/AU$7)," ",AU20/AU$7)</f>
        <v>0.11546701659654358</v>
      </c>
      <c r="AV85" s="175">
        <f>IF(ISERROR(AV20/AV$7)," ",AV20/AV$7)</f>
        <v>0.1567163700429007</v>
      </c>
      <c r="AW85" s="175">
        <f t="shared" si="108"/>
        <v>0.109816243383855</v>
      </c>
      <c r="AX85" s="181">
        <f>IF(ISERROR(AX20/AX$7)," ",AX20/AX$7)</f>
        <v>6.414443971507057E-2</v>
      </c>
      <c r="AY85" s="175">
        <f t="shared" si="108"/>
        <v>9.2664920449479743E-2</v>
      </c>
      <c r="AZ85" s="175">
        <f t="shared" si="108"/>
        <v>0.11139588132925161</v>
      </c>
      <c r="BA85" s="175">
        <f t="shared" si="108"/>
        <v>0.12311770870674309</v>
      </c>
      <c r="BB85" s="181">
        <f t="shared" si="108"/>
        <v>0.13048090115649635</v>
      </c>
      <c r="BC85" s="175">
        <f t="shared" si="108"/>
        <v>0.11168883444844227</v>
      </c>
      <c r="BD85" s="175">
        <f>IF(ISERROR(BD20/BD$7)," ",BD20/BD$7)</f>
        <v>0.11986160360348493</v>
      </c>
      <c r="BE85" s="175">
        <f>IF(ISERROR(BE20/BE$7)," ",BE20/BE$7)</f>
        <v>0.15149165698054373</v>
      </c>
      <c r="BF85" s="181">
        <f>IF(ISERROR(BF20/BF$7)," ",BF20/BF$7)</f>
        <v>0.18350614963899908</v>
      </c>
      <c r="BG85" s="175">
        <f>IF(ISERROR(BG20/BG$7)," ",BG20/BG$7)</f>
        <v>0.14641987950928337</v>
      </c>
      <c r="BH85" s="175">
        <f>IF(ISERROR(BH20/BH$7)," ",BH20/BH$7)</f>
        <v>0.17781795656179181</v>
      </c>
      <c r="BI85" s="175">
        <f t="shared" ref="BI85:BZ85" si="109">IF(ISERROR(BI20/BI$7)," ",BI20/BI$7)</f>
        <v>0.2379613824397627</v>
      </c>
      <c r="BJ85" s="181">
        <f t="shared" si="109"/>
        <v>0.22052597937982424</v>
      </c>
      <c r="BK85" s="175">
        <f t="shared" si="109"/>
        <v>0.23115357180312462</v>
      </c>
      <c r="BL85" s="175">
        <f t="shared" si="109"/>
        <v>0.25461540021309115</v>
      </c>
      <c r="BM85" s="175">
        <f t="shared" si="109"/>
        <v>0.26883200308857158</v>
      </c>
      <c r="BN85" s="181">
        <f t="shared" si="109"/>
        <v>0.23052032485733426</v>
      </c>
      <c r="BO85" s="175">
        <f t="shared" si="109"/>
        <v>0.29217592876380871</v>
      </c>
      <c r="BP85" s="175">
        <f t="shared" si="109"/>
        <v>0.35043961872427515</v>
      </c>
      <c r="BQ85" s="175">
        <f t="shared" si="109"/>
        <v>0.35896523074305636</v>
      </c>
      <c r="BR85" s="181">
        <f t="shared" si="109"/>
        <v>0.34737750690006663</v>
      </c>
      <c r="BS85" s="175">
        <f t="shared" si="109"/>
        <v>0.38548924724072614</v>
      </c>
      <c r="BT85" s="175">
        <f t="shared" si="109"/>
        <v>0.39056706314520029</v>
      </c>
      <c r="BU85" s="175">
        <f t="shared" si="109"/>
        <v>0.40072720790830141</v>
      </c>
      <c r="BV85" s="181">
        <f t="shared" si="109"/>
        <v>0.38342978553872104</v>
      </c>
      <c r="BW85" s="175">
        <f t="shared" si="109"/>
        <v>0.39299710044345509</v>
      </c>
      <c r="BX85" s="175">
        <f t="shared" si="109"/>
        <v>0.39879172356391362</v>
      </c>
      <c r="BY85" s="175">
        <f t="shared" si="109"/>
        <v>0.40556452681575844</v>
      </c>
      <c r="BZ85" s="181">
        <f t="shared" si="109"/>
        <v>0.3893478326571671</v>
      </c>
      <c r="CA85" s="175"/>
      <c r="CB85" s="175"/>
      <c r="CC85" s="174"/>
      <c r="CD85" s="174"/>
      <c r="CE85" s="174"/>
      <c r="CF85" s="174"/>
      <c r="CG85" s="174"/>
      <c r="CH85" s="174"/>
      <c r="CI85" s="174"/>
      <c r="CJ85" s="174"/>
      <c r="CK85" s="174"/>
      <c r="CL85" s="174"/>
      <c r="CM85" s="174"/>
      <c r="CN85" s="174"/>
      <c r="CO85" s="174"/>
      <c r="CP85" s="174"/>
      <c r="CQ85" s="174"/>
      <c r="CR85" s="174"/>
      <c r="CS85" s="174"/>
      <c r="CT85" s="174"/>
      <c r="CU85" s="174"/>
      <c r="CV85" s="174"/>
      <c r="CW85" s="174"/>
      <c r="CX85" s="174"/>
      <c r="CY85" s="174"/>
      <c r="CZ85" s="174"/>
      <c r="DA85" s="174"/>
      <c r="DB85" s="174"/>
      <c r="DC85" s="174"/>
      <c r="DD85" s="174"/>
      <c r="DE85" s="174"/>
      <c r="DF85" s="174"/>
      <c r="DG85" s="175"/>
      <c r="DH85" s="175"/>
      <c r="DI85" s="175"/>
      <c r="DJ85" s="175"/>
      <c r="DK85" s="175"/>
    </row>
    <row r="86" spans="1:115" x14ac:dyDescent="0.4">
      <c r="A86" s="179"/>
      <c r="B86" s="180" t="s">
        <v>114</v>
      </c>
      <c r="C86" s="175">
        <f t="shared" ref="C86:U86" si="110">IF(ISERROR(C48/C$7)," ",C48/C$7)</f>
        <v>0.39499405196763337</v>
      </c>
      <c r="D86" s="175">
        <f t="shared" si="110"/>
        <v>0.43780434473307778</v>
      </c>
      <c r="E86" s="175">
        <f t="shared" si="110"/>
        <v>0.4195443078448543</v>
      </c>
      <c r="F86" s="175">
        <f t="shared" si="110"/>
        <v>0.34037393751209366</v>
      </c>
      <c r="G86" s="175">
        <f t="shared" si="110"/>
        <v>0.24119202764641157</v>
      </c>
      <c r="H86" s="175">
        <f t="shared" si="110"/>
        <v>0.18992500074797974</v>
      </c>
      <c r="I86" s="175">
        <f t="shared" si="110"/>
        <v>0.1950936831633685</v>
      </c>
      <c r="J86" s="175">
        <f t="shared" si="110"/>
        <v>0.18257965471254445</v>
      </c>
      <c r="K86" s="175">
        <f t="shared" si="110"/>
        <v>0.19029829835025841</v>
      </c>
      <c r="L86" s="175">
        <f t="shared" si="110"/>
        <v>0.18897710089889666</v>
      </c>
      <c r="M86" s="175">
        <f>IF(ISERROR(M48/M$7)," ",M48/M$7)</f>
        <v>0.17294531537801477</v>
      </c>
      <c r="N86" s="175">
        <f t="shared" si="110"/>
        <v>0.15864885450913982</v>
      </c>
      <c r="O86" s="175">
        <f t="shared" si="110"/>
        <v>0.16960974354265546</v>
      </c>
      <c r="P86" s="175">
        <f t="shared" si="110"/>
        <v>0.19118766704048562</v>
      </c>
      <c r="Q86" s="175">
        <f t="shared" si="110"/>
        <v>0.24796943805187213</v>
      </c>
      <c r="R86" s="175">
        <f t="shared" si="110"/>
        <v>0.27408788500410741</v>
      </c>
      <c r="S86" s="175">
        <f t="shared" si="110"/>
        <v>0.36158532530756893</v>
      </c>
      <c r="T86" s="175">
        <f t="shared" si="110"/>
        <v>0.40927325212117022</v>
      </c>
      <c r="U86" s="175">
        <f t="shared" si="110"/>
        <v>0.41538574671780731</v>
      </c>
      <c r="V86" s="189"/>
      <c r="W86" s="175">
        <f t="shared" ref="W86:AO86" si="111">IF(ISERROR(W48/W$7)," ",W48/W$7)</f>
        <v>0.20755305107428071</v>
      </c>
      <c r="X86" s="175">
        <f t="shared" si="111"/>
        <v>2.6872972695281303E-2</v>
      </c>
      <c r="Y86" s="175">
        <f t="shared" si="111"/>
        <v>9.4836897248235144E-2</v>
      </c>
      <c r="Z86" s="181">
        <f t="shared" si="111"/>
        <v>0.30983335567899867</v>
      </c>
      <c r="AA86" s="175">
        <f t="shared" si="111"/>
        <v>7.6639006371956225E-2</v>
      </c>
      <c r="AB86" s="175">
        <f t="shared" si="111"/>
        <v>0.25522850645183393</v>
      </c>
      <c r="AC86" s="175">
        <f t="shared" si="111"/>
        <v>0.20398963244507862</v>
      </c>
      <c r="AD86" s="181">
        <f t="shared" si="111"/>
        <v>0.20666634816504542</v>
      </c>
      <c r="AE86" s="175">
        <f t="shared" si="111"/>
        <v>-0.23809341097373532</v>
      </c>
      <c r="AF86" s="175">
        <f t="shared" si="111"/>
        <v>9.794558852659685E-2</v>
      </c>
      <c r="AG86" s="175">
        <f t="shared" si="111"/>
        <v>0.30603199642499729</v>
      </c>
      <c r="AH86" s="181">
        <f t="shared" si="111"/>
        <v>0.28595952269642222</v>
      </c>
      <c r="AI86" s="175">
        <f t="shared" si="111"/>
        <v>0.11178139800199</v>
      </c>
      <c r="AJ86" s="175">
        <f t="shared" si="111"/>
        <v>0.26608878697864902</v>
      </c>
      <c r="AK86" s="175">
        <f t="shared" si="111"/>
        <v>0.19972929176230797</v>
      </c>
      <c r="AL86" s="181">
        <f t="shared" si="111"/>
        <v>0.17947126624075591</v>
      </c>
      <c r="AM86" s="175">
        <f t="shared" si="111"/>
        <v>0.16790277672501988</v>
      </c>
      <c r="AN86" s="175">
        <f t="shared" si="111"/>
        <v>0.1807955007753651</v>
      </c>
      <c r="AO86" s="175">
        <f t="shared" si="111"/>
        <v>0.19678255730422112</v>
      </c>
      <c r="AP86" s="181">
        <f>IF(ISERROR(AP48/AP$7)," ",AP48/AP$7)</f>
        <v>0.2208590270937664</v>
      </c>
      <c r="AQ86" s="175">
        <f>IF(ISERROR(AQ48/AQ$7)," ",AQ48/AQ$7)</f>
        <v>0.20563164085961835</v>
      </c>
      <c r="AR86" s="175">
        <f>IF(ISERROR(AR48/AR$7)," ",AR48/AR$7)</f>
        <v>0.18755565950506206</v>
      </c>
      <c r="AS86" s="175">
        <f t="shared" ref="AS86:BC86" si="112">IF(ISERROR(AS20/AS$7)," ",AS20/AS$7)</f>
        <v>0.1494802270593879</v>
      </c>
      <c r="AT86" s="181">
        <f>IF(ISERROR(AT20/AT$7)," ",AT20/AT$7)</f>
        <v>7.521664961944545E-2</v>
      </c>
      <c r="AU86" s="175">
        <f>IF(ISERROR(AU20/AU$7)," ",AU20/AU$7)</f>
        <v>0.11546701659654358</v>
      </c>
      <c r="AV86" s="175">
        <f>IF(ISERROR(AV20/AV$7)," ",AV20/AV$7)</f>
        <v>0.1567163700429007</v>
      </c>
      <c r="AW86" s="175">
        <f t="shared" si="112"/>
        <v>0.109816243383855</v>
      </c>
      <c r="AX86" s="181">
        <f>IF(ISERROR(AX20/AX$7)," ",AX20/AX$7)</f>
        <v>6.414443971507057E-2</v>
      </c>
      <c r="AY86" s="175">
        <f t="shared" si="112"/>
        <v>9.2664920449479743E-2</v>
      </c>
      <c r="AZ86" s="175">
        <f t="shared" si="112"/>
        <v>0.11139588132925161</v>
      </c>
      <c r="BA86" s="175">
        <f t="shared" si="112"/>
        <v>0.12311770870674309</v>
      </c>
      <c r="BB86" s="181">
        <f t="shared" si="112"/>
        <v>0.13048090115649635</v>
      </c>
      <c r="BC86" s="175">
        <f t="shared" si="112"/>
        <v>0.11168883444844227</v>
      </c>
      <c r="BD86" s="175">
        <f>IF(ISERROR(BD20/BD$7)," ",BD20/BD$7)</f>
        <v>0.11986160360348493</v>
      </c>
      <c r="BE86" s="175">
        <f>IF(ISERROR(BE20/BE$7)," ",BE20/BE$7)</f>
        <v>0.15149165698054373</v>
      </c>
      <c r="BF86" s="181">
        <f>IF(ISERROR(BF20/BF$7)," ",BF20/BF$7)</f>
        <v>0.18350614963899908</v>
      </c>
      <c r="BG86" s="175">
        <f>IF(ISERROR(BG20/BG$7)," ",BG20/BG$7)</f>
        <v>0.14641987950928337</v>
      </c>
      <c r="BH86" s="175">
        <f>IF(ISERROR(BH20/BH$7)," ",BH20/BH$7)</f>
        <v>0.17781795656179181</v>
      </c>
      <c r="BI86" s="175">
        <f t="shared" ref="BI86:BZ86" si="113">IF(ISERROR(BI20/BI$7)," ",BI20/BI$7)</f>
        <v>0.2379613824397627</v>
      </c>
      <c r="BJ86" s="181">
        <f t="shared" si="113"/>
        <v>0.22052597937982424</v>
      </c>
      <c r="BK86" s="175">
        <f t="shared" si="113"/>
        <v>0.23115357180312462</v>
      </c>
      <c r="BL86" s="175">
        <f t="shared" si="113"/>
        <v>0.25461540021309115</v>
      </c>
      <c r="BM86" s="175">
        <f t="shared" si="113"/>
        <v>0.26883200308857158</v>
      </c>
      <c r="BN86" s="181">
        <f t="shared" si="113"/>
        <v>0.23052032485733426</v>
      </c>
      <c r="BO86" s="175">
        <f t="shared" si="113"/>
        <v>0.29217592876380871</v>
      </c>
      <c r="BP86" s="175">
        <f t="shared" si="113"/>
        <v>0.35043961872427515</v>
      </c>
      <c r="BQ86" s="175">
        <f t="shared" si="113"/>
        <v>0.35896523074305636</v>
      </c>
      <c r="BR86" s="181">
        <f t="shared" si="113"/>
        <v>0.34737750690006663</v>
      </c>
      <c r="BS86" s="175">
        <f t="shared" si="113"/>
        <v>0.38548924724072614</v>
      </c>
      <c r="BT86" s="175">
        <f t="shared" si="113"/>
        <v>0.39056706314520029</v>
      </c>
      <c r="BU86" s="175">
        <f t="shared" si="113"/>
        <v>0.40072720790830141</v>
      </c>
      <c r="BV86" s="181">
        <f t="shared" si="113"/>
        <v>0.38342978553872104</v>
      </c>
      <c r="BW86" s="175">
        <f t="shared" si="113"/>
        <v>0.39299710044345509</v>
      </c>
      <c r="BX86" s="175">
        <f t="shared" si="113"/>
        <v>0.39879172356391362</v>
      </c>
      <c r="BY86" s="175">
        <f t="shared" si="113"/>
        <v>0.40556452681575844</v>
      </c>
      <c r="BZ86" s="181">
        <f t="shared" si="113"/>
        <v>0.3893478326571671</v>
      </c>
      <c r="CA86" s="175"/>
      <c r="CB86" s="175"/>
      <c r="CC86" s="174"/>
      <c r="CD86" s="174"/>
      <c r="CE86" s="174"/>
      <c r="CF86" s="174"/>
      <c r="CG86" s="174"/>
      <c r="CH86" s="174"/>
      <c r="CI86" s="174"/>
      <c r="CJ86" s="174"/>
      <c r="CK86" s="174"/>
      <c r="CL86" s="174"/>
      <c r="CM86" s="174"/>
      <c r="CN86" s="174"/>
      <c r="CO86" s="174"/>
      <c r="CP86" s="174"/>
      <c r="CQ86" s="174"/>
      <c r="CR86" s="174"/>
      <c r="CS86" s="174"/>
      <c r="CT86" s="174"/>
      <c r="CU86" s="174"/>
      <c r="CV86" s="174"/>
      <c r="CW86" s="174"/>
      <c r="CX86" s="174"/>
      <c r="CY86" s="174"/>
      <c r="CZ86" s="174"/>
      <c r="DA86" s="174"/>
      <c r="DB86" s="174"/>
      <c r="DC86" s="174"/>
      <c r="DD86" s="174"/>
      <c r="DE86" s="174"/>
      <c r="DF86" s="174"/>
      <c r="DG86" s="175"/>
      <c r="DH86" s="175"/>
      <c r="DI86" s="175"/>
      <c r="DJ86" s="175"/>
      <c r="DK86" s="175"/>
    </row>
    <row r="87" spans="1:115" x14ac:dyDescent="0.4">
      <c r="A87" s="179"/>
      <c r="B87" s="180" t="s">
        <v>115</v>
      </c>
      <c r="C87" s="175">
        <f t="shared" ref="C87:U87" si="114">IF(ISERROR(C45/C$7)," ",C45/C$7)</f>
        <v>0.37229444853766253</v>
      </c>
      <c r="D87" s="175">
        <f t="shared" si="114"/>
        <v>0.4034366990323297</v>
      </c>
      <c r="E87" s="175">
        <f t="shared" si="114"/>
        <v>0.37659967646993359</v>
      </c>
      <c r="F87" s="175">
        <f t="shared" si="114"/>
        <v>0.25780405118959066</v>
      </c>
      <c r="G87" s="175">
        <f t="shared" si="114"/>
        <v>1.6336081380524614E-2</v>
      </c>
      <c r="H87" s="175">
        <f t="shared" si="114"/>
        <v>-1.9921195978870071E-2</v>
      </c>
      <c r="I87" s="175">
        <f t="shared" si="114"/>
        <v>-3.0449510387442095E-2</v>
      </c>
      <c r="J87" s="175">
        <f t="shared" si="114"/>
        <v>-5.3503500577173714E-2</v>
      </c>
      <c r="K87" s="175">
        <f t="shared" si="114"/>
        <v>0.14729937488030584</v>
      </c>
      <c r="L87" s="175">
        <f t="shared" si="114"/>
        <v>0.14993447839885599</v>
      </c>
      <c r="M87" s="175">
        <f>IF(ISERROR(M45/M$7)," ",M45/M$7)</f>
        <v>0.12222927050658269</v>
      </c>
      <c r="N87" s="175">
        <f t="shared" si="114"/>
        <v>0.11169150022617166</v>
      </c>
      <c r="O87" s="175">
        <f t="shared" si="114"/>
        <v>0.11678287511470545</v>
      </c>
      <c r="P87" s="175">
        <f t="shared" si="114"/>
        <v>0.14506132710275893</v>
      </c>
      <c r="Q87" s="175">
        <f t="shared" si="114"/>
        <v>0.20411239008818652</v>
      </c>
      <c r="R87" s="175">
        <f t="shared" si="114"/>
        <v>0.24712152543878688</v>
      </c>
      <c r="S87" s="175">
        <f t="shared" si="114"/>
        <v>0.34072912518168391</v>
      </c>
      <c r="T87" s="175">
        <f t="shared" si="114"/>
        <v>0.39011257613172962</v>
      </c>
      <c r="U87" s="175">
        <f t="shared" si="114"/>
        <v>0.39673400230501543</v>
      </c>
      <c r="V87" s="189"/>
      <c r="W87" s="175">
        <f t="shared" ref="W87:BC87" si="115">IF(ISERROR(W45/W$7)," ",W45/W$7)</f>
        <v>4.8760228628647213E-2</v>
      </c>
      <c r="X87" s="175">
        <f t="shared" si="115"/>
        <v>-0.28039145984895963</v>
      </c>
      <c r="Y87" s="175">
        <f t="shared" si="115"/>
        <v>-0.19610946136550586</v>
      </c>
      <c r="Z87" s="181">
        <f t="shared" si="115"/>
        <v>0.14518101338945399</v>
      </c>
      <c r="AA87" s="175">
        <f t="shared" si="115"/>
        <v>-0.27244188367794042</v>
      </c>
      <c r="AB87" s="175">
        <f t="shared" si="115"/>
        <v>-2.5162391449405706E-2</v>
      </c>
      <c r="AC87" s="175">
        <f t="shared" si="115"/>
        <v>-6.2837297732522251E-2</v>
      </c>
      <c r="AD87" s="181">
        <f t="shared" si="115"/>
        <v>7.2496515342288181E-2</v>
      </c>
      <c r="AE87" s="175">
        <f t="shared" si="115"/>
        <v>-0.77003056180421825</v>
      </c>
      <c r="AF87" s="175">
        <f t="shared" si="115"/>
        <v>-2.0519861414359387E-2</v>
      </c>
      <c r="AG87" s="175">
        <f t="shared" si="115"/>
        <v>-8.1005940850257904E-2</v>
      </c>
      <c r="AH87" s="181">
        <f t="shared" si="115"/>
        <v>8.0893119676599734E-2</v>
      </c>
      <c r="AI87" s="175">
        <f t="shared" si="115"/>
        <v>-0.4297606328140775</v>
      </c>
      <c r="AJ87" s="175">
        <f t="shared" si="115"/>
        <v>0.12530169142230319</v>
      </c>
      <c r="AK87" s="175">
        <f t="shared" si="115"/>
        <v>0.15969816147773119</v>
      </c>
      <c r="AL87" s="181">
        <f t="shared" si="115"/>
        <v>0.14432972956954865</v>
      </c>
      <c r="AM87" s="175">
        <f t="shared" si="115"/>
        <v>0.13409143900714526</v>
      </c>
      <c r="AN87" s="175">
        <f t="shared" si="115"/>
        <v>0.14765623915354878</v>
      </c>
      <c r="AO87" s="175">
        <f t="shared" si="115"/>
        <v>0.15803205666900089</v>
      </c>
      <c r="AP87" s="181">
        <f>IF(ISERROR(AP45/AP$7)," ",AP45/AP$7)</f>
        <v>0.16488637573990078</v>
      </c>
      <c r="AQ87" s="175">
        <f>IF(ISERROR(AQ45/AQ$7)," ",AQ45/AQ$7)</f>
        <v>0.14080886459151493</v>
      </c>
      <c r="AR87" s="175">
        <f>IF(ISERROR(AR45/AR$7)," ",AR45/AR$7)</f>
        <v>0.13860427929916369</v>
      </c>
      <c r="AS87" s="175">
        <f t="shared" si="115"/>
        <v>0.1494802270593879</v>
      </c>
      <c r="AT87" s="181">
        <f>IF(ISERROR(AT45/AT$7)," ",AT45/AT$7)</f>
        <v>7.521664961944545E-2</v>
      </c>
      <c r="AU87" s="175">
        <f>IF(ISERROR(AU45/AU$7)," ",AU45/AU$7)</f>
        <v>0.11546701659654358</v>
      </c>
      <c r="AV87" s="175">
        <f>IF(ISERROR(AV45/AV$7)," ",AV45/AV$7)</f>
        <v>0.1567163700429007</v>
      </c>
      <c r="AW87" s="175">
        <f t="shared" si="115"/>
        <v>0.109816243383855</v>
      </c>
      <c r="AX87" s="181">
        <f>IF(ISERROR(AX45/AX$7)," ",AX45/AX$7)</f>
        <v>6.414443971507057E-2</v>
      </c>
      <c r="AY87" s="175">
        <f t="shared" si="115"/>
        <v>9.2664920449479743E-2</v>
      </c>
      <c r="AZ87" s="175">
        <f t="shared" si="115"/>
        <v>0.11139588132925161</v>
      </c>
      <c r="BA87" s="175">
        <f t="shared" si="115"/>
        <v>0.12311770870674309</v>
      </c>
      <c r="BB87" s="181">
        <f t="shared" si="115"/>
        <v>0.13048090115649635</v>
      </c>
      <c r="BC87" s="175">
        <f t="shared" si="115"/>
        <v>0.11168883444844227</v>
      </c>
      <c r="BD87" s="175">
        <f>IF(ISERROR(BD45/BD$7)," ",BD45/BD$7)</f>
        <v>0.11986160360348493</v>
      </c>
      <c r="BE87" s="175">
        <f>IF(ISERROR(BE45/BE$7)," ",BE45/BE$7)</f>
        <v>0.15149165698054373</v>
      </c>
      <c r="BF87" s="181">
        <f>IF(ISERROR(BF45/BF$7)," ",BF45/BF$7)</f>
        <v>0.18350614963899908</v>
      </c>
      <c r="BG87" s="175">
        <f>IF(ISERROR(BG45/BG$7)," ",BG45/BG$7)</f>
        <v>0.14641987950928337</v>
      </c>
      <c r="BH87" s="175">
        <f>IF(ISERROR(BH45/BH$7)," ",BH45/BH$7)</f>
        <v>0.17781795656179181</v>
      </c>
      <c r="BI87" s="175">
        <f t="shared" ref="BI87:BZ87" si="116">IF(ISERROR(BI45/BI$7)," ",BI45/BI$7)</f>
        <v>0.2379613824397627</v>
      </c>
      <c r="BJ87" s="181">
        <f t="shared" si="116"/>
        <v>0.22052597937982424</v>
      </c>
      <c r="BK87" s="175">
        <f t="shared" si="116"/>
        <v>0.23115357180312462</v>
      </c>
      <c r="BL87" s="175">
        <f t="shared" si="116"/>
        <v>0.25461540021309115</v>
      </c>
      <c r="BM87" s="175">
        <f t="shared" si="116"/>
        <v>0.26883200308857158</v>
      </c>
      <c r="BN87" s="181">
        <f t="shared" si="116"/>
        <v>0.23052032485733426</v>
      </c>
      <c r="BO87" s="175">
        <f t="shared" si="116"/>
        <v>0.29217592876380871</v>
      </c>
      <c r="BP87" s="175">
        <f t="shared" si="116"/>
        <v>0.35043961872427515</v>
      </c>
      <c r="BQ87" s="175">
        <f t="shared" si="116"/>
        <v>0.35896523074305636</v>
      </c>
      <c r="BR87" s="181">
        <f t="shared" si="116"/>
        <v>0.34737750690006663</v>
      </c>
      <c r="BS87" s="175">
        <f t="shared" si="116"/>
        <v>0.38548924724072614</v>
      </c>
      <c r="BT87" s="175">
        <f t="shared" si="116"/>
        <v>0.39056706314520029</v>
      </c>
      <c r="BU87" s="175">
        <f t="shared" si="116"/>
        <v>0.40072720790830141</v>
      </c>
      <c r="BV87" s="181">
        <f t="shared" si="116"/>
        <v>0.38342978553872104</v>
      </c>
      <c r="BW87" s="175">
        <f t="shared" si="116"/>
        <v>0.39299710044345509</v>
      </c>
      <c r="BX87" s="175">
        <f t="shared" si="116"/>
        <v>0.39879172356391362</v>
      </c>
      <c r="BY87" s="175">
        <f t="shared" si="116"/>
        <v>0.40556452681575844</v>
      </c>
      <c r="BZ87" s="181">
        <f t="shared" si="116"/>
        <v>0.3893478326571671</v>
      </c>
      <c r="CA87" s="175"/>
      <c r="CB87" s="175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5"/>
      <c r="DH87" s="175"/>
      <c r="DI87" s="175"/>
      <c r="DJ87" s="175"/>
      <c r="DK87" s="175"/>
    </row>
    <row r="88" spans="1:115" x14ac:dyDescent="0.4">
      <c r="A88" s="179"/>
      <c r="B88" s="180" t="s">
        <v>116</v>
      </c>
      <c r="C88" s="175">
        <f t="shared" ref="C88:U88" si="117">IF(ISERROR(C33/C$7)," ",C33/C$7)</f>
        <v>0.39205877901712138</v>
      </c>
      <c r="D88" s="175">
        <f t="shared" si="117"/>
        <v>0.39609307312664011</v>
      </c>
      <c r="E88" s="175">
        <f t="shared" si="117"/>
        <v>0.36833039655452959</v>
      </c>
      <c r="F88" s="175">
        <f t="shared" si="117"/>
        <v>0.28836659913963542</v>
      </c>
      <c r="G88" s="175">
        <f t="shared" si="117"/>
        <v>0.17908795766046404</v>
      </c>
      <c r="H88" s="175">
        <f t="shared" si="117"/>
        <v>5.3587057679670494E-2</v>
      </c>
      <c r="I88" s="175">
        <f t="shared" si="117"/>
        <v>5.2081795571373053E-2</v>
      </c>
      <c r="J88" s="175">
        <f t="shared" si="117"/>
        <v>8.2896441743888535E-2</v>
      </c>
      <c r="K88" s="175">
        <f t="shared" si="117"/>
        <v>8.735067125870126E-2</v>
      </c>
      <c r="L88" s="175">
        <f t="shared" si="117"/>
        <v>0.13477698325140822</v>
      </c>
      <c r="M88" s="175">
        <f>IF(ISERROR(M33/M$7)," ",M33/M$7)</f>
        <v>0.12120973517322689</v>
      </c>
      <c r="N88" s="175">
        <f t="shared" si="117"/>
        <v>0.1400023511180232</v>
      </c>
      <c r="O88" s="175">
        <f t="shared" si="117"/>
        <v>0.12473876809836391</v>
      </c>
      <c r="P88" s="175">
        <f t="shared" si="117"/>
        <v>0.14017631759750587</v>
      </c>
      <c r="Q88" s="175">
        <f t="shared" si="117"/>
        <v>0.2325496327053807</v>
      </c>
      <c r="R88" s="175">
        <f t="shared" si="117"/>
        <v>0.25364164143733259</v>
      </c>
      <c r="S88" s="175">
        <f t="shared" si="117"/>
        <v>0.34279302034793163</v>
      </c>
      <c r="T88" s="175">
        <f t="shared" si="117"/>
        <v>0.39135806341155988</v>
      </c>
      <c r="U88" s="175">
        <f t="shared" si="117"/>
        <v>0.39862544245019638</v>
      </c>
      <c r="V88" s="189"/>
      <c r="W88" s="175">
        <f t="shared" ref="W88:BC88" si="118">IF(ISERROR(W33/W$7)," ",W33/W$7)</f>
        <v>0.14220752463227279</v>
      </c>
      <c r="X88" s="175">
        <f t="shared" si="118"/>
        <v>-0.430353559264463</v>
      </c>
      <c r="Y88" s="175">
        <f t="shared" si="118"/>
        <v>0.21568545071681128</v>
      </c>
      <c r="Z88" s="181">
        <f t="shared" si="118"/>
        <v>0.12202066117345997</v>
      </c>
      <c r="AA88" s="175">
        <f t="shared" si="118"/>
        <v>-0.19977360739134883</v>
      </c>
      <c r="AB88" s="175">
        <f t="shared" si="118"/>
        <v>-5.3230296758457168E-2</v>
      </c>
      <c r="AC88" s="175">
        <f t="shared" si="118"/>
        <v>-1.0121501360789173E-2</v>
      </c>
      <c r="AD88" s="181">
        <f t="shared" si="118"/>
        <v>0.22433943504538845</v>
      </c>
      <c r="AE88" s="175">
        <f t="shared" si="118"/>
        <v>-0.62925076000646007</v>
      </c>
      <c r="AF88" s="175">
        <f t="shared" si="118"/>
        <v>0.27581200737608064</v>
      </c>
      <c r="AG88" s="175">
        <f t="shared" si="118"/>
        <v>-6.2859201819638624E-2</v>
      </c>
      <c r="AH88" s="181">
        <f t="shared" si="118"/>
        <v>0.12764081558716073</v>
      </c>
      <c r="AI88" s="175">
        <f t="shared" si="118"/>
        <v>-0.30083452644964448</v>
      </c>
      <c r="AJ88" s="175">
        <f t="shared" si="118"/>
        <v>0.15641683478409121</v>
      </c>
      <c r="AK88" s="175">
        <f t="shared" si="118"/>
        <v>0.13547909384729295</v>
      </c>
      <c r="AL88" s="181">
        <f t="shared" si="118"/>
        <v>4.6566420524307726E-2</v>
      </c>
      <c r="AM88" s="175">
        <f t="shared" si="118"/>
        <v>0.12054483601349114</v>
      </c>
      <c r="AN88" s="175">
        <f t="shared" si="118"/>
        <v>0.13888885956766645</v>
      </c>
      <c r="AO88" s="175">
        <f t="shared" si="118"/>
        <v>0.13308365341932313</v>
      </c>
      <c r="AP88" s="181">
        <f>IF(ISERROR(AP33/AP$7)," ",AP33/AP$7)</f>
        <v>0.15194513968107479</v>
      </c>
      <c r="AQ88" s="175">
        <f>IF(ISERROR(AQ33/AQ$7)," ",AQ33/AQ$7)</f>
        <v>0.13366217880833767</v>
      </c>
      <c r="AR88" s="175">
        <f>IF(ISERROR(AR33/AR$7)," ",AR33/AR$7)</f>
        <v>9.9296215731958667E-2</v>
      </c>
      <c r="AS88" s="175">
        <f t="shared" si="118"/>
        <v>0.1257021602930333</v>
      </c>
      <c r="AT88" s="181">
        <f>IF(ISERROR(AT33/AT$7)," ",AT33/AT$7)</f>
        <v>0.12724616307370831</v>
      </c>
      <c r="AU88" s="175">
        <f>IF(ISERROR(AU33/AU$7)," ",AU33/AU$7)</f>
        <v>0.12911644489253862</v>
      </c>
      <c r="AV88" s="175">
        <f>IF(ISERROR(AV33/AV$7)," ",AV33/AV$7)</f>
        <v>0.13435339464780077</v>
      </c>
      <c r="AW88" s="175">
        <f t="shared" si="118"/>
        <v>0.13714962532902725</v>
      </c>
      <c r="AX88" s="181">
        <f>IF(ISERROR(AX33/AX$7)," ",AX33/AX$7)</f>
        <v>0.15673331470181248</v>
      </c>
      <c r="AY88" s="175">
        <f t="shared" si="118"/>
        <v>0.10003550385524057</v>
      </c>
      <c r="AZ88" s="175">
        <f t="shared" si="118"/>
        <v>0.12198400593985714</v>
      </c>
      <c r="BA88" s="175">
        <f t="shared" si="118"/>
        <v>0.11961716854705295</v>
      </c>
      <c r="BB88" s="181">
        <f t="shared" si="118"/>
        <v>0.14654579539113044</v>
      </c>
      <c r="BC88" s="175">
        <f t="shared" si="118"/>
        <v>0.11168184555075893</v>
      </c>
      <c r="BD88" s="175">
        <f>IF(ISERROR(BD33/BD$7)," ",BD33/BD$7)</f>
        <v>0.13537716647338113</v>
      </c>
      <c r="BE88" s="175">
        <f>IF(ISERROR(BE33/BE$7)," ",BE33/BE$7)</f>
        <v>0.15533286052589157</v>
      </c>
      <c r="BF88" s="181">
        <f>IF(ISERROR(BF33/BF$7)," ",BF33/BF$7)</f>
        <v>0.15093490337605694</v>
      </c>
      <c r="BG88" s="175">
        <f>IF(ISERROR(BG33/BG$7)," ",BG33/BG$7)</f>
        <v>0.14701698436661356</v>
      </c>
      <c r="BH88" s="175">
        <f>IF(ISERROR(BH33/BH$7)," ",BH33/BH$7)</f>
        <v>0.20500112973150861</v>
      </c>
      <c r="BI88" s="175">
        <f t="shared" ref="BI88:BZ88" si="119">IF(ISERROR(BI33/BI$7)," ",BI33/BI$7)</f>
        <v>0.24938373240007702</v>
      </c>
      <c r="BJ88" s="181">
        <f t="shared" si="119"/>
        <v>0.27753298386332909</v>
      </c>
      <c r="BK88" s="175">
        <f t="shared" si="119"/>
        <v>0.24270987440702738</v>
      </c>
      <c r="BL88" s="175">
        <f t="shared" si="119"/>
        <v>0.26094217151214605</v>
      </c>
      <c r="BM88" s="175">
        <f t="shared" si="119"/>
        <v>0.25838721039279722</v>
      </c>
      <c r="BN88" s="181">
        <f t="shared" si="119"/>
        <v>0.25036548447771428</v>
      </c>
      <c r="BO88" s="175">
        <f t="shared" si="119"/>
        <v>0.29813161709570329</v>
      </c>
      <c r="BP88" s="175">
        <f t="shared" si="119"/>
        <v>0.35630212097812758</v>
      </c>
      <c r="BQ88" s="175">
        <f t="shared" si="119"/>
        <v>0.35854616021595359</v>
      </c>
      <c r="BR88" s="181">
        <f t="shared" si="119"/>
        <v>0.34635023267957138</v>
      </c>
      <c r="BS88" s="175">
        <f t="shared" si="119"/>
        <v>0.38780020646264918</v>
      </c>
      <c r="BT88" s="175">
        <f t="shared" si="119"/>
        <v>0.39264028385592897</v>
      </c>
      <c r="BU88" s="175">
        <f t="shared" si="119"/>
        <v>0.4026099114231515</v>
      </c>
      <c r="BV88" s="181">
        <f t="shared" si="119"/>
        <v>0.38259802813811811</v>
      </c>
      <c r="BW88" s="175">
        <f t="shared" si="119"/>
        <v>0.39599775507331969</v>
      </c>
      <c r="BX88" s="175">
        <f t="shared" si="119"/>
        <v>0.4014362444304459</v>
      </c>
      <c r="BY88" s="175">
        <f t="shared" si="119"/>
        <v>0.40804126425963105</v>
      </c>
      <c r="BZ88" s="181">
        <f t="shared" si="119"/>
        <v>0.38910906024152397</v>
      </c>
      <c r="CA88" s="175"/>
      <c r="CB88" s="175"/>
      <c r="CC88" s="174"/>
      <c r="CD88" s="174"/>
      <c r="CE88" s="174"/>
      <c r="CF88" s="174"/>
      <c r="CG88" s="174"/>
      <c r="CH88" s="174"/>
      <c r="CI88" s="174"/>
      <c r="CJ88" s="174"/>
      <c r="CK88" s="174"/>
      <c r="CL88" s="174"/>
      <c r="CM88" s="174"/>
      <c r="CN88" s="174"/>
      <c r="CO88" s="174"/>
      <c r="CP88" s="174"/>
      <c r="CQ88" s="174"/>
      <c r="CR88" s="174"/>
      <c r="CS88" s="174"/>
      <c r="CT88" s="174"/>
      <c r="CU88" s="174"/>
      <c r="CV88" s="174"/>
      <c r="CW88" s="174"/>
      <c r="CX88" s="174"/>
      <c r="CY88" s="174"/>
      <c r="CZ88" s="174"/>
      <c r="DA88" s="174"/>
      <c r="DB88" s="174"/>
      <c r="DC88" s="174"/>
      <c r="DD88" s="174"/>
      <c r="DE88" s="174"/>
      <c r="DF88" s="174"/>
      <c r="DG88" s="175"/>
      <c r="DH88" s="175"/>
      <c r="DI88" s="175"/>
      <c r="DJ88" s="175"/>
      <c r="DK88" s="175"/>
    </row>
    <row r="89" spans="1:115" x14ac:dyDescent="0.4">
      <c r="A89" s="179"/>
      <c r="B89" s="180" t="s">
        <v>117</v>
      </c>
      <c r="C89" s="175">
        <f>+C36/C33</f>
        <v>0.11741576884830598</v>
      </c>
      <c r="D89" s="175">
        <f>+D36/D33</f>
        <v>0.14345851191700379</v>
      </c>
      <c r="E89" s="175">
        <f>+E36/E33</f>
        <v>0.14218533700198158</v>
      </c>
      <c r="F89" s="175">
        <f t="shared" ref="F89:U89" si="120">IF(F36/F33 &lt; 0, 0%, F36/F33)</f>
        <v>0.14461223355236205</v>
      </c>
      <c r="G89" s="175">
        <f t="shared" si="120"/>
        <v>0.12158887832289275</v>
      </c>
      <c r="H89" s="175">
        <f t="shared" si="120"/>
        <v>7.9667262181140175E-2</v>
      </c>
      <c r="I89" s="175">
        <f t="shared" si="120"/>
        <v>0.12317698066901871</v>
      </c>
      <c r="J89" s="175">
        <f t="shared" si="120"/>
        <v>7.8520841319774895E-2</v>
      </c>
      <c r="K89" s="175">
        <f t="shared" si="120"/>
        <v>0.21558501287196929</v>
      </c>
      <c r="L89" s="175">
        <f t="shared" si="120"/>
        <v>0.10336893554492579</v>
      </c>
      <c r="M89" s="175">
        <f>IF(M36/M33 &lt; 0, 0%, M36/M33)</f>
        <v>0.109575371462364</v>
      </c>
      <c r="N89" s="175">
        <f t="shared" si="120"/>
        <v>0.1119954555651374</v>
      </c>
      <c r="O89" s="175">
        <f t="shared" si="120"/>
        <v>7.6484527943266975E-2</v>
      </c>
      <c r="P89" s="175">
        <f t="shared" si="120"/>
        <v>8.7205009338843023E-2</v>
      </c>
      <c r="Q89" s="175">
        <f t="shared" si="120"/>
        <v>0.114269762659627</v>
      </c>
      <c r="R89" s="175">
        <f t="shared" si="120"/>
        <v>0.11246084583495265</v>
      </c>
      <c r="S89" s="175">
        <f t="shared" si="120"/>
        <v>0.12440757582313158</v>
      </c>
      <c r="T89" s="175">
        <f t="shared" si="120"/>
        <v>0.12000000000000002</v>
      </c>
      <c r="U89" s="175">
        <f t="shared" si="120"/>
        <v>0.11999999999999998</v>
      </c>
      <c r="V89" s="189"/>
      <c r="W89" s="175">
        <f t="shared" ref="W89:AH89" si="121">+W36/W33</f>
        <v>0.15000000000000002</v>
      </c>
      <c r="X89" s="175">
        <f t="shared" si="121"/>
        <v>0.10562025981681851</v>
      </c>
      <c r="Y89" s="175">
        <f t="shared" si="121"/>
        <v>0.15000000010591841</v>
      </c>
      <c r="Z89" s="181">
        <f t="shared" si="121"/>
        <v>-3.3176652176524287E-3</v>
      </c>
      <c r="AA89" s="175">
        <f t="shared" si="121"/>
        <v>0</v>
      </c>
      <c r="AB89" s="175">
        <f t="shared" si="121"/>
        <v>0</v>
      </c>
      <c r="AC89" s="175">
        <f t="shared" si="121"/>
        <v>0</v>
      </c>
      <c r="AD89" s="181">
        <f t="shared" si="121"/>
        <v>6.6608446652040756E-2</v>
      </c>
      <c r="AE89" s="175">
        <f t="shared" si="121"/>
        <v>0</v>
      </c>
      <c r="AF89" s="175">
        <f t="shared" si="121"/>
        <v>7.573489807740659E-2</v>
      </c>
      <c r="AG89" s="175">
        <f t="shared" si="121"/>
        <v>0.28150506112028112</v>
      </c>
      <c r="AH89" s="181">
        <f t="shared" si="121"/>
        <v>5.5582479566864608E-2</v>
      </c>
      <c r="AI89" s="175">
        <f t="shared" ref="AI89:BP89" si="122">IF(AI36/AI33 &lt; 0, 0%, AI36/AI33)</f>
        <v>0</v>
      </c>
      <c r="AJ89" s="175">
        <f t="shared" si="122"/>
        <v>4.7091264621389253E-2</v>
      </c>
      <c r="AK89" s="175">
        <f t="shared" si="122"/>
        <v>0.15521215004971967</v>
      </c>
      <c r="AL89" s="181">
        <f t="shared" si="122"/>
        <v>0.37915901352540649</v>
      </c>
      <c r="AM89" s="175">
        <f t="shared" si="122"/>
        <v>0.12353440093915156</v>
      </c>
      <c r="AN89" s="175">
        <f t="shared" si="122"/>
        <v>0.14658706891294357</v>
      </c>
      <c r="AO89" s="175">
        <f t="shared" si="122"/>
        <v>0.10213831712120834</v>
      </c>
      <c r="AP89" s="181">
        <f t="shared" si="122"/>
        <v>2.233852363288133E-2</v>
      </c>
      <c r="AQ89" s="175">
        <f t="shared" si="122"/>
        <v>0.14987009373077076</v>
      </c>
      <c r="AR89" s="175">
        <f t="shared" si="122"/>
        <v>6.3621852090217285E-2</v>
      </c>
      <c r="AS89" s="175">
        <f t="shared" si="122"/>
        <v>4.0742699383519924E-2</v>
      </c>
      <c r="AT89" s="181">
        <f t="shared" si="122"/>
        <v>0.1702550517257094</v>
      </c>
      <c r="AU89" s="175">
        <f t="shared" si="122"/>
        <v>0.10254761853100185</v>
      </c>
      <c r="AV89" s="175">
        <f t="shared" si="122"/>
        <v>0.17567394387442378</v>
      </c>
      <c r="AW89" s="175">
        <f t="shared" si="122"/>
        <v>0.1141573942181304</v>
      </c>
      <c r="AX89" s="181">
        <f t="shared" si="122"/>
        <v>5.8811134980550656E-2</v>
      </c>
      <c r="AY89" s="175">
        <f t="shared" si="122"/>
        <v>8.3217586267844909E-2</v>
      </c>
      <c r="AZ89" s="175">
        <f t="shared" si="122"/>
        <v>5.593948748405226E-2</v>
      </c>
      <c r="BA89" s="175">
        <f t="shared" si="122"/>
        <v>8.9648405551634239E-2</v>
      </c>
      <c r="BB89" s="181">
        <f t="shared" si="122"/>
        <v>7.7628255498024185E-2</v>
      </c>
      <c r="BC89" s="175">
        <f t="shared" si="122"/>
        <v>7.7000071035507461E-2</v>
      </c>
      <c r="BD89" s="175">
        <f t="shared" si="122"/>
        <v>5.4096380999013857E-2</v>
      </c>
      <c r="BE89" s="175">
        <f t="shared" si="122"/>
        <v>0.11698269531063044</v>
      </c>
      <c r="BF89" s="181">
        <f t="shared" si="122"/>
        <v>8.6727548468806176E-2</v>
      </c>
      <c r="BG89" s="175">
        <f t="shared" si="122"/>
        <v>9.4432455845671559E-2</v>
      </c>
      <c r="BH89" s="175">
        <f t="shared" si="122"/>
        <v>9.3805176650878008E-2</v>
      </c>
      <c r="BI89" s="175">
        <f t="shared" si="122"/>
        <v>0.1186271991797679</v>
      </c>
      <c r="BJ89" s="181">
        <f t="shared" si="122"/>
        <v>0.12517369457651514</v>
      </c>
      <c r="BK89" s="175">
        <f t="shared" si="122"/>
        <v>0.12561239943141625</v>
      </c>
      <c r="BL89" s="175">
        <f t="shared" si="122"/>
        <v>0.11257350361107867</v>
      </c>
      <c r="BM89" s="175">
        <f t="shared" si="122"/>
        <v>0.12981022510519405</v>
      </c>
      <c r="BN89" s="181">
        <f t="shared" si="122"/>
        <v>8.5119471289689178E-2</v>
      </c>
      <c r="BO89" s="175">
        <f t="shared" si="122"/>
        <v>0.15040216644245596</v>
      </c>
      <c r="BP89" s="175">
        <f t="shared" si="122"/>
        <v>0.11738900832301327</v>
      </c>
      <c r="BQ89" s="182">
        <v>0.12</v>
      </c>
      <c r="BR89" s="183">
        <v>0.12</v>
      </c>
      <c r="BS89" s="182">
        <v>0.12</v>
      </c>
      <c r="BT89" s="182">
        <v>0.12</v>
      </c>
      <c r="BU89" s="182">
        <v>0.12</v>
      </c>
      <c r="BV89" s="183">
        <v>0.12</v>
      </c>
      <c r="BW89" s="182">
        <v>0.12</v>
      </c>
      <c r="BX89" s="182">
        <v>0.12</v>
      </c>
      <c r="BY89" s="182">
        <v>0.12</v>
      </c>
      <c r="BZ89" s="183">
        <v>0.12</v>
      </c>
      <c r="CA89" s="184"/>
      <c r="CB89" s="184"/>
      <c r="CC89" s="174"/>
      <c r="CD89" s="174"/>
      <c r="CE89" s="174"/>
      <c r="CF89" s="174"/>
      <c r="CG89" s="174"/>
      <c r="CH89" s="174"/>
      <c r="CI89" s="174"/>
      <c r="CJ89" s="174"/>
      <c r="CK89" s="174"/>
      <c r="CL89" s="174"/>
      <c r="CM89" s="174"/>
      <c r="CN89" s="174"/>
      <c r="CO89" s="174"/>
      <c r="CP89" s="174"/>
      <c r="CQ89" s="174"/>
      <c r="CR89" s="174"/>
      <c r="CS89" s="174"/>
      <c r="CT89" s="174"/>
      <c r="CU89" s="174"/>
      <c r="CV89" s="174"/>
      <c r="CW89" s="174"/>
      <c r="CX89" s="174"/>
      <c r="CY89" s="174"/>
      <c r="CZ89" s="174"/>
      <c r="DA89" s="174"/>
      <c r="DB89" s="174"/>
      <c r="DC89" s="174"/>
      <c r="DD89" s="174"/>
      <c r="DE89" s="174"/>
      <c r="DF89" s="174"/>
      <c r="DG89" s="175"/>
      <c r="DH89" s="175"/>
      <c r="DI89" s="175"/>
      <c r="DJ89" s="175"/>
      <c r="DK89" s="175"/>
    </row>
    <row r="90" spans="1:115" x14ac:dyDescent="0.4">
      <c r="A90" s="179"/>
      <c r="B90" s="180" t="s">
        <v>118</v>
      </c>
      <c r="C90" s="175">
        <f t="shared" ref="C90:U90" si="123">IF(ISERROR(C40/C$7)," ",C40/C$7)</f>
        <v>0.34602489604509801</v>
      </c>
      <c r="D90" s="175">
        <f t="shared" si="123"/>
        <v>0.33927015027525942</v>
      </c>
      <c r="E90" s="175">
        <f t="shared" si="123"/>
        <v>0.3159592149923503</v>
      </c>
      <c r="F90" s="175">
        <f t="shared" si="123"/>
        <v>0.24666526115615411</v>
      </c>
      <c r="G90" s="175">
        <f t="shared" si="123"/>
        <v>0.15731285376739051</v>
      </c>
      <c r="H90" s="175">
        <f t="shared" si="123"/>
        <v>4.8453394670465028E-2</v>
      </c>
      <c r="I90" s="175">
        <f t="shared" si="123"/>
        <v>4.5666517245070259E-2</v>
      </c>
      <c r="J90" s="175">
        <f t="shared" si="123"/>
        <v>7.6387343395742699E-2</v>
      </c>
      <c r="K90" s="175">
        <f t="shared" si="123"/>
        <v>6.8519175671018992E-2</v>
      </c>
      <c r="L90" s="175">
        <f t="shared" si="123"/>
        <v>0.12084522995675386</v>
      </c>
      <c r="M90" s="175">
        <f>IF(ISERROR(M40/M$7)," ",M40/M$7)</f>
        <v>0.1079281334167658</v>
      </c>
      <c r="N90" s="175">
        <f t="shared" si="123"/>
        <v>0.12277076185560235</v>
      </c>
      <c r="O90" s="175">
        <f t="shared" si="123"/>
        <v>0.11396114284612568</v>
      </c>
      <c r="P90" s="175">
        <f t="shared" si="123"/>
        <v>0.12694637210968451</v>
      </c>
      <c r="Q90" s="175">
        <f t="shared" si="123"/>
        <v>0.20279258228493446</v>
      </c>
      <c r="R90" s="175">
        <f t="shared" si="123"/>
        <v>0.21672329850069377</v>
      </c>
      <c r="S90" s="175">
        <f t="shared" si="123"/>
        <v>0.28234377385264109</v>
      </c>
      <c r="T90" s="175">
        <f t="shared" si="123"/>
        <v>0.32680196889373075</v>
      </c>
      <c r="U90" s="175">
        <f t="shared" si="123"/>
        <v>0.33364989761020086</v>
      </c>
      <c r="V90" s="189"/>
      <c r="W90" s="175">
        <f t="shared" ref="W90:BN90" si="124">IF(ISERROR(W40/W$7)," ",W40/W$7)</f>
        <v>0.12087639593743189</v>
      </c>
      <c r="X90" s="175">
        <f t="shared" si="124"/>
        <v>-0.38489950452185784</v>
      </c>
      <c r="Y90" s="175">
        <f t="shared" si="124"/>
        <v>0.18333263308644454</v>
      </c>
      <c r="Z90" s="181">
        <f t="shared" si="124"/>
        <v>0.12242548487687012</v>
      </c>
      <c r="AA90" s="175">
        <f t="shared" si="124"/>
        <v>-0.19977360739134883</v>
      </c>
      <c r="AB90" s="175">
        <f t="shared" si="124"/>
        <v>-5.3230296758457168E-2</v>
      </c>
      <c r="AC90" s="175">
        <f t="shared" si="124"/>
        <v>-1.0121501360789173E-2</v>
      </c>
      <c r="AD90" s="181">
        <f t="shared" si="124"/>
        <v>0.20939653375421874</v>
      </c>
      <c r="AE90" s="175">
        <f t="shared" si="124"/>
        <v>-0.62925076000646007</v>
      </c>
      <c r="AF90" s="175">
        <f t="shared" si="124"/>
        <v>0.25492341310892824</v>
      </c>
      <c r="AG90" s="175">
        <f t="shared" si="124"/>
        <v>-4.5164018369429161E-2</v>
      </c>
      <c r="AH90" s="181">
        <f t="shared" si="124"/>
        <v>0.12054622256288944</v>
      </c>
      <c r="AI90" s="175">
        <f t="shared" si="124"/>
        <v>-0.30083452644964448</v>
      </c>
      <c r="AJ90" s="175">
        <f t="shared" si="124"/>
        <v>0.14905096822603345</v>
      </c>
      <c r="AK90" s="175">
        <f t="shared" si="124"/>
        <v>0.11445109240446685</v>
      </c>
      <c r="AL90" s="181">
        <f t="shared" si="124"/>
        <v>2.8910342454901965E-2</v>
      </c>
      <c r="AM90" s="175">
        <f t="shared" si="124"/>
        <v>0.10565340191025625</v>
      </c>
      <c r="AN90" s="175">
        <f t="shared" si="124"/>
        <v>0.11852954873898078</v>
      </c>
      <c r="AO90" s="175">
        <f t="shared" si="124"/>
        <v>0.11949071302273132</v>
      </c>
      <c r="AP90" s="181">
        <f>IF(ISERROR(AP40/AP$7)," ",AP40/AP$7)</f>
        <v>0.14855090958740769</v>
      </c>
      <c r="AQ90" s="175">
        <f>IF(ISERROR(AQ40/AQ$7)," ",AQ40/AQ$7)</f>
        <v>0.11363021554207309</v>
      </c>
      <c r="AR90" s="175">
        <f>IF(ISERROR(AR40/AR$7)," ",AR40/AR$7)</f>
        <v>9.2978806581541701E-2</v>
      </c>
      <c r="AS90" s="175">
        <f t="shared" si="124"/>
        <v>0.1205807149643552</v>
      </c>
      <c r="AT90" s="181">
        <f>IF(ISERROR(AT40/AT$7)," ",AT40/AT$7)</f>
        <v>0.10558186099769605</v>
      </c>
      <c r="AU90" s="175">
        <f>IF(ISERROR(AU40/AU$7)," ",AU40/AU$7)</f>
        <v>0.11587586095561947</v>
      </c>
      <c r="AV90" s="175">
        <f>IF(ISERROR(AV40/AV$7)," ",AV40/AV$7)</f>
        <v>0.11022617513320111</v>
      </c>
      <c r="AW90" s="175">
        <f t="shared" si="124"/>
        <v>0.1197563537580449</v>
      </c>
      <c r="AX90" s="181">
        <f>IF(ISERROR(AX40/AX$7)," ",AX40/AX$7)</f>
        <v>0.14397609536103051</v>
      </c>
      <c r="AY90" s="175">
        <f t="shared" si="124"/>
        <v>9.0415447996516546E-2</v>
      </c>
      <c r="AZ90" s="175">
        <f t="shared" si="124"/>
        <v>0.11376811082813593</v>
      </c>
      <c r="BA90" s="175">
        <f t="shared" si="124"/>
        <v>0.10832855872871275</v>
      </c>
      <c r="BB90" s="181">
        <f t="shared" si="124"/>
        <v>0.13351509239905715</v>
      </c>
      <c r="BC90" s="175">
        <f t="shared" si="124"/>
        <v>0.10409376887732255</v>
      </c>
      <c r="BD90" s="175">
        <f t="shared" si="124"/>
        <v>0.12837931845619943</v>
      </c>
      <c r="BE90" s="175">
        <f t="shared" si="124"/>
        <v>0.13669736525293169</v>
      </c>
      <c r="BF90" s="181">
        <f t="shared" si="124"/>
        <v>0.13378045149258058</v>
      </c>
      <c r="BG90" s="175">
        <f t="shared" si="124"/>
        <v>0.13603596473592736</v>
      </c>
      <c r="BH90" s="175">
        <f t="shared" si="124"/>
        <v>0.16791096660701443</v>
      </c>
      <c r="BI90" s="175">
        <f t="shared" si="124"/>
        <v>0.22539505082906738</v>
      </c>
      <c r="BJ90" s="181">
        <f t="shared" si="124"/>
        <v>0.23799692829067851</v>
      </c>
      <c r="BK90" s="175">
        <f t="shared" si="124"/>
        <v>0.2084164208487212</v>
      </c>
      <c r="BL90" s="175">
        <f t="shared" si="124"/>
        <v>0.22651847684225593</v>
      </c>
      <c r="BM90" s="175">
        <f t="shared" si="124"/>
        <v>0.2140369181281167</v>
      </c>
      <c r="BN90" s="181">
        <f t="shared" si="124"/>
        <v>0.21662939932984063</v>
      </c>
      <c r="BO90" s="175">
        <f>IF(ISERROR(BO40/BO$7)," ",BO40/BO$7)</f>
        <v>0.23716426014484152</v>
      </c>
      <c r="BP90" s="175">
        <f>IF(ISERROR(BP40/BP$7)," ",BP40/BP$7)</f>
        <v>0.29726056345001067</v>
      </c>
      <c r="BQ90" s="175">
        <f>IF(ISERROR(BQ40/BQ$7)," ",BQ40/BQ$7)</f>
        <v>0.29658938373063681</v>
      </c>
      <c r="BR90" s="181">
        <f>IF(ISERROR(BR40/BR$7)," ",BR40/BR$7)</f>
        <v>0.28650091247254145</v>
      </c>
      <c r="BS90" s="175">
        <f t="shared" ref="BS90:BZ90" si="125">IF(ISERROR(BS40/BS$7)," ",BS40/BS$7)</f>
        <v>0.32382028725685319</v>
      </c>
      <c r="BT90" s="175">
        <f t="shared" si="125"/>
        <v>0.32797501119556727</v>
      </c>
      <c r="BU90" s="175">
        <f t="shared" si="125"/>
        <v>0.33664976645756028</v>
      </c>
      <c r="BV90" s="181">
        <f t="shared" si="125"/>
        <v>0.31899343120652773</v>
      </c>
      <c r="BW90" s="175">
        <f t="shared" si="125"/>
        <v>0.33079882744222466</v>
      </c>
      <c r="BX90" s="175">
        <f t="shared" si="125"/>
        <v>0.33551701991501648</v>
      </c>
      <c r="BY90" s="175">
        <f t="shared" si="125"/>
        <v>0.342074328049423</v>
      </c>
      <c r="BZ90" s="181">
        <f t="shared" si="125"/>
        <v>0.3261197495190481</v>
      </c>
      <c r="CA90" s="175"/>
      <c r="CB90" s="175"/>
      <c r="CC90" s="174"/>
      <c r="CD90" s="174"/>
      <c r="CE90" s="174"/>
      <c r="CF90" s="174"/>
      <c r="CG90" s="174"/>
      <c r="CH90" s="174"/>
      <c r="CI90" s="174"/>
      <c r="CJ90" s="174"/>
      <c r="CK90" s="174"/>
      <c r="CL90" s="174"/>
      <c r="CM90" s="174"/>
      <c r="CN90" s="174"/>
      <c r="CO90" s="174"/>
      <c r="CP90" s="174"/>
      <c r="CQ90" s="174"/>
      <c r="CR90" s="174"/>
      <c r="CS90" s="174"/>
      <c r="CT90" s="174"/>
      <c r="CU90" s="174"/>
      <c r="CV90" s="174"/>
      <c r="CW90" s="174"/>
      <c r="CX90" s="174"/>
      <c r="CY90" s="174"/>
      <c r="CZ90" s="174"/>
      <c r="DA90" s="174"/>
      <c r="DB90" s="174"/>
      <c r="DC90" s="174"/>
      <c r="DD90" s="174"/>
      <c r="DE90" s="174"/>
      <c r="DF90" s="174"/>
      <c r="DG90" s="175"/>
      <c r="DH90" s="175"/>
      <c r="DI90" s="175"/>
      <c r="DJ90" s="175"/>
      <c r="DK90" s="175"/>
    </row>
    <row r="91" spans="1:115" x14ac:dyDescent="0.4">
      <c r="A91" s="69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8"/>
      <c r="W91" s="34"/>
      <c r="X91" s="34"/>
      <c r="Y91" s="34"/>
      <c r="Z91" s="190"/>
      <c r="AA91" s="34"/>
      <c r="AB91" s="34"/>
      <c r="AC91" s="34"/>
      <c r="AD91" s="190"/>
      <c r="AE91" s="34"/>
      <c r="AF91" s="34"/>
      <c r="AG91" s="34"/>
      <c r="AH91" s="190"/>
      <c r="AI91" s="34"/>
      <c r="AJ91" s="34"/>
      <c r="AK91" s="34"/>
      <c r="AL91" s="190"/>
      <c r="AM91" s="34"/>
      <c r="AN91" s="34"/>
      <c r="AO91" s="34"/>
      <c r="AP91" s="190"/>
      <c r="AQ91" s="34"/>
      <c r="AR91" s="34"/>
      <c r="AS91" s="50"/>
      <c r="AT91" s="51"/>
      <c r="AU91" s="50"/>
      <c r="AV91" s="50"/>
      <c r="AW91" s="50"/>
      <c r="AX91" s="51"/>
      <c r="AY91" s="50"/>
      <c r="AZ91" s="50"/>
      <c r="BA91" s="50"/>
      <c r="BB91" s="51"/>
      <c r="BC91" s="50"/>
      <c r="BD91" s="50"/>
      <c r="BE91" s="50"/>
      <c r="BF91" s="51"/>
      <c r="BG91" s="50"/>
      <c r="BH91" s="50"/>
      <c r="BI91" s="50"/>
      <c r="BJ91" s="51"/>
      <c r="BK91" s="50"/>
      <c r="BL91" s="50"/>
      <c r="BM91" s="50"/>
      <c r="BN91" s="51"/>
      <c r="BO91" s="50"/>
      <c r="BP91" s="50"/>
      <c r="BQ91" s="50"/>
      <c r="BR91" s="51"/>
      <c r="BS91" s="50"/>
      <c r="BT91" s="50"/>
      <c r="BU91" s="50"/>
      <c r="BV91" s="51"/>
      <c r="BW91" s="50"/>
      <c r="BX91" s="50"/>
      <c r="BY91" s="50"/>
      <c r="BZ91" s="51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</row>
    <row r="92" spans="1:115" x14ac:dyDescent="0.4">
      <c r="A92" s="29"/>
      <c r="B92" s="191" t="s">
        <v>119</v>
      </c>
      <c r="C92" s="191"/>
      <c r="D92" s="191"/>
      <c r="E92" s="191"/>
      <c r="F92" s="191"/>
      <c r="G92" s="191"/>
      <c r="H92" s="191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11"/>
      <c r="W92" s="23" t="str">
        <f t="shared" ref="W92:BB92" si="126">W4</f>
        <v>1Q14</v>
      </c>
      <c r="X92" s="23" t="str">
        <f t="shared" si="126"/>
        <v>2Q14</v>
      </c>
      <c r="Y92" s="23" t="str">
        <f t="shared" si="126"/>
        <v>3Q14</v>
      </c>
      <c r="Z92" s="24" t="str">
        <f t="shared" si="126"/>
        <v>4Q14</v>
      </c>
      <c r="AA92" s="23" t="str">
        <f t="shared" si="126"/>
        <v>1Q15</v>
      </c>
      <c r="AB92" s="23" t="str">
        <f t="shared" si="126"/>
        <v>2Q15</v>
      </c>
      <c r="AC92" s="23" t="str">
        <f t="shared" si="126"/>
        <v>3Q15</v>
      </c>
      <c r="AD92" s="24" t="str">
        <f t="shared" si="126"/>
        <v>4Q15</v>
      </c>
      <c r="AE92" s="23" t="str">
        <f t="shared" si="126"/>
        <v>1Q16</v>
      </c>
      <c r="AF92" s="23" t="str">
        <f t="shared" si="126"/>
        <v>2Q16</v>
      </c>
      <c r="AG92" s="23" t="str">
        <f t="shared" si="126"/>
        <v>3Q16</v>
      </c>
      <c r="AH92" s="24" t="str">
        <f t="shared" si="126"/>
        <v>4Q16</v>
      </c>
      <c r="AI92" s="23" t="str">
        <f t="shared" si="126"/>
        <v>1Q17</v>
      </c>
      <c r="AJ92" s="23" t="str">
        <f t="shared" si="126"/>
        <v>2Q17</v>
      </c>
      <c r="AK92" s="23" t="str">
        <f t="shared" si="126"/>
        <v>3Q17</v>
      </c>
      <c r="AL92" s="24" t="str">
        <f t="shared" si="126"/>
        <v>4Q17</v>
      </c>
      <c r="AM92" s="23" t="str">
        <f t="shared" si="126"/>
        <v>1Q18</v>
      </c>
      <c r="AN92" s="23" t="str">
        <f t="shared" si="126"/>
        <v>2Q18</v>
      </c>
      <c r="AO92" s="23" t="str">
        <f t="shared" si="126"/>
        <v>3Q18</v>
      </c>
      <c r="AP92" s="24" t="str">
        <f t="shared" si="126"/>
        <v>4Q18</v>
      </c>
      <c r="AQ92" s="23" t="str">
        <f t="shared" si="126"/>
        <v>1Q19</v>
      </c>
      <c r="AR92" s="23" t="str">
        <f t="shared" si="126"/>
        <v>2Q19</v>
      </c>
      <c r="AS92" s="19" t="str">
        <f t="shared" si="126"/>
        <v>3Q19</v>
      </c>
      <c r="AT92" s="22" t="str">
        <f t="shared" si="126"/>
        <v>4Q19</v>
      </c>
      <c r="AU92" s="19" t="str">
        <f t="shared" si="126"/>
        <v>1Q20</v>
      </c>
      <c r="AV92" s="19" t="str">
        <f t="shared" si="126"/>
        <v>2Q20</v>
      </c>
      <c r="AW92" s="19" t="str">
        <f t="shared" si="126"/>
        <v>3Q20</v>
      </c>
      <c r="AX92" s="22" t="str">
        <f t="shared" si="126"/>
        <v>4Q20</v>
      </c>
      <c r="AY92" s="19" t="str">
        <f t="shared" si="126"/>
        <v>1Q21</v>
      </c>
      <c r="AZ92" s="19" t="str">
        <f t="shared" si="126"/>
        <v>2Q21</v>
      </c>
      <c r="BA92" s="19" t="str">
        <f t="shared" si="126"/>
        <v>3Q21</v>
      </c>
      <c r="BB92" s="22" t="str">
        <f t="shared" si="126"/>
        <v>4Q21</v>
      </c>
      <c r="BC92" s="19"/>
      <c r="BD92" s="19"/>
      <c r="BE92" s="19"/>
      <c r="BF92" s="22"/>
      <c r="BG92" s="19"/>
      <c r="BH92" s="19"/>
      <c r="BI92" s="19"/>
      <c r="BJ92" s="22"/>
      <c r="BK92" s="19"/>
      <c r="BL92" s="19"/>
      <c r="BM92" s="19"/>
      <c r="BN92" s="22"/>
      <c r="BO92" s="19"/>
      <c r="BP92" s="19"/>
      <c r="BQ92" s="19"/>
      <c r="BR92" s="22"/>
      <c r="BS92" s="19"/>
      <c r="BT92" s="19"/>
      <c r="BU92" s="19"/>
      <c r="BV92" s="22"/>
      <c r="BW92" s="19"/>
      <c r="BX92" s="19"/>
      <c r="BY92" s="19"/>
      <c r="BZ92" s="19"/>
      <c r="CA92" s="21"/>
      <c r="CB92" s="21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</row>
    <row r="93" spans="1:115" x14ac:dyDescent="0.4">
      <c r="A93" s="69"/>
      <c r="B93" s="50" t="s">
        <v>106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>
        <f t="shared" ref="W93:AD93" si="127">W7/$I$7</f>
        <v>0.31596009907834777</v>
      </c>
      <c r="X93" s="34">
        <f t="shared" si="127"/>
        <v>0.16328670226297307</v>
      </c>
      <c r="Y93" s="34">
        <f t="shared" si="127"/>
        <v>0.18026997483650789</v>
      </c>
      <c r="Z93" s="190">
        <f t="shared" si="127"/>
        <v>0.31854325311595127</v>
      </c>
      <c r="AA93" s="34">
        <f t="shared" si="127"/>
        <v>0.15804324457216956</v>
      </c>
      <c r="AB93" s="34">
        <f t="shared" si="127"/>
        <v>0.19676058279558917</v>
      </c>
      <c r="AC93" s="34">
        <f t="shared" si="127"/>
        <v>0.21587671175259165</v>
      </c>
      <c r="AD93" s="190">
        <f t="shared" si="127"/>
        <v>0.42931946087964951</v>
      </c>
      <c r="AE93" s="34">
        <f>AE7/$J$7</f>
        <v>7.8447152977559262E-2</v>
      </c>
      <c r="AF93" s="34">
        <f>AF7/$J$7</f>
        <v>0.35224578192581735</v>
      </c>
      <c r="AG93" s="34">
        <f>AG7/$J$7</f>
        <v>0.19717091078061647</v>
      </c>
      <c r="AH93" s="190">
        <f>AH7/$J$7</f>
        <v>0.37213615431600705</v>
      </c>
      <c r="AI93" s="34">
        <f>AI7/$K$7</f>
        <v>6.1790667593088853E-3</v>
      </c>
      <c r="AJ93" s="34">
        <f>AJ7/$K$7</f>
        <v>2.3767976377103154E-2</v>
      </c>
      <c r="AK93" s="34">
        <f>AK7/$K$7</f>
        <v>0.45347801185084702</v>
      </c>
      <c r="AL93" s="190">
        <f>AL7/$K$7</f>
        <v>0.51657494501274093</v>
      </c>
      <c r="AM93" s="34">
        <f t="shared" ref="AM93:AR93" si="128">AM7/$L$7</f>
        <v>0.27123990522678543</v>
      </c>
      <c r="AN93" s="34">
        <f t="shared" si="128"/>
        <v>0.27674074766197226</v>
      </c>
      <c r="AO93" s="34">
        <f t="shared" si="128"/>
        <v>0.26710176751692893</v>
      </c>
      <c r="AP93" s="190">
        <f t="shared" si="128"/>
        <v>0.18491757959431343</v>
      </c>
      <c r="AQ93" s="34">
        <f t="shared" si="128"/>
        <v>0.16982030111240506</v>
      </c>
      <c r="AR93" s="34">
        <f t="shared" si="128"/>
        <v>0.22488075593555912</v>
      </c>
      <c r="AS93" s="192">
        <f>AS7/$M$7</f>
        <v>0.26246235371621568</v>
      </c>
      <c r="AT93" s="193">
        <f>AT7/$M$7</f>
        <v>0.30976529625423921</v>
      </c>
      <c r="AU93" s="192">
        <f>AU7/$M$7</f>
        <v>0.27872644450468947</v>
      </c>
      <c r="AV93" s="192">
        <f>AV7/$N$7</f>
        <v>0.27215561984041614</v>
      </c>
      <c r="AW93" s="192">
        <f>AW7/$N$7</f>
        <v>0.27804589916887684</v>
      </c>
      <c r="AX93" s="193">
        <f>AX7/$N$7</f>
        <v>0.26168961547886543</v>
      </c>
      <c r="AY93" s="192">
        <f>AY7/$O$7</f>
        <v>0.19125159237000483</v>
      </c>
      <c r="AZ93" s="192">
        <f>AZ7/$O$7</f>
        <v>0.23729667440363658</v>
      </c>
      <c r="BA93" s="192">
        <f>BA7/$O$7</f>
        <v>0.2630445682120941</v>
      </c>
      <c r="BB93" s="193">
        <f>BB7/$O$7</f>
        <v>0.30840716501426457</v>
      </c>
      <c r="BC93" s="192"/>
      <c r="BD93" s="192"/>
      <c r="BE93" s="192"/>
      <c r="BF93" s="193"/>
      <c r="BG93" s="192"/>
      <c r="BH93" s="192"/>
      <c r="BI93" s="192"/>
      <c r="BJ93" s="193"/>
      <c r="BK93" s="192"/>
      <c r="BL93" s="192"/>
      <c r="BM93" s="192"/>
      <c r="BN93" s="193"/>
      <c r="BO93" s="192"/>
      <c r="BP93" s="192"/>
      <c r="BQ93" s="192"/>
      <c r="BR93" s="193"/>
      <c r="BS93" s="192"/>
      <c r="BT93" s="192"/>
      <c r="BU93" s="192"/>
      <c r="BV93" s="192"/>
      <c r="BW93" s="192"/>
      <c r="BX93" s="192"/>
      <c r="BY93" s="192"/>
      <c r="BZ93" s="192"/>
      <c r="CA93" s="90"/>
      <c r="CB93" s="9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</row>
    <row r="94" spans="1:115" x14ac:dyDescent="0.4">
      <c r="A94" s="69"/>
      <c r="B94" s="50" t="s">
        <v>108</v>
      </c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>
        <f t="shared" ref="W94:AD94" si="129">W40/$I$40</f>
        <v>0.83632648909190566</v>
      </c>
      <c r="X94" s="34">
        <f t="shared" si="129"/>
        <v>-1.3762593380779671</v>
      </c>
      <c r="Y94" s="34">
        <f t="shared" si="129"/>
        <v>0.72371118156096748</v>
      </c>
      <c r="Z94" s="190">
        <f t="shared" si="129"/>
        <v>0.85396948507575876</v>
      </c>
      <c r="AA94" s="34">
        <f t="shared" si="129"/>
        <v>-0.69137895764152779</v>
      </c>
      <c r="AB94" s="34">
        <f t="shared" si="129"/>
        <v>-0.22935018574701646</v>
      </c>
      <c r="AC94" s="34">
        <f t="shared" si="129"/>
        <v>-4.7846793746952991E-2</v>
      </c>
      <c r="AD94" s="190">
        <f t="shared" si="129"/>
        <v>1.9685759371354972</v>
      </c>
      <c r="AE94" s="34">
        <f>AE40/$J$40</f>
        <v>-0.64621871159644695</v>
      </c>
      <c r="AF94" s="34">
        <f>AF40/$J$40</f>
        <v>1.1755310891824677</v>
      </c>
      <c r="AG94" s="34">
        <f>AG40/$J$40</f>
        <v>-0.11657730509461788</v>
      </c>
      <c r="AH94" s="190">
        <f>AH40/$J$40</f>
        <v>0.58726492750859727</v>
      </c>
      <c r="AI94" s="34">
        <f>AI40/$K$40</f>
        <v>-2.7129290512227545E-2</v>
      </c>
      <c r="AJ94" s="34">
        <f>AJ40/$K$40</f>
        <v>5.1702897139188991E-2</v>
      </c>
      <c r="AK94" s="34">
        <f>AK40/$K$40</f>
        <v>0.75746757501765138</v>
      </c>
      <c r="AL94" s="190">
        <f>AL40/$K$40</f>
        <v>0.21795881835538716</v>
      </c>
      <c r="AM94" s="34">
        <f>AM40/$L$40</f>
        <v>0.23714149686570857</v>
      </c>
      <c r="AN94" s="34">
        <f>AN40/$L$40</f>
        <v>0.27143773858347869</v>
      </c>
      <c r="AO94" s="34">
        <f>AO40/$L$40</f>
        <v>0.26410790613457646</v>
      </c>
      <c r="AP94" s="190">
        <f>AP40/$L$40</f>
        <v>0.22731285841623639</v>
      </c>
      <c r="AQ94" s="34">
        <f>AQ40/$M$40</f>
        <v>0.19377296787008583</v>
      </c>
      <c r="AR94" s="34">
        <f>AR40/$M$40</f>
        <v>0.20996456861771584</v>
      </c>
      <c r="AS94" s="34">
        <f>AS40/$M$40</f>
        <v>0.29323122026135701</v>
      </c>
      <c r="AT94" s="190">
        <f>AT40/$M$40</f>
        <v>0.30303124325084141</v>
      </c>
      <c r="AU94" s="34">
        <f>AU40/$M$40</f>
        <v>0.29925160109423693</v>
      </c>
      <c r="AV94" s="192">
        <f>AV40/$N$40</f>
        <v>0.24434704617454236</v>
      </c>
      <c r="AW94" s="192">
        <f>AW40/$N$40</f>
        <v>0.27121899838827329</v>
      </c>
      <c r="AX94" s="193">
        <f>AX40/$N$40</f>
        <v>0.306889429239599</v>
      </c>
      <c r="AY94" s="192">
        <f>AY40/$O$40</f>
        <v>0.15173679354488001</v>
      </c>
      <c r="AZ94" s="192">
        <f>AZ40/$O$40</f>
        <v>0.23689473164684763</v>
      </c>
      <c r="BA94" s="192">
        <f>BA40/$O$40</f>
        <v>0.25004346432632735</v>
      </c>
      <c r="BB94" s="193">
        <f>BB40/$O$40</f>
        <v>0.36132501048194504</v>
      </c>
      <c r="BC94" s="192"/>
      <c r="BD94" s="192"/>
      <c r="BE94" s="192"/>
      <c r="BF94" s="193"/>
      <c r="BG94" s="192"/>
      <c r="BH94" s="192"/>
      <c r="BI94" s="192"/>
      <c r="BJ94" s="193"/>
      <c r="BK94" s="192"/>
      <c r="BL94" s="192"/>
      <c r="BM94" s="192"/>
      <c r="BN94" s="193"/>
      <c r="BO94" s="192"/>
      <c r="BP94" s="192"/>
      <c r="BQ94" s="192"/>
      <c r="BR94" s="193"/>
      <c r="BS94" s="192"/>
      <c r="BT94" s="192"/>
      <c r="BU94" s="192"/>
      <c r="BV94" s="192"/>
      <c r="BW94" s="192"/>
      <c r="BX94" s="192"/>
      <c r="BY94" s="192"/>
      <c r="BZ94" s="192"/>
      <c r="CA94" s="90"/>
      <c r="CB94" s="9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</row>
    <row r="95" spans="1:115" x14ac:dyDescent="0.4">
      <c r="A95" s="69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34"/>
      <c r="W95" s="50"/>
      <c r="X95" s="50"/>
      <c r="Y95" s="50"/>
      <c r="Z95" s="51"/>
      <c r="AA95" s="50"/>
      <c r="AB95" s="50"/>
      <c r="AC95" s="50"/>
      <c r="AD95" s="51"/>
      <c r="AE95" s="50"/>
      <c r="AF95" s="50"/>
      <c r="AG95" s="50"/>
      <c r="AH95" s="51"/>
      <c r="AI95" s="50"/>
      <c r="AJ95" s="50"/>
      <c r="AK95" s="50"/>
      <c r="AL95" s="51"/>
      <c r="AM95" s="50"/>
      <c r="AN95" s="50"/>
      <c r="AO95" s="50"/>
      <c r="AP95" s="51"/>
      <c r="AQ95" s="50"/>
      <c r="AR95" s="50"/>
      <c r="AS95" s="50"/>
      <c r="AT95" s="51"/>
      <c r="AU95" s="50"/>
      <c r="AV95" s="50"/>
      <c r="AW95" s="50"/>
      <c r="AX95" s="51"/>
      <c r="AY95" s="50"/>
      <c r="AZ95" s="50"/>
      <c r="BA95" s="50"/>
      <c r="BB95" s="51"/>
      <c r="BC95" s="50"/>
      <c r="BD95" s="50"/>
      <c r="BE95" s="50"/>
      <c r="BF95" s="51"/>
      <c r="BG95" s="50"/>
      <c r="BH95" s="50"/>
      <c r="BI95" s="50"/>
      <c r="BJ95" s="51"/>
      <c r="BK95" s="50"/>
      <c r="BL95" s="50"/>
      <c r="BM95" s="50"/>
      <c r="BN95" s="51"/>
      <c r="BO95" s="50"/>
      <c r="BP95" s="50"/>
      <c r="BQ95" s="50"/>
      <c r="BR95" s="51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</row>
    <row r="96" spans="1:115" x14ac:dyDescent="0.4">
      <c r="A96" s="29"/>
      <c r="B96" s="15" t="s">
        <v>120</v>
      </c>
      <c r="C96" s="23"/>
      <c r="D96" s="23"/>
      <c r="E96" s="23"/>
      <c r="F96" s="23"/>
      <c r="G96" s="23"/>
      <c r="H96" s="23"/>
      <c r="I96" s="23"/>
      <c r="J96" s="23"/>
      <c r="K96" s="23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11"/>
      <c r="W96" s="23"/>
      <c r="X96" s="23"/>
      <c r="Y96" s="23"/>
      <c r="Z96" s="24"/>
      <c r="AA96" s="23"/>
      <c r="AB96" s="23"/>
      <c r="AC96" s="23"/>
      <c r="AD96" s="24"/>
      <c r="AE96" s="23"/>
      <c r="AF96" s="23"/>
      <c r="AG96" s="23"/>
      <c r="AH96" s="24"/>
      <c r="AI96" s="23"/>
      <c r="AJ96" s="23"/>
      <c r="AK96" s="23"/>
      <c r="AL96" s="24"/>
      <c r="AM96" s="23"/>
      <c r="AN96" s="23"/>
      <c r="AO96" s="23"/>
      <c r="AP96" s="26"/>
      <c r="AQ96" s="25"/>
      <c r="AR96" s="25"/>
      <c r="AS96" s="25"/>
      <c r="AT96" s="26"/>
      <c r="AU96" s="25"/>
      <c r="AV96" s="25"/>
      <c r="AW96" s="25"/>
      <c r="AX96" s="26"/>
      <c r="AY96" s="25"/>
      <c r="AZ96" s="25"/>
      <c r="BA96" s="25"/>
      <c r="BB96" s="26"/>
      <c r="BC96" s="25"/>
      <c r="BD96" s="25"/>
      <c r="BE96" s="25"/>
      <c r="BF96" s="26"/>
      <c r="BG96" s="25"/>
      <c r="BH96" s="25"/>
      <c r="BI96" s="25"/>
      <c r="BJ96" s="26"/>
      <c r="BK96" s="25"/>
      <c r="BL96" s="25"/>
      <c r="BM96" s="25"/>
      <c r="BN96" s="26"/>
      <c r="BO96" s="25"/>
      <c r="BP96" s="25"/>
      <c r="BQ96" s="25"/>
      <c r="BR96" s="26"/>
      <c r="BS96" s="25"/>
      <c r="BT96" s="25"/>
      <c r="BU96" s="25"/>
      <c r="BV96" s="25"/>
      <c r="BW96" s="25"/>
      <c r="BX96" s="25"/>
      <c r="BY96" s="25"/>
      <c r="BZ96" s="25"/>
      <c r="CA96" s="27"/>
      <c r="CB96" s="27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</row>
    <row r="97" spans="1:115" x14ac:dyDescent="0.4">
      <c r="A97" s="69"/>
      <c r="B97" s="194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8"/>
      <c r="W97" s="50"/>
      <c r="X97" s="50"/>
      <c r="Y97" s="50"/>
      <c r="Z97" s="51"/>
      <c r="AA97" s="50"/>
      <c r="AB97" s="50"/>
      <c r="AC97" s="50"/>
      <c r="AD97" s="51"/>
      <c r="AE97" s="50"/>
      <c r="AF97" s="50"/>
      <c r="AG97" s="50"/>
      <c r="AH97" s="51"/>
      <c r="AI97" s="50"/>
      <c r="AJ97" s="50"/>
      <c r="AK97" s="50"/>
      <c r="AL97" s="51"/>
      <c r="AM97" s="50"/>
      <c r="AN97" s="50"/>
      <c r="AO97" s="50"/>
      <c r="AP97" s="51"/>
      <c r="AQ97" s="50"/>
      <c r="AR97" s="50"/>
      <c r="AS97" s="50"/>
      <c r="AT97" s="51"/>
      <c r="AU97" s="50"/>
      <c r="AV97" s="50"/>
      <c r="AW97" s="50"/>
      <c r="AX97" s="51"/>
      <c r="AY97" s="50"/>
      <c r="AZ97" s="50"/>
      <c r="BA97" s="50"/>
      <c r="BB97" s="51"/>
      <c r="BC97" s="50"/>
      <c r="BD97" s="50"/>
      <c r="BE97" s="50"/>
      <c r="BF97" s="51"/>
      <c r="BG97" s="50"/>
      <c r="BH97" s="50"/>
      <c r="BI97" s="50"/>
      <c r="BJ97" s="51"/>
      <c r="BK97" s="50"/>
      <c r="BL97" s="50"/>
      <c r="BM97" s="50"/>
      <c r="BN97" s="51"/>
      <c r="BO97" s="50"/>
      <c r="BP97" s="50"/>
      <c r="BQ97" s="50"/>
      <c r="BR97" s="51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</row>
    <row r="98" spans="1:115" x14ac:dyDescent="0.4">
      <c r="A98" s="69"/>
      <c r="B98" s="162" t="s">
        <v>121</v>
      </c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8"/>
      <c r="W98" s="50"/>
      <c r="X98" s="50"/>
      <c r="Y98" s="50"/>
      <c r="Z98" s="51"/>
      <c r="AA98" s="50"/>
      <c r="AB98" s="50"/>
      <c r="AC98" s="50"/>
      <c r="AD98" s="51"/>
      <c r="AE98" s="50"/>
      <c r="AF98" s="50"/>
      <c r="AG98" s="50"/>
      <c r="AH98" s="51"/>
      <c r="AI98" s="50"/>
      <c r="AJ98" s="50"/>
      <c r="AK98" s="50"/>
      <c r="AL98" s="51"/>
      <c r="AM98" s="50"/>
      <c r="AN98" s="50"/>
      <c r="AO98" s="50"/>
      <c r="AP98" s="51"/>
      <c r="AQ98" s="50"/>
      <c r="AR98" s="50"/>
      <c r="AS98" s="50"/>
      <c r="AT98" s="51"/>
      <c r="AU98" s="50"/>
      <c r="AV98" s="50"/>
      <c r="AW98" s="50"/>
      <c r="AX98" s="51"/>
      <c r="AY98" s="50"/>
      <c r="AZ98" s="50"/>
      <c r="BA98" s="50"/>
      <c r="BB98" s="51"/>
      <c r="BC98" s="50"/>
      <c r="BD98" s="50"/>
      <c r="BE98" s="50"/>
      <c r="BF98" s="51"/>
      <c r="BG98" s="50"/>
      <c r="BH98" s="50"/>
      <c r="BI98" s="50"/>
      <c r="BJ98" s="51"/>
      <c r="BK98" s="50"/>
      <c r="BL98" s="50"/>
      <c r="BM98" s="50"/>
      <c r="BN98" s="51"/>
      <c r="BO98" s="50"/>
      <c r="BP98" s="50"/>
      <c r="BQ98" s="50"/>
      <c r="BR98" s="51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</row>
    <row r="99" spans="1:115" x14ac:dyDescent="0.4">
      <c r="A99" s="41"/>
      <c r="B99" s="50" t="s">
        <v>122</v>
      </c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8"/>
      <c r="W99" s="50"/>
      <c r="X99" s="50"/>
      <c r="Y99" s="50"/>
      <c r="Z99" s="51"/>
      <c r="AA99" s="50"/>
      <c r="AB99" s="50"/>
      <c r="AC99" s="50"/>
      <c r="AD99" s="51"/>
      <c r="AE99" s="50"/>
      <c r="AF99" s="50"/>
      <c r="AG99" s="50"/>
      <c r="AH99" s="51"/>
      <c r="AI99" s="50"/>
      <c r="AJ99" s="50"/>
      <c r="AK99" s="50"/>
      <c r="AL99" s="51"/>
      <c r="AM99" s="50"/>
      <c r="AN99" s="50"/>
      <c r="AO99" s="50"/>
      <c r="AP99" s="54"/>
      <c r="AQ99" s="52"/>
      <c r="AR99" s="52"/>
      <c r="AS99" s="52"/>
      <c r="AT99" s="54"/>
      <c r="AU99" s="52"/>
      <c r="AV99" s="52"/>
      <c r="AW99" s="52"/>
      <c r="AX99" s="54"/>
      <c r="AY99" s="52"/>
      <c r="AZ99" s="52"/>
      <c r="BA99" s="52"/>
      <c r="BB99" s="54"/>
      <c r="BC99" s="52"/>
      <c r="BD99" s="52"/>
      <c r="BE99" s="52"/>
      <c r="BF99" s="54"/>
      <c r="BG99" s="52"/>
      <c r="BH99" s="52"/>
      <c r="BI99" s="52"/>
      <c r="BJ99" s="54"/>
      <c r="BK99" s="52"/>
      <c r="BL99" s="52"/>
      <c r="BM99" s="52"/>
      <c r="BN99" s="54"/>
      <c r="BO99" s="52"/>
      <c r="BP99" s="52"/>
      <c r="BQ99" s="52"/>
      <c r="BR99" s="54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</row>
    <row r="100" spans="1:115" x14ac:dyDescent="0.4">
      <c r="A100" s="69"/>
      <c r="B100" s="195" t="s">
        <v>123</v>
      </c>
      <c r="C100" s="175"/>
      <c r="D100" s="175"/>
      <c r="E100" s="175"/>
      <c r="F100" s="175"/>
      <c r="G100" s="175"/>
      <c r="H100" s="175"/>
      <c r="I100" s="175"/>
      <c r="J100" s="175"/>
      <c r="K100" s="175"/>
      <c r="L100" s="184"/>
      <c r="M100" s="184"/>
      <c r="N100" s="196"/>
      <c r="O100" s="196"/>
      <c r="P100" s="196"/>
      <c r="Q100" s="196"/>
      <c r="R100" s="196"/>
      <c r="S100" s="196"/>
      <c r="T100" s="196"/>
      <c r="U100" s="196"/>
      <c r="V100" s="8"/>
      <c r="W100" s="175"/>
      <c r="X100" s="175"/>
      <c r="Y100" s="175"/>
      <c r="Z100" s="181"/>
      <c r="AA100" s="175"/>
      <c r="AB100" s="175"/>
      <c r="AC100" s="175"/>
      <c r="AD100" s="181"/>
      <c r="AE100" s="175"/>
      <c r="AF100" s="175"/>
      <c r="AG100" s="175"/>
      <c r="AH100" s="181"/>
      <c r="AI100" s="175"/>
      <c r="AJ100" s="175"/>
      <c r="AK100" s="175"/>
      <c r="AL100" s="181"/>
      <c r="AM100" s="175"/>
      <c r="AN100" s="175"/>
      <c r="AO100" s="175"/>
      <c r="AP100" s="197"/>
      <c r="AQ100" s="198"/>
      <c r="AR100" s="198"/>
      <c r="AS100" s="198"/>
      <c r="AT100" s="197"/>
      <c r="AU100" s="198"/>
      <c r="AV100" s="198"/>
      <c r="AW100" s="198"/>
      <c r="AX100" s="197"/>
      <c r="AY100" s="198"/>
      <c r="AZ100" s="198"/>
      <c r="BA100" s="198"/>
      <c r="BB100" s="197"/>
      <c r="BC100" s="198"/>
      <c r="BD100" s="198"/>
      <c r="BE100" s="198"/>
      <c r="BF100" s="197"/>
      <c r="BG100" s="198"/>
      <c r="BH100" s="198"/>
      <c r="BI100" s="198"/>
      <c r="BJ100" s="197"/>
      <c r="BK100" s="198"/>
      <c r="BL100" s="198"/>
      <c r="BM100" s="198"/>
      <c r="BN100" s="197"/>
      <c r="BO100" s="198"/>
      <c r="BP100" s="198"/>
      <c r="BQ100" s="198"/>
      <c r="BR100" s="197"/>
      <c r="BS100" s="198"/>
      <c r="BT100" s="198"/>
      <c r="BU100" s="198"/>
      <c r="BV100" s="198"/>
      <c r="BW100" s="198"/>
      <c r="BX100" s="198"/>
      <c r="BY100" s="198"/>
      <c r="BZ100" s="198"/>
      <c r="CA100" s="198"/>
      <c r="CB100" s="198"/>
      <c r="CC100" s="174"/>
      <c r="CD100" s="174"/>
      <c r="CE100" s="174"/>
      <c r="CF100" s="174"/>
      <c r="CG100" s="174"/>
      <c r="CH100" s="174"/>
      <c r="CI100" s="174"/>
      <c r="CJ100" s="174"/>
      <c r="CK100" s="174"/>
      <c r="CL100" s="174"/>
      <c r="CM100" s="174"/>
      <c r="CN100" s="174"/>
      <c r="CO100" s="174"/>
      <c r="CP100" s="199"/>
      <c r="CQ100" s="199"/>
      <c r="CR100" s="199"/>
      <c r="CS100" s="199"/>
      <c r="CT100" s="199"/>
      <c r="CU100" s="199"/>
      <c r="CV100" s="199"/>
      <c r="CW100" s="199"/>
      <c r="CX100" s="199"/>
      <c r="CY100" s="199"/>
      <c r="CZ100" s="199"/>
      <c r="DA100" s="199"/>
      <c r="DB100" s="199"/>
      <c r="DC100" s="199"/>
      <c r="DD100" s="200"/>
      <c r="DE100" s="200"/>
      <c r="DF100" s="200"/>
      <c r="DG100" s="200"/>
      <c r="DH100" s="200"/>
      <c r="DI100" s="200"/>
      <c r="DJ100" s="200"/>
      <c r="DK100" s="200"/>
    </row>
    <row r="101" spans="1:115" x14ac:dyDescent="0.4">
      <c r="A101" s="179"/>
      <c r="B101" s="34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8"/>
      <c r="W101" s="37"/>
      <c r="X101" s="37"/>
      <c r="Y101" s="37"/>
      <c r="Z101" s="36"/>
      <c r="AA101" s="37"/>
      <c r="AB101" s="37"/>
      <c r="AC101" s="37"/>
      <c r="AD101" s="36"/>
      <c r="AE101" s="37"/>
      <c r="AF101" s="37"/>
      <c r="AG101" s="37"/>
      <c r="AH101" s="36"/>
      <c r="AI101" s="37"/>
      <c r="AJ101" s="37"/>
      <c r="AK101" s="37"/>
      <c r="AL101" s="36"/>
      <c r="AM101" s="37"/>
      <c r="AN101" s="37"/>
      <c r="AO101" s="37"/>
      <c r="AP101" s="36"/>
      <c r="AQ101" s="37"/>
      <c r="AR101" s="37"/>
      <c r="AS101" s="37"/>
      <c r="AT101" s="36"/>
      <c r="AU101" s="37"/>
      <c r="AV101" s="37"/>
      <c r="AW101" s="37"/>
      <c r="AX101" s="36"/>
      <c r="AY101" s="37"/>
      <c r="AZ101" s="37"/>
      <c r="BA101" s="37"/>
      <c r="BB101" s="36"/>
      <c r="BC101" s="37"/>
      <c r="BD101" s="37"/>
      <c r="BE101" s="37"/>
      <c r="BF101" s="36"/>
      <c r="BG101" s="37"/>
      <c r="BH101" s="37"/>
      <c r="BI101" s="37"/>
      <c r="BJ101" s="36"/>
      <c r="BK101" s="37"/>
      <c r="BL101" s="37"/>
      <c r="BM101" s="37"/>
      <c r="BN101" s="36"/>
      <c r="BO101" s="37"/>
      <c r="BP101" s="37"/>
      <c r="BQ101" s="37"/>
      <c r="BR101" s="36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</row>
    <row r="102" spans="1:115" x14ac:dyDescent="0.4">
      <c r="A102" s="69"/>
      <c r="B102" s="162" t="s">
        <v>124</v>
      </c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8"/>
      <c r="W102" s="50"/>
      <c r="X102" s="50"/>
      <c r="Y102" s="50"/>
      <c r="Z102" s="51"/>
      <c r="AA102" s="50"/>
      <c r="AB102" s="50"/>
      <c r="AC102" s="50"/>
      <c r="AD102" s="51"/>
      <c r="AE102" s="50"/>
      <c r="AF102" s="50"/>
      <c r="AG102" s="50"/>
      <c r="AH102" s="51"/>
      <c r="AI102" s="50"/>
      <c r="AJ102" s="50"/>
      <c r="AK102" s="50"/>
      <c r="AL102" s="51"/>
      <c r="AM102" s="50"/>
      <c r="AN102" s="50"/>
      <c r="AO102" s="50"/>
      <c r="AP102" s="51"/>
      <c r="AQ102" s="50"/>
      <c r="AR102" s="50"/>
      <c r="AS102" s="50"/>
      <c r="AT102" s="51"/>
      <c r="AU102" s="50"/>
      <c r="AV102" s="50"/>
      <c r="AW102" s="50"/>
      <c r="AX102" s="51"/>
      <c r="AY102" s="50"/>
      <c r="AZ102" s="50"/>
      <c r="BA102" s="50"/>
      <c r="BB102" s="51"/>
      <c r="BC102" s="50"/>
      <c r="BD102" s="50"/>
      <c r="BE102" s="50"/>
      <c r="BF102" s="51"/>
      <c r="BG102" s="50"/>
      <c r="BH102" s="50"/>
      <c r="BI102" s="50"/>
      <c r="BJ102" s="51"/>
      <c r="BK102" s="50"/>
      <c r="BL102" s="50"/>
      <c r="BM102" s="50"/>
      <c r="BN102" s="51"/>
      <c r="BO102" s="50"/>
      <c r="BP102" s="50"/>
      <c r="BQ102" s="50"/>
      <c r="BR102" s="51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</row>
    <row r="103" spans="1:115" x14ac:dyDescent="0.4">
      <c r="A103" s="41"/>
      <c r="B103" s="50" t="s">
        <v>125</v>
      </c>
      <c r="C103" s="50">
        <f>C145+C141</f>
        <v>0</v>
      </c>
      <c r="D103" s="50">
        <f t="shared" ref="D103:U103" si="130">D145+D141</f>
        <v>20</v>
      </c>
      <c r="E103" s="50">
        <f t="shared" si="130"/>
        <v>40</v>
      </c>
      <c r="F103" s="50">
        <f t="shared" si="130"/>
        <v>0</v>
      </c>
      <c r="G103" s="50">
        <f t="shared" si="130"/>
        <v>19.48264275</v>
      </c>
      <c r="H103" s="50">
        <f t="shared" si="130"/>
        <v>30</v>
      </c>
      <c r="I103" s="50">
        <f t="shared" si="130"/>
        <v>0</v>
      </c>
      <c r="J103" s="50">
        <f t="shared" si="130"/>
        <v>7.2771731399999995</v>
      </c>
      <c r="K103" s="50">
        <f t="shared" si="130"/>
        <v>1021.9001465199999</v>
      </c>
      <c r="L103" s="50">
        <f t="shared" si="130"/>
        <v>1721.7469862500002</v>
      </c>
      <c r="M103" s="50">
        <f t="shared" si="130"/>
        <v>1398.6502303699999</v>
      </c>
      <c r="N103" s="50">
        <f t="shared" si="130"/>
        <v>2826.9272953099999</v>
      </c>
      <c r="O103" s="50">
        <f t="shared" si="130"/>
        <v>2576.5267775900002</v>
      </c>
      <c r="P103" s="50">
        <f t="shared" si="130"/>
        <v>1969.1091055100001</v>
      </c>
      <c r="Q103" s="50">
        <f t="shared" si="130"/>
        <v>939.88147687000003</v>
      </c>
      <c r="R103" s="50">
        <f t="shared" si="130"/>
        <v>2676.3784700599999</v>
      </c>
      <c r="S103" s="50">
        <f t="shared" si="130"/>
        <v>2676.3784700599999</v>
      </c>
      <c r="T103" s="50">
        <f t="shared" si="130"/>
        <v>2676.3784700599999</v>
      </c>
      <c r="U103" s="50">
        <f t="shared" si="130"/>
        <v>2676.3784700599999</v>
      </c>
      <c r="V103" s="8"/>
      <c r="W103" s="50"/>
      <c r="X103" s="50"/>
      <c r="Y103" s="50"/>
      <c r="Z103" s="51"/>
      <c r="AA103" s="50"/>
      <c r="AB103" s="50"/>
      <c r="AC103" s="50"/>
      <c r="AD103" s="51"/>
      <c r="AE103" s="50"/>
      <c r="AF103" s="50"/>
      <c r="AG103" s="50"/>
      <c r="AH103" s="51"/>
      <c r="AI103" s="50"/>
      <c r="AJ103" s="50"/>
      <c r="AK103" s="50"/>
      <c r="AL103" s="51"/>
      <c r="AM103" s="50"/>
      <c r="AN103" s="50"/>
      <c r="AO103" s="50"/>
      <c r="AP103" s="51"/>
      <c r="AQ103" s="50"/>
      <c r="AR103" s="50"/>
      <c r="AS103" s="50"/>
      <c r="AT103" s="51"/>
      <c r="AU103" s="50"/>
      <c r="AV103" s="50"/>
      <c r="AW103" s="50"/>
      <c r="AX103" s="51"/>
      <c r="AY103" s="50"/>
      <c r="AZ103" s="50"/>
      <c r="BA103" s="50"/>
      <c r="BB103" s="51"/>
      <c r="BC103" s="50"/>
      <c r="BD103" s="50"/>
      <c r="BE103" s="50"/>
      <c r="BF103" s="51"/>
      <c r="BG103" s="50"/>
      <c r="BH103" s="50"/>
      <c r="BI103" s="50"/>
      <c r="BJ103" s="51"/>
      <c r="BK103" s="50"/>
      <c r="BL103" s="50"/>
      <c r="BM103" s="50"/>
      <c r="BN103" s="51"/>
      <c r="BO103" s="50"/>
      <c r="BP103" s="50"/>
      <c r="BQ103" s="50"/>
      <c r="BR103" s="51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</row>
    <row r="104" spans="1:115" x14ac:dyDescent="0.4">
      <c r="A104" s="41"/>
      <c r="B104" s="50" t="s">
        <v>126</v>
      </c>
      <c r="C104" s="50">
        <f t="shared" ref="C104:U104" si="131">C25</f>
        <v>0</v>
      </c>
      <c r="D104" s="50">
        <f t="shared" si="131"/>
        <v>0</v>
      </c>
      <c r="E104" s="50">
        <f t="shared" si="131"/>
        <v>0</v>
      </c>
      <c r="F104" s="50">
        <f t="shared" si="131"/>
        <v>0</v>
      </c>
      <c r="G104" s="50">
        <f t="shared" si="131"/>
        <v>0</v>
      </c>
      <c r="H104" s="50">
        <f t="shared" si="131"/>
        <v>0</v>
      </c>
      <c r="I104" s="50">
        <f t="shared" si="131"/>
        <v>0</v>
      </c>
      <c r="J104" s="50">
        <f t="shared" si="131"/>
        <v>0</v>
      </c>
      <c r="K104" s="50">
        <f t="shared" si="131"/>
        <v>0</v>
      </c>
      <c r="L104" s="50">
        <f t="shared" si="131"/>
        <v>-50.25233961</v>
      </c>
      <c r="M104" s="50">
        <f t="shared" si="131"/>
        <v>-50.16387229</v>
      </c>
      <c r="N104" s="50">
        <f t="shared" si="131"/>
        <v>-61.806143570000003</v>
      </c>
      <c r="O104" s="50">
        <f t="shared" si="131"/>
        <v>-82.987065770000001</v>
      </c>
      <c r="P104" s="50">
        <f t="shared" si="131"/>
        <v>-63.360987420000001</v>
      </c>
      <c r="Q104" s="201">
        <f t="shared" si="131"/>
        <v>-54.024537850000002</v>
      </c>
      <c r="R104" s="201">
        <f t="shared" si="131"/>
        <v>-53.55311797000001</v>
      </c>
      <c r="S104" s="201">
        <f t="shared" si="131"/>
        <v>-73.758301450000005</v>
      </c>
      <c r="T104" s="201">
        <f t="shared" si="131"/>
        <v>-80</v>
      </c>
      <c r="U104" s="201">
        <f t="shared" si="131"/>
        <v>-80</v>
      </c>
      <c r="V104" s="8"/>
      <c r="W104" s="50"/>
      <c r="X104" s="50"/>
      <c r="Y104" s="50"/>
      <c r="Z104" s="51"/>
      <c r="AA104" s="50"/>
      <c r="AB104" s="50"/>
      <c r="AC104" s="50"/>
      <c r="AD104" s="51"/>
      <c r="AE104" s="50"/>
      <c r="AF104" s="50"/>
      <c r="AG104" s="50"/>
      <c r="AH104" s="51"/>
      <c r="AI104" s="50"/>
      <c r="AJ104" s="50"/>
      <c r="AK104" s="50"/>
      <c r="AL104" s="51"/>
      <c r="AM104" s="50"/>
      <c r="AN104" s="50"/>
      <c r="AO104" s="50"/>
      <c r="AP104" s="51"/>
      <c r="AQ104" s="50"/>
      <c r="AR104" s="50"/>
      <c r="AS104" s="50"/>
      <c r="AT104" s="51"/>
      <c r="AU104" s="50"/>
      <c r="AV104" s="50"/>
      <c r="AW104" s="50"/>
      <c r="AX104" s="51"/>
      <c r="AY104" s="50"/>
      <c r="AZ104" s="50"/>
      <c r="BA104" s="50"/>
      <c r="BB104" s="51"/>
      <c r="BC104" s="50"/>
      <c r="BD104" s="50"/>
      <c r="BE104" s="50"/>
      <c r="BF104" s="51"/>
      <c r="BG104" s="50"/>
      <c r="BH104" s="50"/>
      <c r="BI104" s="50"/>
      <c r="BJ104" s="51"/>
      <c r="BK104" s="50"/>
      <c r="BL104" s="50"/>
      <c r="BM104" s="50"/>
      <c r="BN104" s="51"/>
      <c r="BO104" s="50"/>
      <c r="BP104" s="50"/>
      <c r="BQ104" s="50"/>
      <c r="BR104" s="51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</row>
    <row r="105" spans="1:115" x14ac:dyDescent="0.4">
      <c r="A105" s="69"/>
      <c r="B105" s="50" t="s">
        <v>127</v>
      </c>
      <c r="C105" s="90"/>
      <c r="D105" s="90">
        <f>IFERROR(-D104/AVERAGE(C103:D103),"")</f>
        <v>0</v>
      </c>
      <c r="E105" s="90">
        <f t="shared" ref="E105:P105" si="132">IFERROR(-E104/AVERAGE(D103:E103),"")</f>
        <v>0</v>
      </c>
      <c r="F105" s="90">
        <f t="shared" si="132"/>
        <v>0</v>
      </c>
      <c r="G105" s="90">
        <f t="shared" si="132"/>
        <v>0</v>
      </c>
      <c r="H105" s="90">
        <f t="shared" si="132"/>
        <v>0</v>
      </c>
      <c r="I105" s="90">
        <f t="shared" si="132"/>
        <v>0</v>
      </c>
      <c r="J105" s="90">
        <f t="shared" si="132"/>
        <v>0</v>
      </c>
      <c r="K105" s="90">
        <f t="shared" si="132"/>
        <v>0</v>
      </c>
      <c r="L105" s="90">
        <f t="shared" si="132"/>
        <v>3.663178038442938E-2</v>
      </c>
      <c r="M105" s="90">
        <f t="shared" si="132"/>
        <v>3.2152234992913677E-2</v>
      </c>
      <c r="N105" s="90">
        <f t="shared" si="132"/>
        <v>2.9253347356372958E-2</v>
      </c>
      <c r="O105" s="90">
        <f t="shared" si="132"/>
        <v>3.071630281312315E-2</v>
      </c>
      <c r="P105" s="90">
        <f t="shared" si="132"/>
        <v>2.7877722303084926E-2</v>
      </c>
      <c r="Q105" s="202"/>
      <c r="R105" s="202"/>
      <c r="S105" s="202"/>
      <c r="T105" s="202"/>
      <c r="U105" s="202"/>
      <c r="V105" s="8"/>
      <c r="W105" s="175"/>
      <c r="X105" s="175"/>
      <c r="Y105" s="175"/>
      <c r="Z105" s="181"/>
      <c r="AA105" s="175"/>
      <c r="AB105" s="175"/>
      <c r="AC105" s="175"/>
      <c r="AD105" s="181"/>
      <c r="AE105" s="175"/>
      <c r="AF105" s="175"/>
      <c r="AG105" s="175"/>
      <c r="AH105" s="181"/>
      <c r="AI105" s="175"/>
      <c r="AJ105" s="175"/>
      <c r="AK105" s="175"/>
      <c r="AL105" s="181"/>
      <c r="AM105" s="175"/>
      <c r="AN105" s="175"/>
      <c r="AO105" s="175"/>
      <c r="AP105" s="203"/>
      <c r="AQ105" s="184"/>
      <c r="AR105" s="184"/>
      <c r="AS105" s="184"/>
      <c r="AT105" s="203"/>
      <c r="AU105" s="184"/>
      <c r="AV105" s="184"/>
      <c r="AW105" s="184"/>
      <c r="AX105" s="203"/>
      <c r="AY105" s="184"/>
      <c r="AZ105" s="184"/>
      <c r="BA105" s="184"/>
      <c r="BB105" s="203"/>
      <c r="BC105" s="184"/>
      <c r="BD105" s="184"/>
      <c r="BE105" s="184"/>
      <c r="BF105" s="203"/>
      <c r="BG105" s="184"/>
      <c r="BH105" s="184"/>
      <c r="BI105" s="184"/>
      <c r="BJ105" s="203"/>
      <c r="BK105" s="184"/>
      <c r="BL105" s="184"/>
      <c r="BM105" s="184"/>
      <c r="BN105" s="203"/>
      <c r="BO105" s="184"/>
      <c r="BP105" s="184"/>
      <c r="BQ105" s="184"/>
      <c r="BR105" s="203"/>
      <c r="BS105" s="184"/>
      <c r="BT105" s="184"/>
      <c r="BU105" s="184"/>
      <c r="BV105" s="184"/>
      <c r="BW105" s="184"/>
      <c r="BX105" s="184"/>
      <c r="BY105" s="184"/>
      <c r="BZ105" s="184"/>
      <c r="CA105" s="184"/>
      <c r="CB105" s="184"/>
      <c r="CC105" s="175"/>
      <c r="CD105" s="175"/>
      <c r="CE105" s="175"/>
      <c r="CF105" s="175"/>
      <c r="CG105" s="175"/>
      <c r="CH105" s="175"/>
      <c r="CI105" s="175"/>
      <c r="CJ105" s="175"/>
      <c r="CK105" s="175"/>
      <c r="CL105" s="175"/>
      <c r="CM105" s="175"/>
      <c r="CN105" s="175"/>
      <c r="CO105" s="175"/>
      <c r="CP105" s="175"/>
      <c r="CQ105" s="175"/>
      <c r="CR105" s="175"/>
      <c r="CS105" s="175"/>
      <c r="CT105" s="175"/>
      <c r="CU105" s="175"/>
      <c r="CV105" s="175"/>
      <c r="CW105" s="175"/>
      <c r="CX105" s="175"/>
      <c r="CY105" s="175"/>
      <c r="CZ105" s="175"/>
      <c r="DA105" s="175"/>
      <c r="DB105" s="175"/>
      <c r="DC105" s="175"/>
      <c r="DD105" s="175"/>
      <c r="DE105" s="175"/>
      <c r="DF105" s="175"/>
      <c r="DG105" s="175"/>
      <c r="DH105" s="175"/>
      <c r="DI105" s="175"/>
      <c r="DJ105" s="175"/>
      <c r="DK105" s="175"/>
    </row>
    <row r="106" spans="1:115" x14ac:dyDescent="0.4">
      <c r="A106" s="69"/>
      <c r="B106" s="8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204"/>
      <c r="P106" s="204"/>
      <c r="Q106" s="204"/>
      <c r="R106" s="204"/>
      <c r="S106" s="204"/>
      <c r="T106" s="204"/>
      <c r="U106" s="204"/>
      <c r="V106" s="8"/>
      <c r="W106" s="50"/>
      <c r="X106" s="50"/>
      <c r="Y106" s="50"/>
      <c r="Z106" s="51"/>
      <c r="AA106" s="50"/>
      <c r="AB106" s="50"/>
      <c r="AC106" s="50"/>
      <c r="AD106" s="51"/>
      <c r="AE106" s="50"/>
      <c r="AF106" s="50"/>
      <c r="AG106" s="50"/>
      <c r="AH106" s="51"/>
      <c r="AI106" s="50"/>
      <c r="AJ106" s="50"/>
      <c r="AK106" s="50"/>
      <c r="AL106" s="51"/>
      <c r="AM106" s="50"/>
      <c r="AN106" s="50"/>
      <c r="AO106" s="50"/>
      <c r="AP106" s="51"/>
      <c r="AQ106" s="50"/>
      <c r="AR106" s="50"/>
      <c r="AS106" s="50"/>
      <c r="AT106" s="51"/>
      <c r="AU106" s="50"/>
      <c r="AV106" s="50"/>
      <c r="AW106" s="50"/>
      <c r="AX106" s="51"/>
      <c r="AY106" s="50"/>
      <c r="AZ106" s="50"/>
      <c r="BA106" s="50"/>
      <c r="BB106" s="51"/>
      <c r="BC106" s="50"/>
      <c r="BD106" s="50"/>
      <c r="BE106" s="50"/>
      <c r="BF106" s="51"/>
      <c r="BG106" s="50"/>
      <c r="BH106" s="50"/>
      <c r="BI106" s="50"/>
      <c r="BJ106" s="51"/>
      <c r="BK106" s="50"/>
      <c r="BL106" s="50"/>
      <c r="BM106" s="50"/>
      <c r="BN106" s="51"/>
      <c r="BO106" s="50"/>
      <c r="BP106" s="50"/>
      <c r="BQ106" s="50"/>
      <c r="BR106" s="51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  <c r="DD106" s="50"/>
      <c r="DE106" s="50"/>
      <c r="DF106" s="50"/>
      <c r="DG106" s="50"/>
      <c r="DH106" s="50"/>
      <c r="DI106" s="50"/>
      <c r="DJ106" s="50"/>
      <c r="DK106" s="50"/>
    </row>
    <row r="107" spans="1:115" x14ac:dyDescent="0.4">
      <c r="A107" s="69"/>
      <c r="B107" s="162" t="s">
        <v>121</v>
      </c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50"/>
      <c r="P107" s="50"/>
      <c r="Q107" s="50"/>
      <c r="R107" s="50"/>
      <c r="S107" s="50"/>
      <c r="T107" s="50"/>
      <c r="U107" s="50"/>
      <c r="V107" s="8"/>
      <c r="W107" s="159"/>
      <c r="X107" s="159"/>
      <c r="Y107" s="159"/>
      <c r="Z107" s="160"/>
      <c r="AA107" s="159"/>
      <c r="AB107" s="159"/>
      <c r="AC107" s="159"/>
      <c r="AD107" s="160"/>
      <c r="AE107" s="159"/>
      <c r="AF107" s="159"/>
      <c r="AG107" s="159"/>
      <c r="AH107" s="160"/>
      <c r="AI107" s="159"/>
      <c r="AJ107" s="159"/>
      <c r="AK107" s="159"/>
      <c r="AL107" s="160"/>
      <c r="AM107" s="159"/>
      <c r="AN107" s="159"/>
      <c r="AO107" s="159"/>
      <c r="AP107" s="160"/>
      <c r="AQ107" s="159"/>
      <c r="AR107" s="159"/>
      <c r="AS107" s="159"/>
      <c r="AT107" s="160"/>
      <c r="AU107" s="159"/>
      <c r="AV107" s="159"/>
      <c r="AW107" s="159"/>
      <c r="AX107" s="160"/>
      <c r="AY107" s="159"/>
      <c r="AZ107" s="159"/>
      <c r="BA107" s="159"/>
      <c r="BB107" s="160"/>
      <c r="BC107" s="159"/>
      <c r="BD107" s="159"/>
      <c r="BE107" s="159"/>
      <c r="BF107" s="160"/>
      <c r="BG107" s="159"/>
      <c r="BH107" s="159"/>
      <c r="BI107" s="159"/>
      <c r="BJ107" s="160"/>
      <c r="BK107" s="159"/>
      <c r="BL107" s="159"/>
      <c r="BM107" s="159"/>
      <c r="BN107" s="160"/>
      <c r="BO107" s="159"/>
      <c r="BP107" s="159"/>
      <c r="BQ107" s="159"/>
      <c r="BR107" s="160"/>
      <c r="BS107" s="159"/>
      <c r="BT107" s="159"/>
      <c r="BU107" s="159"/>
      <c r="BV107" s="159"/>
      <c r="BW107" s="159"/>
      <c r="BX107" s="159"/>
      <c r="BY107" s="159"/>
      <c r="BZ107" s="159"/>
      <c r="CA107" s="159"/>
      <c r="CB107" s="159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159"/>
      <c r="CQ107" s="159"/>
      <c r="CR107" s="159"/>
      <c r="CS107" s="159"/>
      <c r="CT107" s="159"/>
      <c r="CU107" s="159"/>
      <c r="CV107" s="159"/>
      <c r="CW107" s="159"/>
      <c r="CX107" s="159"/>
      <c r="CY107" s="159"/>
      <c r="CZ107" s="159"/>
      <c r="DA107" s="159"/>
      <c r="DB107" s="159"/>
      <c r="DC107" s="159"/>
      <c r="DD107" s="159"/>
      <c r="DE107" s="159"/>
      <c r="DF107" s="159"/>
      <c r="DG107" s="159"/>
      <c r="DH107" s="159"/>
      <c r="DI107" s="159"/>
      <c r="DJ107" s="159"/>
      <c r="DK107" s="159"/>
    </row>
    <row r="108" spans="1:115" x14ac:dyDescent="0.4">
      <c r="A108" s="69"/>
      <c r="B108" s="205" t="s">
        <v>128</v>
      </c>
      <c r="C108" s="50">
        <f>C123</f>
        <v>28.35335516</v>
      </c>
      <c r="D108" s="50">
        <f t="shared" ref="D108:U108" si="133">D123</f>
        <v>36.992298700000006</v>
      </c>
      <c r="E108" s="50">
        <f t="shared" si="133"/>
        <v>37.328881090000003</v>
      </c>
      <c r="F108" s="50">
        <f t="shared" si="133"/>
        <v>242.63506275</v>
      </c>
      <c r="G108" s="50">
        <f t="shared" si="133"/>
        <v>210.59394401</v>
      </c>
      <c r="H108" s="50">
        <f t="shared" si="133"/>
        <v>136.40813797000001</v>
      </c>
      <c r="I108" s="50">
        <f t="shared" si="133"/>
        <v>112.31353095</v>
      </c>
      <c r="J108" s="50">
        <f t="shared" si="133"/>
        <v>69.262623849999997</v>
      </c>
      <c r="K108" s="50">
        <f t="shared" si="133"/>
        <v>957.23181504000001</v>
      </c>
      <c r="L108" s="50">
        <f t="shared" si="133"/>
        <v>1041.18005212</v>
      </c>
      <c r="M108" s="50">
        <f t="shared" si="133"/>
        <v>1236.1909215399999</v>
      </c>
      <c r="N108" s="50">
        <f t="shared" si="133"/>
        <v>1679.4827892799999</v>
      </c>
      <c r="O108" s="50">
        <f t="shared" si="133"/>
        <v>3514.61307115</v>
      </c>
      <c r="P108" s="50">
        <f t="shared" si="133"/>
        <v>2831.0227008500001</v>
      </c>
      <c r="Q108" s="50">
        <f t="shared" si="133"/>
        <v>3317.2784822600001</v>
      </c>
      <c r="R108" s="50">
        <f t="shared" si="133"/>
        <v>5053.8050739399996</v>
      </c>
      <c r="S108" s="50">
        <f t="shared" si="133"/>
        <v>6366.7463011696673</v>
      </c>
      <c r="T108" s="50">
        <f t="shared" si="133"/>
        <v>13855.971799754647</v>
      </c>
      <c r="U108" s="50">
        <f t="shared" si="133"/>
        <v>26301.670714653308</v>
      </c>
      <c r="V108" s="8"/>
      <c r="W108" s="159"/>
      <c r="X108" s="159"/>
      <c r="Y108" s="159"/>
      <c r="Z108" s="160"/>
      <c r="AA108" s="159"/>
      <c r="AB108" s="159"/>
      <c r="AC108" s="159"/>
      <c r="AD108" s="160"/>
      <c r="AE108" s="159"/>
      <c r="AF108" s="159"/>
      <c r="AG108" s="159"/>
      <c r="AH108" s="160"/>
      <c r="AI108" s="159"/>
      <c r="AJ108" s="159"/>
      <c r="AK108" s="159"/>
      <c r="AL108" s="160"/>
      <c r="AM108" s="159"/>
      <c r="AN108" s="159"/>
      <c r="AO108" s="159"/>
      <c r="AP108" s="160"/>
      <c r="AQ108" s="159"/>
      <c r="AR108" s="159"/>
      <c r="AS108" s="159"/>
      <c r="AT108" s="160"/>
      <c r="AU108" s="159"/>
      <c r="AV108" s="159"/>
      <c r="AW108" s="159"/>
      <c r="AX108" s="160"/>
      <c r="AY108" s="159"/>
      <c r="AZ108" s="159"/>
      <c r="BA108" s="159"/>
      <c r="BB108" s="160"/>
      <c r="BC108" s="159"/>
      <c r="BD108" s="159"/>
      <c r="BE108" s="159"/>
      <c r="BF108" s="160"/>
      <c r="BG108" s="159"/>
      <c r="BH108" s="159"/>
      <c r="BI108" s="159"/>
      <c r="BJ108" s="160"/>
      <c r="BK108" s="159"/>
      <c r="BL108" s="159"/>
      <c r="BM108" s="159"/>
      <c r="BN108" s="160"/>
      <c r="BO108" s="159"/>
      <c r="BP108" s="159"/>
      <c r="BQ108" s="159"/>
      <c r="BR108" s="160"/>
      <c r="BS108" s="159"/>
      <c r="BT108" s="159"/>
      <c r="BU108" s="159"/>
      <c r="BV108" s="159"/>
      <c r="BW108" s="159"/>
      <c r="BX108" s="159"/>
      <c r="BY108" s="159"/>
      <c r="BZ108" s="159"/>
      <c r="CA108" s="159"/>
      <c r="CB108" s="159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159"/>
      <c r="CQ108" s="159"/>
      <c r="CR108" s="159"/>
      <c r="CS108" s="159"/>
      <c r="CT108" s="159"/>
      <c r="CU108" s="159"/>
      <c r="CV108" s="159"/>
      <c r="CW108" s="159"/>
      <c r="CX108" s="159"/>
      <c r="CY108" s="159"/>
      <c r="CZ108" s="159"/>
      <c r="DA108" s="159"/>
      <c r="DB108" s="159"/>
      <c r="DC108" s="159"/>
      <c r="DD108" s="159"/>
      <c r="DE108" s="159"/>
      <c r="DF108" s="159"/>
      <c r="DG108" s="159"/>
      <c r="DH108" s="159"/>
      <c r="DI108" s="159"/>
      <c r="DJ108" s="159"/>
      <c r="DK108" s="159"/>
    </row>
    <row r="109" spans="1:115" x14ac:dyDescent="0.4">
      <c r="A109" s="69"/>
      <c r="B109" s="205" t="s">
        <v>73</v>
      </c>
      <c r="C109" s="50">
        <f t="shared" ref="C109:U109" si="134">C24</f>
        <v>0.43140000000000001</v>
      </c>
      <c r="D109" s="50">
        <f t="shared" si="134"/>
        <v>0.80520000000000003</v>
      </c>
      <c r="E109" s="50">
        <f t="shared" si="134"/>
        <v>0.90568252000000005</v>
      </c>
      <c r="F109" s="50">
        <f t="shared" si="134"/>
        <v>7.5852687699999999</v>
      </c>
      <c r="G109" s="50">
        <f t="shared" si="134"/>
        <v>12.76234869</v>
      </c>
      <c r="H109" s="50">
        <f t="shared" si="134"/>
        <v>11.705659519999999</v>
      </c>
      <c r="I109" s="50">
        <f t="shared" si="134"/>
        <v>6.90467092</v>
      </c>
      <c r="J109" s="50">
        <f t="shared" si="134"/>
        <v>6.0126569299999995</v>
      </c>
      <c r="K109" s="50">
        <f t="shared" si="134"/>
        <v>3.83272689</v>
      </c>
      <c r="L109" s="50">
        <f t="shared" si="134"/>
        <v>5.7473989400000001</v>
      </c>
      <c r="M109" s="50">
        <f t="shared" si="134"/>
        <v>18.132316299999999</v>
      </c>
      <c r="N109" s="50">
        <f t="shared" si="134"/>
        <v>9.80384587</v>
      </c>
      <c r="O109" s="50">
        <f t="shared" si="134"/>
        <v>15.721944499999999</v>
      </c>
      <c r="P109" s="50">
        <f t="shared" si="134"/>
        <v>37.571587989999998</v>
      </c>
      <c r="Q109" s="201">
        <f t="shared" si="134"/>
        <v>104.62682103</v>
      </c>
      <c r="R109" s="201">
        <f t="shared" si="134"/>
        <v>108.03043289</v>
      </c>
      <c r="S109" s="201">
        <f t="shared" si="134"/>
        <v>190.55613468000001</v>
      </c>
      <c r="T109" s="201">
        <f t="shared" si="134"/>
        <v>160</v>
      </c>
      <c r="U109" s="201">
        <f t="shared" si="134"/>
        <v>160</v>
      </c>
      <c r="V109" s="8"/>
      <c r="W109" s="159"/>
      <c r="X109" s="159"/>
      <c r="Y109" s="159"/>
      <c r="Z109" s="160"/>
      <c r="AA109" s="159"/>
      <c r="AB109" s="159"/>
      <c r="AC109" s="159"/>
      <c r="AD109" s="160"/>
      <c r="AE109" s="159"/>
      <c r="AF109" s="159"/>
      <c r="AG109" s="159"/>
      <c r="AH109" s="160"/>
      <c r="AI109" s="159"/>
      <c r="AJ109" s="159"/>
      <c r="AK109" s="159"/>
      <c r="AL109" s="160"/>
      <c r="AM109" s="159"/>
      <c r="AN109" s="159"/>
      <c r="AO109" s="159"/>
      <c r="AP109" s="160"/>
      <c r="AQ109" s="159"/>
      <c r="AR109" s="159"/>
      <c r="AS109" s="159"/>
      <c r="AT109" s="160"/>
      <c r="AU109" s="159"/>
      <c r="AV109" s="159"/>
      <c r="AW109" s="159"/>
      <c r="AX109" s="160"/>
      <c r="AY109" s="159"/>
      <c r="AZ109" s="159"/>
      <c r="BA109" s="159"/>
      <c r="BB109" s="160"/>
      <c r="BC109" s="159"/>
      <c r="BD109" s="159"/>
      <c r="BE109" s="159"/>
      <c r="BF109" s="160"/>
      <c r="BG109" s="159"/>
      <c r="BH109" s="159"/>
      <c r="BI109" s="159"/>
      <c r="BJ109" s="160"/>
      <c r="BK109" s="159"/>
      <c r="BL109" s="159"/>
      <c r="BM109" s="159"/>
      <c r="BN109" s="160"/>
      <c r="BO109" s="159"/>
      <c r="BP109" s="159"/>
      <c r="BQ109" s="159"/>
      <c r="BR109" s="160"/>
      <c r="BS109" s="159"/>
      <c r="BT109" s="159"/>
      <c r="BU109" s="159"/>
      <c r="BV109" s="159"/>
      <c r="BW109" s="159"/>
      <c r="BX109" s="159"/>
      <c r="BY109" s="159"/>
      <c r="BZ109" s="159"/>
      <c r="CA109" s="159"/>
      <c r="CB109" s="159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159"/>
      <c r="CQ109" s="159"/>
      <c r="CR109" s="159"/>
      <c r="CS109" s="159"/>
      <c r="CT109" s="159"/>
      <c r="CU109" s="159"/>
      <c r="CV109" s="159"/>
      <c r="CW109" s="159"/>
      <c r="CX109" s="159"/>
      <c r="CY109" s="159"/>
      <c r="CZ109" s="159"/>
      <c r="DA109" s="159"/>
      <c r="DB109" s="159"/>
      <c r="DC109" s="159"/>
      <c r="DD109" s="159"/>
      <c r="DE109" s="159"/>
      <c r="DF109" s="159"/>
      <c r="DG109" s="159"/>
      <c r="DH109" s="159"/>
      <c r="DI109" s="159"/>
      <c r="DJ109" s="159"/>
      <c r="DK109" s="159"/>
    </row>
    <row r="110" spans="1:115" x14ac:dyDescent="0.4">
      <c r="A110" s="69"/>
      <c r="B110" s="205" t="s">
        <v>129</v>
      </c>
      <c r="C110" s="159"/>
      <c r="D110" s="90">
        <f>D109/AVERAGE(C108:D108)</f>
        <v>2.4644332176248576E-2</v>
      </c>
      <c r="E110" s="90">
        <f t="shared" ref="E110:P110" si="135">E109/AVERAGE(D108:E108)</f>
        <v>2.4372124408118201E-2</v>
      </c>
      <c r="F110" s="90">
        <f t="shared" si="135"/>
        <v>5.4187469043049323E-2</v>
      </c>
      <c r="G110" s="90">
        <f t="shared" si="135"/>
        <v>5.631743996808259E-2</v>
      </c>
      <c r="H110" s="90">
        <f t="shared" si="135"/>
        <v>6.746737341290461E-2</v>
      </c>
      <c r="I110" s="90">
        <f t="shared" si="135"/>
        <v>5.552126559765768E-2</v>
      </c>
      <c r="J110" s="90">
        <f t="shared" si="135"/>
        <v>6.6227384720452295E-2</v>
      </c>
      <c r="K110" s="90">
        <f t="shared" si="135"/>
        <v>7.4676038072734614E-3</v>
      </c>
      <c r="L110" s="90">
        <f t="shared" si="135"/>
        <v>5.7519663833539908E-3</v>
      </c>
      <c r="M110" s="90">
        <f t="shared" si="135"/>
        <v>1.592390217467228E-2</v>
      </c>
      <c r="N110" s="90">
        <f t="shared" si="135"/>
        <v>6.7249266154975765E-3</v>
      </c>
      <c r="O110" s="90">
        <f t="shared" si="135"/>
        <v>6.0537752565461662E-3</v>
      </c>
      <c r="P110" s="90">
        <f t="shared" si="135"/>
        <v>1.1841709590639895E-2</v>
      </c>
      <c r="Q110" s="202"/>
      <c r="R110" s="202"/>
      <c r="S110" s="202"/>
      <c r="T110" s="202"/>
      <c r="U110" s="202"/>
      <c r="V110" s="8"/>
      <c r="W110" s="159"/>
      <c r="X110" s="159"/>
      <c r="Y110" s="159"/>
      <c r="Z110" s="160"/>
      <c r="AA110" s="159"/>
      <c r="AB110" s="159"/>
      <c r="AC110" s="159"/>
      <c r="AD110" s="160"/>
      <c r="AE110" s="159"/>
      <c r="AF110" s="159"/>
      <c r="AG110" s="159"/>
      <c r="AH110" s="160"/>
      <c r="AI110" s="159"/>
      <c r="AJ110" s="159"/>
      <c r="AK110" s="159"/>
      <c r="AL110" s="160"/>
      <c r="AM110" s="159"/>
      <c r="AN110" s="159"/>
      <c r="AO110" s="159"/>
      <c r="AP110" s="160"/>
      <c r="AQ110" s="159"/>
      <c r="AR110" s="159"/>
      <c r="AS110" s="159"/>
      <c r="AT110" s="160"/>
      <c r="AU110" s="159"/>
      <c r="AV110" s="159"/>
      <c r="AW110" s="159"/>
      <c r="AX110" s="160"/>
      <c r="AY110" s="159"/>
      <c r="AZ110" s="159"/>
      <c r="BA110" s="159"/>
      <c r="BB110" s="160"/>
      <c r="BC110" s="159"/>
      <c r="BD110" s="159"/>
      <c r="BE110" s="159"/>
      <c r="BF110" s="160"/>
      <c r="BG110" s="159"/>
      <c r="BH110" s="159"/>
      <c r="BI110" s="159"/>
      <c r="BJ110" s="160"/>
      <c r="BK110" s="159"/>
      <c r="BL110" s="159"/>
      <c r="BM110" s="159"/>
      <c r="BN110" s="160"/>
      <c r="BO110" s="159"/>
      <c r="BP110" s="159"/>
      <c r="BQ110" s="159"/>
      <c r="BR110" s="160"/>
      <c r="BS110" s="159"/>
      <c r="BT110" s="159"/>
      <c r="BU110" s="159"/>
      <c r="BV110" s="159"/>
      <c r="BW110" s="159"/>
      <c r="BX110" s="159"/>
      <c r="BY110" s="159"/>
      <c r="BZ110" s="159"/>
      <c r="CA110" s="159"/>
      <c r="CB110" s="159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159"/>
      <c r="CQ110" s="159"/>
      <c r="CR110" s="159"/>
      <c r="CS110" s="159"/>
      <c r="CT110" s="159"/>
      <c r="CU110" s="159"/>
      <c r="CV110" s="159"/>
      <c r="CW110" s="159"/>
      <c r="CX110" s="159"/>
      <c r="CY110" s="159"/>
      <c r="CZ110" s="159"/>
      <c r="DA110" s="159"/>
      <c r="DB110" s="159"/>
      <c r="DC110" s="159"/>
      <c r="DD110" s="159"/>
      <c r="DE110" s="159"/>
      <c r="DF110" s="159"/>
      <c r="DG110" s="159"/>
      <c r="DH110" s="159"/>
      <c r="DI110" s="159"/>
      <c r="DJ110" s="159"/>
      <c r="DK110" s="159"/>
    </row>
    <row r="111" spans="1:115" x14ac:dyDescent="0.4">
      <c r="A111" s="69"/>
      <c r="B111" s="205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8"/>
      <c r="W111" s="159"/>
      <c r="X111" s="159"/>
      <c r="Y111" s="159"/>
      <c r="Z111" s="160"/>
      <c r="AA111" s="159"/>
      <c r="AB111" s="159"/>
      <c r="AC111" s="159"/>
      <c r="AD111" s="160"/>
      <c r="AE111" s="159"/>
      <c r="AF111" s="159"/>
      <c r="AG111" s="159"/>
      <c r="AH111" s="160"/>
      <c r="AI111" s="159"/>
      <c r="AJ111" s="159"/>
      <c r="AK111" s="159"/>
      <c r="AL111" s="160"/>
      <c r="AM111" s="159"/>
      <c r="AN111" s="159"/>
      <c r="AO111" s="159"/>
      <c r="AP111" s="160"/>
      <c r="AQ111" s="159"/>
      <c r="AR111" s="159"/>
      <c r="AS111" s="159"/>
      <c r="AT111" s="160"/>
      <c r="AU111" s="159"/>
      <c r="AV111" s="159"/>
      <c r="AW111" s="159"/>
      <c r="AX111" s="160"/>
      <c r="AY111" s="159"/>
      <c r="AZ111" s="159"/>
      <c r="BA111" s="159"/>
      <c r="BB111" s="160"/>
      <c r="BC111" s="159"/>
      <c r="BD111" s="159"/>
      <c r="BE111" s="159"/>
      <c r="BF111" s="160"/>
      <c r="BG111" s="159"/>
      <c r="BH111" s="159"/>
      <c r="BI111" s="159"/>
      <c r="BJ111" s="160"/>
      <c r="BK111" s="159"/>
      <c r="BL111" s="159"/>
      <c r="BM111" s="159"/>
      <c r="BN111" s="160"/>
      <c r="BO111" s="159"/>
      <c r="BP111" s="159"/>
      <c r="BQ111" s="159"/>
      <c r="BR111" s="160"/>
      <c r="BS111" s="159"/>
      <c r="BT111" s="159"/>
      <c r="BU111" s="159"/>
      <c r="BV111" s="159"/>
      <c r="BW111" s="159"/>
      <c r="BX111" s="159"/>
      <c r="BY111" s="159"/>
      <c r="BZ111" s="159"/>
      <c r="CA111" s="159"/>
      <c r="CB111" s="159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159"/>
      <c r="CQ111" s="159"/>
      <c r="CR111" s="159"/>
      <c r="CS111" s="159"/>
      <c r="CT111" s="159"/>
      <c r="CU111" s="159"/>
      <c r="CV111" s="159"/>
      <c r="CW111" s="159"/>
      <c r="CX111" s="159"/>
      <c r="CY111" s="159"/>
      <c r="CZ111" s="159"/>
      <c r="DA111" s="159"/>
      <c r="DB111" s="159"/>
      <c r="DC111" s="159"/>
      <c r="DD111" s="159"/>
      <c r="DE111" s="159"/>
      <c r="DF111" s="159"/>
      <c r="DG111" s="159"/>
      <c r="DH111" s="159"/>
      <c r="DI111" s="159"/>
      <c r="DJ111" s="159"/>
      <c r="DK111" s="159"/>
    </row>
    <row r="112" spans="1:115" x14ac:dyDescent="0.4">
      <c r="A112" s="69"/>
      <c r="B112" s="206" t="s">
        <v>130</v>
      </c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8"/>
      <c r="W112" s="50"/>
      <c r="X112" s="50"/>
      <c r="Y112" s="50"/>
      <c r="Z112" s="51"/>
      <c r="AA112" s="50"/>
      <c r="AB112" s="50"/>
      <c r="AC112" s="50"/>
      <c r="AD112" s="51"/>
      <c r="AE112" s="50"/>
      <c r="AF112" s="50"/>
      <c r="AG112" s="50"/>
      <c r="AH112" s="51"/>
      <c r="AI112" s="50"/>
      <c r="AJ112" s="50"/>
      <c r="AK112" s="50"/>
      <c r="AL112" s="51"/>
      <c r="AM112" s="50"/>
      <c r="AN112" s="50"/>
      <c r="AO112" s="50"/>
      <c r="AP112" s="51"/>
      <c r="AQ112" s="50"/>
      <c r="AR112" s="50"/>
      <c r="AS112" s="50"/>
      <c r="AT112" s="51"/>
      <c r="AU112" s="50"/>
      <c r="AV112" s="50"/>
      <c r="AW112" s="50"/>
      <c r="AX112" s="51"/>
      <c r="AY112" s="50"/>
      <c r="AZ112" s="50"/>
      <c r="BA112" s="50"/>
      <c r="BB112" s="51"/>
      <c r="BC112" s="50"/>
      <c r="BD112" s="50"/>
      <c r="BE112" s="50"/>
      <c r="BF112" s="51"/>
      <c r="BG112" s="50"/>
      <c r="BH112" s="50"/>
      <c r="BI112" s="50"/>
      <c r="BJ112" s="51"/>
      <c r="BK112" s="50"/>
      <c r="BL112" s="50"/>
      <c r="BM112" s="50"/>
      <c r="BN112" s="51"/>
      <c r="BO112" s="50"/>
      <c r="BP112" s="50"/>
      <c r="BQ112" s="50"/>
      <c r="BR112" s="51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  <c r="DC112" s="50"/>
      <c r="DD112" s="50"/>
      <c r="DE112" s="50"/>
      <c r="DF112" s="50"/>
      <c r="DG112" s="50"/>
      <c r="DH112" s="50"/>
      <c r="DI112" s="50"/>
      <c r="DJ112" s="50"/>
      <c r="DK112" s="50"/>
    </row>
    <row r="113" spans="1:115" x14ac:dyDescent="0.4">
      <c r="A113" s="41"/>
      <c r="B113" s="50" t="s">
        <v>131</v>
      </c>
      <c r="C113" s="50">
        <v>0</v>
      </c>
      <c r="D113" s="50">
        <v>0</v>
      </c>
      <c r="E113" s="50">
        <v>0</v>
      </c>
      <c r="F113" s="50">
        <v>0</v>
      </c>
      <c r="G113" s="50">
        <v>0</v>
      </c>
      <c r="H113" s="50"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  <c r="Q113" s="50">
        <v>0</v>
      </c>
      <c r="R113" s="50">
        <v>0</v>
      </c>
      <c r="S113" s="50">
        <v>0</v>
      </c>
      <c r="T113" s="50"/>
      <c r="U113" s="50"/>
      <c r="V113" s="8"/>
      <c r="W113" s="48"/>
      <c r="X113" s="48"/>
      <c r="Y113" s="48"/>
      <c r="Z113" s="207"/>
      <c r="AA113" s="48"/>
      <c r="AB113" s="48"/>
      <c r="AC113" s="48"/>
      <c r="AD113" s="207"/>
      <c r="AE113" s="48"/>
      <c r="AF113" s="48"/>
      <c r="AG113" s="48"/>
      <c r="AH113" s="207"/>
      <c r="AI113" s="48"/>
      <c r="AJ113" s="48"/>
      <c r="AK113" s="48"/>
      <c r="AL113" s="207"/>
      <c r="AM113" s="48"/>
      <c r="AN113" s="48"/>
      <c r="AO113" s="48"/>
      <c r="AP113" s="208"/>
      <c r="AQ113" s="209"/>
      <c r="AR113" s="209"/>
      <c r="AS113" s="209"/>
      <c r="AT113" s="208"/>
      <c r="AU113" s="209"/>
      <c r="AV113" s="209"/>
      <c r="AW113" s="209"/>
      <c r="AX113" s="208"/>
      <c r="AY113" s="209"/>
      <c r="AZ113" s="209"/>
      <c r="BA113" s="209"/>
      <c r="BB113" s="208"/>
      <c r="BC113" s="209"/>
      <c r="BD113" s="209"/>
      <c r="BE113" s="209"/>
      <c r="BF113" s="208"/>
      <c r="BG113" s="209"/>
      <c r="BH113" s="209"/>
      <c r="BI113" s="209"/>
      <c r="BJ113" s="208"/>
      <c r="BK113" s="209"/>
      <c r="BL113" s="209"/>
      <c r="BM113" s="209"/>
      <c r="BN113" s="208"/>
      <c r="BO113" s="209"/>
      <c r="BP113" s="209"/>
      <c r="BQ113" s="209"/>
      <c r="BR113" s="208"/>
      <c r="BS113" s="209"/>
      <c r="BT113" s="209"/>
      <c r="BU113" s="209"/>
      <c r="BV113" s="209"/>
      <c r="BW113" s="209"/>
      <c r="BX113" s="209"/>
      <c r="BY113" s="209"/>
      <c r="BZ113" s="209"/>
      <c r="CA113" s="209"/>
      <c r="CB113" s="209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</row>
    <row r="114" spans="1:115" x14ac:dyDescent="0.4">
      <c r="A114" s="179"/>
      <c r="B114" s="195" t="s">
        <v>132</v>
      </c>
      <c r="C114" s="50">
        <v>0</v>
      </c>
      <c r="D114" s="50">
        <v>0</v>
      </c>
      <c r="E114" s="50">
        <v>0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/>
      <c r="U114" s="50"/>
      <c r="V114" s="8"/>
      <c r="W114" s="210"/>
      <c r="X114" s="210"/>
      <c r="Y114" s="210"/>
      <c r="Z114" s="211"/>
      <c r="AA114" s="210"/>
      <c r="AB114" s="210"/>
      <c r="AC114" s="210"/>
      <c r="AD114" s="211"/>
      <c r="AE114" s="210"/>
      <c r="AF114" s="210"/>
      <c r="AG114" s="210"/>
      <c r="AH114" s="211"/>
      <c r="AI114" s="210"/>
      <c r="AJ114" s="210"/>
      <c r="AK114" s="210"/>
      <c r="AL114" s="211"/>
      <c r="AM114" s="210"/>
      <c r="AN114" s="210"/>
      <c r="AO114" s="210"/>
      <c r="AP114" s="203"/>
      <c r="AQ114" s="184"/>
      <c r="AR114" s="184"/>
      <c r="AS114" s="184"/>
      <c r="AT114" s="203"/>
      <c r="AU114" s="184"/>
      <c r="AV114" s="184"/>
      <c r="AW114" s="184"/>
      <c r="AX114" s="203"/>
      <c r="AY114" s="184"/>
      <c r="AZ114" s="184"/>
      <c r="BA114" s="184"/>
      <c r="BB114" s="203"/>
      <c r="BC114" s="184"/>
      <c r="BD114" s="184"/>
      <c r="BE114" s="184"/>
      <c r="BF114" s="203"/>
      <c r="BG114" s="184"/>
      <c r="BH114" s="184"/>
      <c r="BI114" s="184"/>
      <c r="BJ114" s="203"/>
      <c r="BK114" s="184"/>
      <c r="BL114" s="184"/>
      <c r="BM114" s="184"/>
      <c r="BN114" s="203"/>
      <c r="BO114" s="184"/>
      <c r="BP114" s="184"/>
      <c r="BQ114" s="184"/>
      <c r="BR114" s="203"/>
      <c r="BS114" s="184"/>
      <c r="BT114" s="184"/>
      <c r="BU114" s="184"/>
      <c r="BV114" s="184"/>
      <c r="BW114" s="184"/>
      <c r="BX114" s="184"/>
      <c r="BY114" s="184"/>
      <c r="BZ114" s="184"/>
      <c r="CA114" s="184"/>
      <c r="CB114" s="184"/>
      <c r="CC114" s="174"/>
      <c r="CD114" s="174"/>
      <c r="CE114" s="174"/>
      <c r="CF114" s="174"/>
      <c r="CG114" s="174"/>
      <c r="CH114" s="174"/>
      <c r="CI114" s="174"/>
      <c r="CJ114" s="174"/>
      <c r="CK114" s="174"/>
      <c r="CL114" s="174"/>
      <c r="CM114" s="174"/>
      <c r="CN114" s="174"/>
      <c r="CO114" s="174"/>
      <c r="CP114" s="174"/>
      <c r="CQ114" s="174"/>
      <c r="CR114" s="174"/>
      <c r="CS114" s="174"/>
      <c r="CT114" s="174"/>
      <c r="CU114" s="174"/>
      <c r="CV114" s="174"/>
      <c r="CW114" s="174"/>
      <c r="CX114" s="174"/>
      <c r="CY114" s="174"/>
      <c r="CZ114" s="174"/>
      <c r="DA114" s="174"/>
      <c r="DB114" s="174"/>
      <c r="DC114" s="174"/>
      <c r="DD114" s="174"/>
      <c r="DE114" s="174"/>
      <c r="DF114" s="174"/>
      <c r="DG114" s="174"/>
      <c r="DH114" s="174"/>
      <c r="DI114" s="174"/>
      <c r="DJ114" s="174"/>
      <c r="DK114" s="174"/>
    </row>
    <row r="115" spans="1:115" x14ac:dyDescent="0.4">
      <c r="A115" s="69"/>
      <c r="B115" s="206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8"/>
      <c r="W115" s="50"/>
      <c r="X115" s="50"/>
      <c r="Y115" s="50"/>
      <c r="Z115" s="51"/>
      <c r="AA115" s="50"/>
      <c r="AB115" s="50"/>
      <c r="AC115" s="50"/>
      <c r="AD115" s="51"/>
      <c r="AE115" s="50"/>
      <c r="AF115" s="50"/>
      <c r="AG115" s="50"/>
      <c r="AH115" s="51"/>
      <c r="AI115" s="50"/>
      <c r="AJ115" s="50"/>
      <c r="AK115" s="50"/>
      <c r="AL115" s="51"/>
      <c r="AM115" s="50"/>
      <c r="AN115" s="50"/>
      <c r="AO115" s="50"/>
      <c r="AP115" s="51"/>
      <c r="AQ115" s="50"/>
      <c r="AR115" s="50"/>
      <c r="AS115" s="50"/>
      <c r="AT115" s="51"/>
      <c r="AU115" s="50"/>
      <c r="AV115" s="50"/>
      <c r="AW115" s="50"/>
      <c r="AX115" s="51"/>
      <c r="AY115" s="50"/>
      <c r="AZ115" s="50"/>
      <c r="BA115" s="50"/>
      <c r="BB115" s="51"/>
      <c r="BC115" s="50"/>
      <c r="BD115" s="50"/>
      <c r="BE115" s="50"/>
      <c r="BF115" s="51"/>
      <c r="BG115" s="50"/>
      <c r="BH115" s="50"/>
      <c r="BI115" s="50"/>
      <c r="BJ115" s="51"/>
      <c r="BK115" s="50"/>
      <c r="BL115" s="50"/>
      <c r="BM115" s="50"/>
      <c r="BN115" s="51"/>
      <c r="BO115" s="50"/>
      <c r="BP115" s="50"/>
      <c r="BQ115" s="50"/>
      <c r="BR115" s="51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  <c r="CR115" s="50"/>
      <c r="CS115" s="50"/>
      <c r="CT115" s="50"/>
      <c r="CU115" s="50"/>
      <c r="CV115" s="50"/>
      <c r="CW115" s="50"/>
      <c r="CX115" s="50"/>
      <c r="CY115" s="50"/>
      <c r="CZ115" s="50"/>
      <c r="DA115" s="50"/>
      <c r="DB115" s="50"/>
      <c r="DC115" s="50"/>
      <c r="DD115" s="50"/>
      <c r="DE115" s="50"/>
      <c r="DF115" s="50"/>
      <c r="DG115" s="50"/>
      <c r="DH115" s="50"/>
      <c r="DI115" s="50"/>
      <c r="DJ115" s="50"/>
      <c r="DK115" s="50"/>
    </row>
    <row r="116" spans="1:115" x14ac:dyDescent="0.4">
      <c r="A116" s="212"/>
      <c r="B116" s="206" t="s">
        <v>133</v>
      </c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8"/>
      <c r="W116" s="50"/>
      <c r="X116" s="50"/>
      <c r="Y116" s="50"/>
      <c r="Z116" s="51"/>
      <c r="AA116" s="50"/>
      <c r="AB116" s="50"/>
      <c r="AC116" s="50"/>
      <c r="AD116" s="51"/>
      <c r="AE116" s="50"/>
      <c r="AF116" s="50"/>
      <c r="AG116" s="50"/>
      <c r="AH116" s="51"/>
      <c r="AI116" s="50"/>
      <c r="AJ116" s="50"/>
      <c r="AK116" s="50"/>
      <c r="AL116" s="51"/>
      <c r="AM116" s="50"/>
      <c r="AN116" s="50"/>
      <c r="AO116" s="50"/>
      <c r="AP116" s="51"/>
      <c r="AQ116" s="50"/>
      <c r="AR116" s="50"/>
      <c r="AS116" s="50"/>
      <c r="AT116" s="51"/>
      <c r="AU116" s="50"/>
      <c r="AV116" s="50"/>
      <c r="AW116" s="50"/>
      <c r="AX116" s="51"/>
      <c r="AY116" s="50"/>
      <c r="AZ116" s="50"/>
      <c r="BA116" s="50"/>
      <c r="BB116" s="51"/>
      <c r="BC116" s="50"/>
      <c r="BD116" s="50"/>
      <c r="BE116" s="50"/>
      <c r="BF116" s="51"/>
      <c r="BG116" s="50"/>
      <c r="BH116" s="50"/>
      <c r="BI116" s="50"/>
      <c r="BJ116" s="51"/>
      <c r="BK116" s="50"/>
      <c r="BL116" s="50"/>
      <c r="BM116" s="50"/>
      <c r="BN116" s="51"/>
      <c r="BO116" s="50"/>
      <c r="BP116" s="50"/>
      <c r="BQ116" s="50"/>
      <c r="BR116" s="51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  <c r="DG116" s="50"/>
      <c r="DH116" s="50"/>
      <c r="DI116" s="50"/>
      <c r="DJ116" s="50"/>
      <c r="DK116" s="50"/>
    </row>
    <row r="117" spans="1:115" x14ac:dyDescent="0.4">
      <c r="A117" s="41"/>
      <c r="B117" s="50" t="s">
        <v>134</v>
      </c>
      <c r="C117" s="50">
        <v>0</v>
      </c>
      <c r="D117" s="50">
        <v>0</v>
      </c>
      <c r="E117" s="50">
        <v>0</v>
      </c>
      <c r="F117" s="50">
        <v>0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  <c r="Q117" s="50">
        <v>0</v>
      </c>
      <c r="R117" s="50">
        <v>0</v>
      </c>
      <c r="S117" s="50">
        <v>0</v>
      </c>
      <c r="T117" s="50"/>
      <c r="U117" s="50"/>
      <c r="V117" s="8"/>
      <c r="W117" s="48"/>
      <c r="X117" s="48"/>
      <c r="Y117" s="48"/>
      <c r="Z117" s="207"/>
      <c r="AA117" s="48"/>
      <c r="AB117" s="48"/>
      <c r="AC117" s="48"/>
      <c r="AD117" s="207"/>
      <c r="AE117" s="48"/>
      <c r="AF117" s="48"/>
      <c r="AG117" s="48"/>
      <c r="AH117" s="207"/>
      <c r="AI117" s="48"/>
      <c r="AJ117" s="48"/>
      <c r="AK117" s="48"/>
      <c r="AL117" s="207"/>
      <c r="AM117" s="48"/>
      <c r="AN117" s="48"/>
      <c r="AO117" s="48"/>
      <c r="AP117" s="54"/>
      <c r="AQ117" s="52"/>
      <c r="AR117" s="52"/>
      <c r="AS117" s="52"/>
      <c r="AT117" s="54"/>
      <c r="AU117" s="52"/>
      <c r="AV117" s="52"/>
      <c r="AW117" s="52"/>
      <c r="AX117" s="54"/>
      <c r="AY117" s="52"/>
      <c r="AZ117" s="52"/>
      <c r="BA117" s="52"/>
      <c r="BB117" s="54"/>
      <c r="BC117" s="52"/>
      <c r="BD117" s="52"/>
      <c r="BE117" s="52"/>
      <c r="BF117" s="54"/>
      <c r="BG117" s="52"/>
      <c r="BH117" s="52"/>
      <c r="BI117" s="52"/>
      <c r="BJ117" s="54"/>
      <c r="BK117" s="52"/>
      <c r="BL117" s="52"/>
      <c r="BM117" s="52"/>
      <c r="BN117" s="54"/>
      <c r="BO117" s="52"/>
      <c r="BP117" s="52"/>
      <c r="BQ117" s="52"/>
      <c r="BR117" s="54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</row>
    <row r="118" spans="1:115" x14ac:dyDescent="0.4">
      <c r="A118" s="179"/>
      <c r="B118" s="195" t="s">
        <v>135</v>
      </c>
      <c r="C118" s="50">
        <v>0</v>
      </c>
      <c r="D118" s="50">
        <v>0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/>
      <c r="U118" s="50"/>
      <c r="V118" s="174"/>
      <c r="W118" s="210"/>
      <c r="X118" s="210"/>
      <c r="Y118" s="210"/>
      <c r="Z118" s="211"/>
      <c r="AA118" s="210"/>
      <c r="AB118" s="210"/>
      <c r="AC118" s="210"/>
      <c r="AD118" s="211"/>
      <c r="AE118" s="210"/>
      <c r="AF118" s="210"/>
      <c r="AG118" s="210"/>
      <c r="AH118" s="211"/>
      <c r="AI118" s="210"/>
      <c r="AJ118" s="210"/>
      <c r="AK118" s="210"/>
      <c r="AL118" s="211"/>
      <c r="AM118" s="210"/>
      <c r="AN118" s="210"/>
      <c r="AO118" s="210"/>
      <c r="AP118" s="176"/>
      <c r="AQ118" s="174"/>
      <c r="AR118" s="174"/>
      <c r="AS118" s="174"/>
      <c r="AT118" s="176"/>
      <c r="AU118" s="174"/>
      <c r="AV118" s="174"/>
      <c r="AW118" s="174"/>
      <c r="AX118" s="176"/>
      <c r="AY118" s="174"/>
      <c r="AZ118" s="174"/>
      <c r="BA118" s="174"/>
      <c r="BB118" s="176"/>
      <c r="BC118" s="174"/>
      <c r="BD118" s="174"/>
      <c r="BE118" s="174"/>
      <c r="BF118" s="176"/>
      <c r="BG118" s="174"/>
      <c r="BH118" s="174"/>
      <c r="BI118" s="174"/>
      <c r="BJ118" s="176"/>
      <c r="BK118" s="174"/>
      <c r="BL118" s="174"/>
      <c r="BM118" s="174"/>
      <c r="BN118" s="176"/>
      <c r="BO118" s="174"/>
      <c r="BP118" s="174"/>
      <c r="BQ118" s="174"/>
      <c r="BR118" s="176"/>
      <c r="BS118" s="174"/>
      <c r="BT118" s="174"/>
      <c r="BU118" s="174"/>
      <c r="BV118" s="174"/>
      <c r="BW118" s="174"/>
      <c r="BX118" s="174"/>
      <c r="BY118" s="174"/>
      <c r="BZ118" s="174"/>
      <c r="CA118" s="174"/>
      <c r="CB118" s="174"/>
      <c r="CC118" s="174"/>
      <c r="CD118" s="174"/>
      <c r="CE118" s="174"/>
      <c r="CF118" s="174"/>
      <c r="CG118" s="174"/>
      <c r="CH118" s="174"/>
      <c r="CI118" s="174"/>
      <c r="CJ118" s="174"/>
      <c r="CK118" s="174"/>
      <c r="CL118" s="174"/>
      <c r="CM118" s="174"/>
      <c r="CN118" s="174"/>
      <c r="CO118" s="174"/>
      <c r="CP118" s="174"/>
      <c r="CQ118" s="174"/>
      <c r="CR118" s="174"/>
      <c r="CS118" s="174"/>
      <c r="CT118" s="174"/>
      <c r="CU118" s="174"/>
      <c r="CV118" s="174"/>
      <c r="CW118" s="174"/>
      <c r="CX118" s="174"/>
      <c r="CY118" s="174"/>
      <c r="CZ118" s="174"/>
      <c r="DA118" s="174"/>
      <c r="DB118" s="174"/>
      <c r="DC118" s="174"/>
      <c r="DD118" s="174"/>
      <c r="DE118" s="174"/>
      <c r="DF118" s="174"/>
      <c r="DG118" s="174"/>
      <c r="DH118" s="174"/>
      <c r="DI118" s="174"/>
      <c r="DJ118" s="174"/>
      <c r="DK118" s="174"/>
    </row>
    <row r="119" spans="1:115" x14ac:dyDescent="0.4">
      <c r="A119" s="212"/>
      <c r="B119" s="213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8"/>
      <c r="W119" s="50"/>
      <c r="X119" s="50"/>
      <c r="Y119" s="50"/>
      <c r="Z119" s="51"/>
      <c r="AA119" s="50"/>
      <c r="AB119" s="50"/>
      <c r="AC119" s="50"/>
      <c r="AD119" s="51"/>
      <c r="AE119" s="50"/>
      <c r="AF119" s="50"/>
      <c r="AG119" s="50"/>
      <c r="AH119" s="51"/>
      <c r="AI119" s="50"/>
      <c r="AJ119" s="50"/>
      <c r="AK119" s="50"/>
      <c r="AL119" s="51"/>
      <c r="AM119" s="50"/>
      <c r="AN119" s="50"/>
      <c r="AO119" s="50"/>
      <c r="AP119" s="51"/>
      <c r="AQ119" s="50"/>
      <c r="AR119" s="50"/>
      <c r="AS119" s="50"/>
      <c r="AT119" s="51"/>
      <c r="AU119" s="50"/>
      <c r="AV119" s="50"/>
      <c r="AW119" s="50"/>
      <c r="AX119" s="51"/>
      <c r="AY119" s="50"/>
      <c r="AZ119" s="50"/>
      <c r="BA119" s="50"/>
      <c r="BB119" s="51"/>
      <c r="BC119" s="50"/>
      <c r="BD119" s="50"/>
      <c r="BE119" s="50"/>
      <c r="BF119" s="51"/>
      <c r="BG119" s="50"/>
      <c r="BH119" s="50"/>
      <c r="BI119" s="50"/>
      <c r="BJ119" s="51"/>
      <c r="BK119" s="50"/>
      <c r="BL119" s="50"/>
      <c r="BM119" s="50"/>
      <c r="BN119" s="51"/>
      <c r="BO119" s="50"/>
      <c r="BP119" s="50"/>
      <c r="BQ119" s="50"/>
      <c r="BR119" s="51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50"/>
      <c r="DH119" s="50"/>
      <c r="DI119" s="50"/>
      <c r="DJ119" s="50"/>
      <c r="DK119" s="50"/>
    </row>
    <row r="120" spans="1:115" x14ac:dyDescent="0.4">
      <c r="A120" s="69"/>
      <c r="B120" s="1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8"/>
      <c r="W120" s="50"/>
      <c r="X120" s="50"/>
      <c r="Y120" s="50"/>
      <c r="Z120" s="51"/>
      <c r="AA120" s="50"/>
      <c r="AB120" s="50"/>
      <c r="AC120" s="50"/>
      <c r="AD120" s="51"/>
      <c r="AE120" s="50"/>
      <c r="AF120" s="50"/>
      <c r="AG120" s="50"/>
      <c r="AH120" s="51"/>
      <c r="AI120" s="50"/>
      <c r="AJ120" s="50"/>
      <c r="AK120" s="50"/>
      <c r="AL120" s="51"/>
      <c r="AM120" s="50"/>
      <c r="AN120" s="50"/>
      <c r="AO120" s="50"/>
      <c r="AP120" s="7"/>
      <c r="AQ120" s="8"/>
      <c r="AR120" s="8"/>
      <c r="AS120" s="37"/>
      <c r="AT120" s="36"/>
      <c r="AU120" s="37"/>
      <c r="AV120" s="37"/>
      <c r="AW120" s="37"/>
      <c r="AX120" s="36"/>
      <c r="AY120" s="37"/>
      <c r="AZ120" s="37"/>
      <c r="BA120" s="37"/>
      <c r="BB120" s="36"/>
      <c r="BC120" s="37"/>
      <c r="BD120" s="37"/>
      <c r="BE120" s="37"/>
      <c r="BF120" s="36"/>
      <c r="BG120" s="37"/>
      <c r="BH120" s="37"/>
      <c r="BI120" s="37"/>
      <c r="BJ120" s="36"/>
      <c r="BK120" s="37"/>
      <c r="BL120" s="37"/>
      <c r="BM120" s="37"/>
      <c r="BN120" s="36"/>
      <c r="BO120" s="37"/>
      <c r="BP120" s="37"/>
      <c r="BQ120" s="37"/>
      <c r="BR120" s="36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</row>
    <row r="121" spans="1:115" x14ac:dyDescent="0.4">
      <c r="A121" s="29"/>
      <c r="B121" s="15" t="s">
        <v>136</v>
      </c>
      <c r="C121" s="23">
        <f t="shared" ref="C121:S121" si="136">C4</f>
        <v>2009</v>
      </c>
      <c r="D121" s="23">
        <f t="shared" si="136"/>
        <v>2010</v>
      </c>
      <c r="E121" s="23">
        <f t="shared" si="136"/>
        <v>2011</v>
      </c>
      <c r="F121" s="23">
        <f t="shared" si="136"/>
        <v>2012</v>
      </c>
      <c r="G121" s="23">
        <f t="shared" si="136"/>
        <v>2013</v>
      </c>
      <c r="H121" s="23">
        <f t="shared" si="136"/>
        <v>2014</v>
      </c>
      <c r="I121" s="23">
        <f t="shared" si="136"/>
        <v>2015</v>
      </c>
      <c r="J121" s="23">
        <f t="shared" si="136"/>
        <v>2016</v>
      </c>
      <c r="K121" s="23">
        <f t="shared" si="136"/>
        <v>2017</v>
      </c>
      <c r="L121" s="23">
        <f t="shared" si="136"/>
        <v>2018</v>
      </c>
      <c r="M121" s="23">
        <f t="shared" si="136"/>
        <v>2019</v>
      </c>
      <c r="N121" s="23">
        <f t="shared" si="136"/>
        <v>2020</v>
      </c>
      <c r="O121" s="23">
        <f t="shared" si="136"/>
        <v>2021</v>
      </c>
      <c r="P121" s="23">
        <f t="shared" si="136"/>
        <v>2022</v>
      </c>
      <c r="Q121" s="19">
        <f t="shared" si="136"/>
        <v>2023</v>
      </c>
      <c r="R121" s="19">
        <f t="shared" si="136"/>
        <v>2024</v>
      </c>
      <c r="S121" s="20">
        <f t="shared" si="136"/>
        <v>2025</v>
      </c>
      <c r="T121" s="20">
        <f>T4</f>
        <v>2026</v>
      </c>
      <c r="U121" s="20">
        <f>U4</f>
        <v>2027</v>
      </c>
      <c r="V121" s="11"/>
      <c r="W121" s="214"/>
      <c r="X121" s="214"/>
      <c r="Y121" s="214"/>
      <c r="Z121" s="215"/>
      <c r="AA121" s="214"/>
      <c r="AB121" s="214"/>
      <c r="AC121" s="214"/>
      <c r="AD121" s="215"/>
      <c r="AE121" s="214"/>
      <c r="AF121" s="214"/>
      <c r="AG121" s="214"/>
      <c r="AH121" s="215"/>
      <c r="AI121" s="214"/>
      <c r="AJ121" s="214"/>
      <c r="AK121" s="214"/>
      <c r="AL121" s="215"/>
      <c r="AM121" s="214"/>
      <c r="AN121" s="214"/>
      <c r="AO121" s="214"/>
      <c r="AP121" s="216"/>
      <c r="AQ121" s="27"/>
      <c r="AR121" s="27"/>
      <c r="AS121" s="27"/>
      <c r="AT121" s="216"/>
      <c r="AU121" s="27"/>
      <c r="AV121" s="27"/>
      <c r="AW121" s="27"/>
      <c r="AX121" s="216"/>
      <c r="AY121" s="27"/>
      <c r="AZ121" s="27"/>
      <c r="BA121" s="27"/>
      <c r="BB121" s="216"/>
      <c r="BC121" s="27"/>
      <c r="BD121" s="27"/>
      <c r="BE121" s="27"/>
      <c r="BF121" s="216"/>
      <c r="BG121" s="27"/>
      <c r="BH121" s="27"/>
      <c r="BI121" s="27"/>
      <c r="BJ121" s="216"/>
      <c r="BK121" s="27"/>
      <c r="BL121" s="27"/>
      <c r="BM121" s="27"/>
      <c r="BN121" s="216"/>
      <c r="BO121" s="27"/>
      <c r="BP121" s="27"/>
      <c r="BQ121" s="27"/>
      <c r="BR121" s="216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</row>
    <row r="122" spans="1:115" x14ac:dyDescent="0.4">
      <c r="A122" s="69"/>
      <c r="B122" s="16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8"/>
      <c r="W122" s="217"/>
      <c r="X122" s="217"/>
      <c r="Y122" s="217"/>
      <c r="Z122" s="218"/>
      <c r="AA122" s="217"/>
      <c r="AB122" s="217"/>
      <c r="AC122" s="217"/>
      <c r="AD122" s="218"/>
      <c r="AE122" s="217"/>
      <c r="AF122" s="217"/>
      <c r="AG122" s="217"/>
      <c r="AH122" s="218"/>
      <c r="AI122" s="217"/>
      <c r="AJ122" s="217"/>
      <c r="AK122" s="217"/>
      <c r="AL122" s="218"/>
      <c r="AM122" s="217"/>
      <c r="AN122" s="217"/>
      <c r="AO122" s="217"/>
      <c r="AP122" s="7"/>
      <c r="AQ122" s="8"/>
      <c r="AR122" s="8"/>
      <c r="AS122" s="37"/>
      <c r="AT122" s="36"/>
      <c r="AU122" s="37"/>
      <c r="AV122" s="37"/>
      <c r="AW122" s="37"/>
      <c r="AX122" s="36"/>
      <c r="AY122" s="37"/>
      <c r="AZ122" s="37"/>
      <c r="BA122" s="37"/>
      <c r="BB122" s="36"/>
      <c r="BC122" s="37"/>
      <c r="BD122" s="37"/>
      <c r="BE122" s="37"/>
      <c r="BF122" s="36"/>
      <c r="BG122" s="37"/>
      <c r="BH122" s="37"/>
      <c r="BI122" s="37"/>
      <c r="BJ122" s="36"/>
      <c r="BK122" s="37"/>
      <c r="BL122" s="37"/>
      <c r="BM122" s="37"/>
      <c r="BN122" s="36"/>
      <c r="BO122" s="37"/>
      <c r="BP122" s="37"/>
      <c r="BQ122" s="37"/>
      <c r="BR122" s="36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</row>
    <row r="123" spans="1:115" x14ac:dyDescent="0.4">
      <c r="A123" s="41"/>
      <c r="B123" s="50" t="s">
        <v>137</v>
      </c>
      <c r="C123" s="50">
        <v>28.35335516</v>
      </c>
      <c r="D123" s="50">
        <v>36.992298700000006</v>
      </c>
      <c r="E123" s="50">
        <v>37.328881090000003</v>
      </c>
      <c r="F123" s="50">
        <v>242.63506275</v>
      </c>
      <c r="G123" s="50">
        <v>210.59394401</v>
      </c>
      <c r="H123" s="50">
        <v>136.40813797000001</v>
      </c>
      <c r="I123" s="50">
        <v>112.31353095</v>
      </c>
      <c r="J123" s="50">
        <v>69.262623849999997</v>
      </c>
      <c r="K123" s="50">
        <v>957.23181504000001</v>
      </c>
      <c r="L123" s="50">
        <v>1041.18005212</v>
      </c>
      <c r="M123" s="50">
        <v>1236.1909215399999</v>
      </c>
      <c r="N123" s="50">
        <v>1679.4827892799999</v>
      </c>
      <c r="O123" s="50">
        <v>3514.61307115</v>
      </c>
      <c r="P123" s="50">
        <v>2831.0227008500001</v>
      </c>
      <c r="Q123" s="50">
        <v>3317.2784822600001</v>
      </c>
      <c r="R123" s="50">
        <v>5053.8050739399996</v>
      </c>
      <c r="S123" s="50">
        <f t="shared" ref="S123:U123" si="137">R123+S232</f>
        <v>6366.7463011696673</v>
      </c>
      <c r="T123" s="50">
        <f t="shared" si="137"/>
        <v>13855.971799754647</v>
      </c>
      <c r="U123" s="50">
        <f t="shared" si="137"/>
        <v>26301.670714653308</v>
      </c>
      <c r="V123" s="8"/>
      <c r="W123" s="50"/>
      <c r="X123" s="50"/>
      <c r="Y123" s="50"/>
      <c r="Z123" s="51"/>
      <c r="AA123" s="50"/>
      <c r="AB123" s="50"/>
      <c r="AC123" s="50"/>
      <c r="AD123" s="51"/>
      <c r="AE123" s="50"/>
      <c r="AF123" s="50"/>
      <c r="AG123" s="50"/>
      <c r="AH123" s="51"/>
      <c r="AI123" s="50"/>
      <c r="AJ123" s="50"/>
      <c r="AK123" s="50"/>
      <c r="AL123" s="219"/>
      <c r="AM123" s="220"/>
      <c r="AN123" s="220"/>
      <c r="AO123" s="50"/>
      <c r="AP123" s="36"/>
      <c r="AQ123" s="37"/>
      <c r="AR123" s="37"/>
      <c r="AS123" s="37"/>
      <c r="AT123" s="36"/>
      <c r="AU123" s="37"/>
      <c r="AV123" s="37"/>
      <c r="AW123" s="37"/>
      <c r="AX123" s="36"/>
      <c r="AY123" s="37"/>
      <c r="AZ123" s="37"/>
      <c r="BA123" s="37"/>
      <c r="BB123" s="36"/>
      <c r="BC123" s="37"/>
      <c r="BD123" s="37"/>
      <c r="BE123" s="37"/>
      <c r="BF123" s="36"/>
      <c r="BG123" s="37"/>
      <c r="BH123" s="37"/>
      <c r="BI123" s="37"/>
      <c r="BJ123" s="36"/>
      <c r="BK123" s="37"/>
      <c r="BL123" s="37"/>
      <c r="BM123" s="37"/>
      <c r="BN123" s="36"/>
      <c r="BO123" s="37"/>
      <c r="BP123" s="37"/>
      <c r="BQ123" s="37"/>
      <c r="BR123" s="36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</row>
    <row r="124" spans="1:115" x14ac:dyDescent="0.4">
      <c r="A124" s="41"/>
      <c r="B124" s="50" t="s">
        <v>138</v>
      </c>
      <c r="C124" s="50">
        <v>28.899694289999999</v>
      </c>
      <c r="D124" s="50">
        <v>43.075698760000009</v>
      </c>
      <c r="E124" s="50">
        <v>49.530934259999995</v>
      </c>
      <c r="F124" s="50">
        <v>72.626741319999994</v>
      </c>
      <c r="G124" s="50">
        <v>72.041436050000016</v>
      </c>
      <c r="H124" s="50">
        <v>88.275945629999995</v>
      </c>
      <c r="I124" s="50">
        <v>92.819074029999996</v>
      </c>
      <c r="J124" s="50">
        <v>81.216243950000006</v>
      </c>
      <c r="K124" s="50">
        <v>1100.6411127399999</v>
      </c>
      <c r="L124" s="50">
        <v>880.47931901000004</v>
      </c>
      <c r="M124" s="50">
        <v>1132.5421733000001</v>
      </c>
      <c r="N124" s="50">
        <v>1583.8447138299998</v>
      </c>
      <c r="O124" s="50">
        <v>2126.8253651300001</v>
      </c>
      <c r="P124" s="50">
        <v>1565.0164350799998</v>
      </c>
      <c r="Q124" s="50">
        <v>2904.7925943999999</v>
      </c>
      <c r="R124" s="50">
        <v>4670.6271478299996</v>
      </c>
      <c r="S124" s="221">
        <f t="shared" ref="S124:U124" si="138">+S7*S163*2/365-R124</f>
        <v>7810.0697333080307</v>
      </c>
      <c r="T124" s="221">
        <f t="shared" si="138"/>
        <v>10482.820136222344</v>
      </c>
      <c r="U124" s="221">
        <f t="shared" si="138"/>
        <v>13744.443730479332</v>
      </c>
      <c r="V124" s="8"/>
      <c r="W124" s="50"/>
      <c r="X124" s="50"/>
      <c r="Y124" s="50"/>
      <c r="Z124" s="51"/>
      <c r="AA124" s="50"/>
      <c r="AB124" s="50"/>
      <c r="AC124" s="50"/>
      <c r="AD124" s="51"/>
      <c r="AE124" s="50"/>
      <c r="AF124" s="50"/>
      <c r="AG124" s="50"/>
      <c r="AH124" s="51"/>
      <c r="AI124" s="50"/>
      <c r="AJ124" s="50"/>
      <c r="AK124" s="50"/>
      <c r="AL124" s="51"/>
      <c r="AM124" s="50"/>
      <c r="AN124" s="50"/>
      <c r="AO124" s="50"/>
      <c r="AP124" s="36"/>
      <c r="AQ124" s="37"/>
      <c r="AR124" s="37"/>
      <c r="AS124" s="37"/>
      <c r="AT124" s="36"/>
      <c r="AU124" s="37"/>
      <c r="AV124" s="37"/>
      <c r="AW124" s="37"/>
      <c r="AX124" s="36"/>
      <c r="AY124" s="37"/>
      <c r="AZ124" s="37"/>
      <c r="BA124" s="37"/>
      <c r="BB124" s="36"/>
      <c r="BC124" s="37"/>
      <c r="BD124" s="37"/>
      <c r="BE124" s="37"/>
      <c r="BF124" s="36"/>
      <c r="BG124" s="37"/>
      <c r="BH124" s="37"/>
      <c r="BI124" s="37"/>
      <c r="BJ124" s="36"/>
      <c r="BK124" s="37"/>
      <c r="BL124" s="37"/>
      <c r="BM124" s="37"/>
      <c r="BN124" s="36"/>
      <c r="BO124" s="37"/>
      <c r="BP124" s="37"/>
      <c r="BQ124" s="37"/>
      <c r="BR124" s="36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</row>
    <row r="125" spans="1:115" x14ac:dyDescent="0.4">
      <c r="A125" s="41"/>
      <c r="B125" s="50" t="s">
        <v>139</v>
      </c>
      <c r="C125" s="50">
        <v>41.052337950000002</v>
      </c>
      <c r="D125" s="50">
        <v>48.759128859999997</v>
      </c>
      <c r="E125" s="50">
        <v>61.826007619999999</v>
      </c>
      <c r="F125" s="50">
        <v>60.674320600000001</v>
      </c>
      <c r="G125" s="50">
        <v>83.654502800000003</v>
      </c>
      <c r="H125" s="50">
        <v>75.383200860000002</v>
      </c>
      <c r="I125" s="50">
        <v>82.232522549999999</v>
      </c>
      <c r="J125" s="50">
        <v>71.610449379999991</v>
      </c>
      <c r="K125" s="50">
        <v>1968.99550473</v>
      </c>
      <c r="L125" s="50">
        <v>2118.9746613399998</v>
      </c>
      <c r="M125" s="50">
        <v>2503.6216147700002</v>
      </c>
      <c r="N125" s="50">
        <v>3774.2940430399999</v>
      </c>
      <c r="O125" s="50">
        <v>3799.2171468800002</v>
      </c>
      <c r="P125" s="50">
        <v>3887.9523841300002</v>
      </c>
      <c r="Q125" s="50">
        <v>4294.6602160000002</v>
      </c>
      <c r="R125" s="50">
        <v>7051.3202160399997</v>
      </c>
      <c r="S125" s="221">
        <f t="shared" ref="S125:U125" si="139">+S164*S10*2/365-R125</f>
        <v>9766.6728525697399</v>
      </c>
      <c r="T125" s="221">
        <f t="shared" si="139"/>
        <v>14550.578362841683</v>
      </c>
      <c r="U125" s="221">
        <f t="shared" si="139"/>
        <v>18431.706082865698</v>
      </c>
      <c r="V125" s="8"/>
      <c r="W125" s="50"/>
      <c r="X125" s="50"/>
      <c r="Y125" s="50"/>
      <c r="Z125" s="51"/>
      <c r="AA125" s="50"/>
      <c r="AB125" s="50"/>
      <c r="AC125" s="50"/>
      <c r="AD125" s="51"/>
      <c r="AE125" s="50"/>
      <c r="AF125" s="50"/>
      <c r="AG125" s="50"/>
      <c r="AH125" s="51"/>
      <c r="AI125" s="50"/>
      <c r="AJ125" s="50"/>
      <c r="AK125" s="50"/>
      <c r="AL125" s="222"/>
      <c r="AM125" s="43"/>
      <c r="AN125" s="43"/>
      <c r="AO125" s="50"/>
      <c r="AP125" s="223"/>
      <c r="AQ125" s="224"/>
      <c r="AR125" s="224"/>
      <c r="AS125" s="224"/>
      <c r="AT125" s="223"/>
      <c r="AU125" s="224"/>
      <c r="AV125" s="224"/>
      <c r="AW125" s="224"/>
      <c r="AX125" s="223"/>
      <c r="AY125" s="224"/>
      <c r="AZ125" s="224"/>
      <c r="BA125" s="224"/>
      <c r="BB125" s="223"/>
      <c r="BC125" s="224"/>
      <c r="BD125" s="224"/>
      <c r="BE125" s="224"/>
      <c r="BF125" s="223"/>
      <c r="BG125" s="224"/>
      <c r="BH125" s="224"/>
      <c r="BI125" s="224"/>
      <c r="BJ125" s="223"/>
      <c r="BK125" s="224"/>
      <c r="BL125" s="224"/>
      <c r="BM125" s="224"/>
      <c r="BN125" s="223"/>
      <c r="BO125" s="224"/>
      <c r="BP125" s="224"/>
      <c r="BQ125" s="224"/>
      <c r="BR125" s="223"/>
      <c r="BS125" s="224"/>
      <c r="BT125" s="224"/>
      <c r="BU125" s="224"/>
      <c r="BV125" s="224"/>
      <c r="BW125" s="224"/>
      <c r="BX125" s="224"/>
      <c r="BY125" s="224"/>
      <c r="BZ125" s="224"/>
      <c r="CA125" s="224"/>
      <c r="CB125" s="224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</row>
    <row r="126" spans="1:115" x14ac:dyDescent="0.4">
      <c r="A126" s="41"/>
      <c r="B126" s="50" t="s">
        <v>140</v>
      </c>
      <c r="C126" s="50">
        <f>+C127-SUM(C123:C125)</f>
        <v>1.2660871799999995</v>
      </c>
      <c r="D126" s="50">
        <f t="shared" ref="D126:K126" si="140">+D127-SUM(D123:D125)</f>
        <v>13.30810889</v>
      </c>
      <c r="E126" s="50">
        <f t="shared" si="140"/>
        <v>6.892866319999996</v>
      </c>
      <c r="F126" s="50">
        <f t="shared" si="140"/>
        <v>5.9261008800000354</v>
      </c>
      <c r="G126" s="50">
        <f t="shared" si="140"/>
        <v>2.4278595300000347</v>
      </c>
      <c r="H126" s="50">
        <f t="shared" si="140"/>
        <v>3.7192242799999917</v>
      </c>
      <c r="I126" s="50">
        <f t="shared" si="140"/>
        <v>7.2398119700000052</v>
      </c>
      <c r="J126" s="50">
        <f t="shared" si="140"/>
        <v>81.904445490000057</v>
      </c>
      <c r="K126" s="50">
        <f t="shared" si="140"/>
        <v>280.88749604000031</v>
      </c>
      <c r="L126" s="50">
        <f t="shared" ref="L126:Q126" si="141">+L127-SUM(L123:L125)</f>
        <v>117.47203932000002</v>
      </c>
      <c r="M126" s="50">
        <f t="shared" si="141"/>
        <v>1118.98061091</v>
      </c>
      <c r="N126" s="50">
        <f t="shared" si="141"/>
        <v>944.27176251000037</v>
      </c>
      <c r="O126" s="50">
        <f t="shared" si="141"/>
        <v>581.07104829000127</v>
      </c>
      <c r="P126" s="50">
        <f t="shared" si="141"/>
        <v>1303.1057178899991</v>
      </c>
      <c r="Q126" s="50">
        <f t="shared" si="141"/>
        <v>802.66357702999994</v>
      </c>
      <c r="R126" s="50">
        <f>+R127-SUM(R123:R125)</f>
        <v>1419.9918620300014</v>
      </c>
      <c r="S126" s="50">
        <f t="shared" ref="S126:U126" si="142">S127-SUM(S123:S125)</f>
        <v>1926.3298301400027</v>
      </c>
      <c r="T126" s="50">
        <f t="shared" si="142"/>
        <v>2426.3298301400137</v>
      </c>
      <c r="U126" s="50">
        <f t="shared" si="142"/>
        <v>2926.3298301400064</v>
      </c>
      <c r="V126" s="8"/>
      <c r="W126" s="50"/>
      <c r="X126" s="50"/>
      <c r="Y126" s="50"/>
      <c r="Z126" s="51"/>
      <c r="AA126" s="50"/>
      <c r="AB126" s="50"/>
      <c r="AC126" s="50"/>
      <c r="AD126" s="51"/>
      <c r="AE126" s="50"/>
      <c r="AF126" s="50"/>
      <c r="AG126" s="50"/>
      <c r="AH126" s="51"/>
      <c r="AI126" s="50"/>
      <c r="AJ126" s="50"/>
      <c r="AK126" s="50"/>
      <c r="AL126" s="222"/>
      <c r="AM126" s="43"/>
      <c r="AN126" s="43"/>
      <c r="AO126" s="50"/>
      <c r="AP126" s="225"/>
      <c r="AQ126" s="226"/>
      <c r="AR126" s="226"/>
      <c r="AS126" s="226"/>
      <c r="AT126" s="225"/>
      <c r="AU126" s="226"/>
      <c r="AV126" s="226"/>
      <c r="AW126" s="226"/>
      <c r="AX126" s="225"/>
      <c r="AY126" s="226"/>
      <c r="AZ126" s="226"/>
      <c r="BA126" s="226"/>
      <c r="BB126" s="225"/>
      <c r="BC126" s="226"/>
      <c r="BD126" s="226"/>
      <c r="BE126" s="226"/>
      <c r="BF126" s="225"/>
      <c r="BG126" s="226"/>
      <c r="BH126" s="226"/>
      <c r="BI126" s="226"/>
      <c r="BJ126" s="225"/>
      <c r="BK126" s="226"/>
      <c r="BL126" s="226"/>
      <c r="BM126" s="226"/>
      <c r="BN126" s="225"/>
      <c r="BO126" s="226"/>
      <c r="BP126" s="226"/>
      <c r="BQ126" s="226"/>
      <c r="BR126" s="225"/>
      <c r="BS126" s="226"/>
      <c r="BT126" s="226"/>
      <c r="BU126" s="226"/>
      <c r="BV126" s="226"/>
      <c r="BW126" s="226"/>
      <c r="BX126" s="226"/>
      <c r="BY126" s="226"/>
      <c r="BZ126" s="226"/>
      <c r="CA126" s="226"/>
      <c r="CB126" s="226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</row>
    <row r="127" spans="1:115" x14ac:dyDescent="0.4">
      <c r="A127" s="41"/>
      <c r="B127" s="63" t="s">
        <v>141</v>
      </c>
      <c r="C127" s="63">
        <v>99.57147458</v>
      </c>
      <c r="D127" s="63">
        <v>142.13523521000002</v>
      </c>
      <c r="E127" s="63">
        <v>155.57868929</v>
      </c>
      <c r="F127" s="63">
        <v>381.86222555000001</v>
      </c>
      <c r="G127" s="63">
        <v>368.71774239000001</v>
      </c>
      <c r="H127" s="63">
        <v>303.78650873999999</v>
      </c>
      <c r="I127" s="63">
        <v>294.6049395</v>
      </c>
      <c r="J127" s="63">
        <v>303.99376267000002</v>
      </c>
      <c r="K127" s="63">
        <v>4307.7559285500001</v>
      </c>
      <c r="L127" s="63">
        <v>4158.10607179</v>
      </c>
      <c r="M127" s="63">
        <v>5991.3353205200001</v>
      </c>
      <c r="N127" s="63">
        <v>7981.89330866</v>
      </c>
      <c r="O127" s="63">
        <v>10021.726631450001</v>
      </c>
      <c r="P127" s="63">
        <v>9587.0972379499999</v>
      </c>
      <c r="Q127" s="63">
        <v>11319.394869690001</v>
      </c>
      <c r="R127" s="63">
        <v>18195.74429984</v>
      </c>
      <c r="S127" s="63">
        <f t="shared" ref="S127:U127" si="143">+S158-S137</f>
        <v>25869.818717187442</v>
      </c>
      <c r="T127" s="63">
        <f t="shared" si="143"/>
        <v>41315.700128958684</v>
      </c>
      <c r="U127" s="63">
        <f t="shared" si="143"/>
        <v>61404.150358138344</v>
      </c>
      <c r="V127" s="8"/>
      <c r="W127" s="42"/>
      <c r="X127" s="42"/>
      <c r="Y127" s="42"/>
      <c r="Z127" s="44"/>
      <c r="AA127" s="42"/>
      <c r="AB127" s="42"/>
      <c r="AC127" s="42"/>
      <c r="AD127" s="44"/>
      <c r="AE127" s="42"/>
      <c r="AF127" s="42"/>
      <c r="AG127" s="42"/>
      <c r="AH127" s="44"/>
      <c r="AI127" s="42"/>
      <c r="AJ127" s="42"/>
      <c r="AK127" s="42"/>
      <c r="AL127" s="44"/>
      <c r="AM127" s="42"/>
      <c r="AN127" s="42"/>
      <c r="AO127" s="42"/>
      <c r="AP127" s="44"/>
      <c r="AQ127" s="42"/>
      <c r="AR127" s="42"/>
      <c r="AS127" s="42"/>
      <c r="AT127" s="44"/>
      <c r="AU127" s="42"/>
      <c r="AV127" s="42"/>
      <c r="AW127" s="42"/>
      <c r="AX127" s="44"/>
      <c r="AY127" s="42"/>
      <c r="AZ127" s="42"/>
      <c r="BA127" s="42"/>
      <c r="BB127" s="44"/>
      <c r="BC127" s="42"/>
      <c r="BD127" s="42"/>
      <c r="BE127" s="42"/>
      <c r="BF127" s="44"/>
      <c r="BG127" s="42"/>
      <c r="BH127" s="42"/>
      <c r="BI127" s="42"/>
      <c r="BJ127" s="44"/>
      <c r="BK127" s="42"/>
      <c r="BL127" s="42"/>
      <c r="BM127" s="42"/>
      <c r="BN127" s="44"/>
      <c r="BO127" s="42"/>
      <c r="BP127" s="42"/>
      <c r="BQ127" s="42"/>
      <c r="BR127" s="44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  <c r="CQ127" s="42"/>
      <c r="CR127" s="42"/>
      <c r="CS127" s="42"/>
      <c r="CT127" s="42"/>
      <c r="CU127" s="42"/>
      <c r="CV127" s="42"/>
      <c r="CW127" s="42"/>
      <c r="CX127" s="42"/>
      <c r="CY127" s="42"/>
      <c r="CZ127" s="42"/>
      <c r="DA127" s="42"/>
      <c r="DB127" s="42"/>
      <c r="DC127" s="42"/>
      <c r="DD127" s="42"/>
      <c r="DE127" s="42"/>
      <c r="DF127" s="42"/>
      <c r="DG127" s="42"/>
      <c r="DH127" s="42"/>
      <c r="DI127" s="42"/>
      <c r="DJ127" s="42"/>
      <c r="DK127" s="42"/>
    </row>
    <row r="128" spans="1:115" x14ac:dyDescent="0.4">
      <c r="A128" s="41"/>
      <c r="B128" s="59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8"/>
      <c r="W128" s="50"/>
      <c r="X128" s="50"/>
      <c r="Y128" s="50"/>
      <c r="Z128" s="51"/>
      <c r="AA128" s="50"/>
      <c r="AB128" s="50"/>
      <c r="AC128" s="50"/>
      <c r="AD128" s="51"/>
      <c r="AE128" s="50"/>
      <c r="AF128" s="50"/>
      <c r="AG128" s="50"/>
      <c r="AH128" s="51"/>
      <c r="AI128" s="50"/>
      <c r="AJ128" s="50"/>
      <c r="AK128" s="50"/>
      <c r="AL128" s="51"/>
      <c r="AM128" s="50"/>
      <c r="AN128" s="50"/>
      <c r="AO128" s="50"/>
      <c r="AP128" s="7"/>
      <c r="AQ128" s="8"/>
      <c r="AR128" s="8"/>
      <c r="AS128" s="8"/>
      <c r="AT128" s="7"/>
      <c r="AU128" s="8"/>
      <c r="AV128" s="8"/>
      <c r="AW128" s="8"/>
      <c r="AX128" s="7"/>
      <c r="AY128" s="8"/>
      <c r="AZ128" s="8"/>
      <c r="BA128" s="8"/>
      <c r="BB128" s="7"/>
      <c r="BC128" s="8"/>
      <c r="BD128" s="8"/>
      <c r="BE128" s="8"/>
      <c r="BF128" s="7"/>
      <c r="BG128" s="8"/>
      <c r="BH128" s="8"/>
      <c r="BI128" s="8"/>
      <c r="BJ128" s="7"/>
      <c r="BK128" s="8"/>
      <c r="BL128" s="8"/>
      <c r="BM128" s="8"/>
      <c r="BN128" s="7"/>
      <c r="BO128" s="8"/>
      <c r="BP128" s="8"/>
      <c r="BQ128" s="8"/>
      <c r="BR128" s="7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140"/>
      <c r="CD128" s="140"/>
      <c r="CE128" s="140"/>
      <c r="CF128" s="140"/>
      <c r="CG128" s="140"/>
      <c r="CH128" s="140"/>
      <c r="CI128" s="140"/>
      <c r="CJ128" s="140"/>
      <c r="CK128" s="140"/>
      <c r="CL128" s="140"/>
      <c r="CM128" s="140"/>
      <c r="CN128" s="140"/>
      <c r="CO128" s="140"/>
      <c r="CP128" s="140"/>
      <c r="CQ128" s="140"/>
      <c r="CR128" s="140"/>
      <c r="CS128" s="140"/>
      <c r="CT128" s="140"/>
      <c r="CU128" s="140"/>
      <c r="CV128" s="140"/>
      <c r="CW128" s="140"/>
      <c r="CX128" s="140"/>
      <c r="CY128" s="140"/>
      <c r="CZ128" s="140"/>
      <c r="DA128" s="140"/>
      <c r="DB128" s="140"/>
      <c r="DC128" s="140"/>
      <c r="DD128" s="140"/>
      <c r="DE128" s="140"/>
      <c r="DF128" s="140"/>
      <c r="DG128" s="140"/>
      <c r="DH128" s="140"/>
      <c r="DI128" s="140"/>
      <c r="DJ128" s="140"/>
      <c r="DK128" s="140"/>
    </row>
    <row r="129" spans="1:116" x14ac:dyDescent="0.4">
      <c r="A129" s="227"/>
      <c r="B129" s="98" t="s">
        <v>142</v>
      </c>
      <c r="C129" s="50">
        <f>C131-C130</f>
        <v>41.156635700000002</v>
      </c>
      <c r="D129" s="50">
        <f t="shared" ref="D129:Q129" si="144">D131-D130</f>
        <v>45.725921909999997</v>
      </c>
      <c r="E129" s="50">
        <f t="shared" si="144"/>
        <v>101.78265418000001</v>
      </c>
      <c r="F129" s="50">
        <f t="shared" si="144"/>
        <v>152.07048725999999</v>
      </c>
      <c r="G129" s="50">
        <f t="shared" si="144"/>
        <v>163.02979077000001</v>
      </c>
      <c r="H129" s="50">
        <f t="shared" si="144"/>
        <v>175.12416664</v>
      </c>
      <c r="I129" s="50">
        <f t="shared" si="144"/>
        <v>245.78737972999997</v>
      </c>
      <c r="J129" s="50">
        <f t="shared" si="144"/>
        <v>256.45811430000003</v>
      </c>
      <c r="K129" s="50">
        <f t="shared" si="144"/>
        <v>1408.4331745100001</v>
      </c>
      <c r="L129" s="50">
        <f t="shared" si="144"/>
        <v>1864.5709969</v>
      </c>
      <c r="M129" s="50">
        <f t="shared" si="144"/>
        <v>2489.4286203500001</v>
      </c>
      <c r="N129" s="50">
        <f t="shared" si="144"/>
        <v>3501.5838468799998</v>
      </c>
      <c r="O129" s="50">
        <f t="shared" si="144"/>
        <v>4078.5934840499999</v>
      </c>
      <c r="P129" s="50">
        <f t="shared" si="144"/>
        <v>4498.11356497</v>
      </c>
      <c r="Q129" s="50">
        <f t="shared" si="144"/>
        <v>5571.67912695</v>
      </c>
      <c r="R129" s="50">
        <f>R131-R130</f>
        <v>7921.570648859999</v>
      </c>
      <c r="S129" s="50">
        <f t="shared" ref="S129:U129" si="145">+S131-S130</f>
        <v>10860.959435211998</v>
      </c>
      <c r="T129" s="50">
        <f t="shared" si="145"/>
        <v>13456.4093429288</v>
      </c>
      <c r="U129" s="50">
        <f t="shared" si="145"/>
        <v>15432.769269102238</v>
      </c>
      <c r="V129" s="8"/>
      <c r="W129" s="50"/>
      <c r="X129" s="50"/>
      <c r="Y129" s="50"/>
      <c r="Z129" s="51"/>
      <c r="AA129" s="50"/>
      <c r="AB129" s="50"/>
      <c r="AC129" s="50"/>
      <c r="AD129" s="51"/>
      <c r="AE129" s="50"/>
      <c r="AF129" s="50"/>
      <c r="AG129" s="50"/>
      <c r="AH129" s="51"/>
      <c r="AI129" s="50"/>
      <c r="AJ129" s="50"/>
      <c r="AK129" s="50"/>
      <c r="AL129" s="51"/>
      <c r="AM129" s="50"/>
      <c r="AN129" s="50"/>
      <c r="AO129" s="50"/>
      <c r="AP129" s="51"/>
      <c r="AQ129" s="50"/>
      <c r="AR129" s="50"/>
      <c r="AS129" s="50"/>
      <c r="AT129" s="51"/>
      <c r="AU129" s="50"/>
      <c r="AV129" s="50"/>
      <c r="AW129" s="50"/>
      <c r="AX129" s="51"/>
      <c r="AY129" s="50"/>
      <c r="AZ129" s="50"/>
      <c r="BA129" s="50"/>
      <c r="BB129" s="51"/>
      <c r="BC129" s="50"/>
      <c r="BD129" s="50"/>
      <c r="BE129" s="50"/>
      <c r="BF129" s="51"/>
      <c r="BG129" s="50"/>
      <c r="BH129" s="50"/>
      <c r="BI129" s="50"/>
      <c r="BJ129" s="51"/>
      <c r="BK129" s="50"/>
      <c r="BL129" s="50"/>
      <c r="BM129" s="50"/>
      <c r="BN129" s="51"/>
      <c r="BO129" s="50"/>
      <c r="BP129" s="50"/>
      <c r="BQ129" s="50"/>
      <c r="BR129" s="51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</row>
    <row r="130" spans="1:116" x14ac:dyDescent="0.4">
      <c r="A130" s="227"/>
      <c r="B130" s="228" t="s">
        <v>143</v>
      </c>
      <c r="C130" s="50">
        <v>0</v>
      </c>
      <c r="D130" s="50">
        <v>0</v>
      </c>
      <c r="E130" s="50">
        <v>-15.70638623</v>
      </c>
      <c r="F130" s="50">
        <v>-24.63158619</v>
      </c>
      <c r="G130" s="50">
        <v>-36.356972219999996</v>
      </c>
      <c r="H130" s="50">
        <v>-43.34178807</v>
      </c>
      <c r="I130" s="50">
        <v>-58.461258469999997</v>
      </c>
      <c r="J130" s="50">
        <v>-72.686815109999998</v>
      </c>
      <c r="K130" s="50">
        <v>-246.33312225999998</v>
      </c>
      <c r="L130" s="50">
        <v>-368.00939955000001</v>
      </c>
      <c r="M130" s="50">
        <v>-539.56846962999998</v>
      </c>
      <c r="N130" s="50">
        <v>-775.42577514000004</v>
      </c>
      <c r="O130" s="50">
        <v>-926.7639244500001</v>
      </c>
      <c r="P130" s="50">
        <v>-1281.1232615599999</v>
      </c>
      <c r="Q130" s="50">
        <v>-1624.0521022200001</v>
      </c>
      <c r="R130" s="50">
        <v>-2101.6888569600001</v>
      </c>
      <c r="S130" s="50">
        <f t="shared" ref="S130:U130" si="146">+R130-S179</f>
        <v>-2741.8758540690001</v>
      </c>
      <c r="T130" s="50">
        <f t="shared" si="146"/>
        <v>-3634.9750479947297</v>
      </c>
      <c r="U130" s="50">
        <f t="shared" si="146"/>
        <v>-4715.3328204374775</v>
      </c>
      <c r="V130" s="8"/>
      <c r="W130" s="50"/>
      <c r="X130" s="50"/>
      <c r="Y130" s="50"/>
      <c r="Z130" s="51"/>
      <c r="AA130" s="50"/>
      <c r="AB130" s="50"/>
      <c r="AC130" s="50"/>
      <c r="AD130" s="51"/>
      <c r="AE130" s="50"/>
      <c r="AF130" s="50"/>
      <c r="AG130" s="50"/>
      <c r="AH130" s="51"/>
      <c r="AI130" s="50"/>
      <c r="AJ130" s="50"/>
      <c r="AK130" s="50"/>
      <c r="AL130" s="51"/>
      <c r="AM130" s="50"/>
      <c r="AN130" s="50"/>
      <c r="AO130" s="50"/>
      <c r="AP130" s="36"/>
      <c r="AQ130" s="37"/>
      <c r="AR130" s="37"/>
      <c r="AS130" s="37"/>
      <c r="AT130" s="36"/>
      <c r="AU130" s="37"/>
      <c r="AV130" s="37"/>
      <c r="AW130" s="37"/>
      <c r="AX130" s="36"/>
      <c r="AY130" s="37"/>
      <c r="AZ130" s="37"/>
      <c r="BA130" s="37"/>
      <c r="BB130" s="36"/>
      <c r="BC130" s="37"/>
      <c r="BD130" s="37"/>
      <c r="BE130" s="37"/>
      <c r="BF130" s="36"/>
      <c r="BG130" s="37"/>
      <c r="BH130" s="37"/>
      <c r="BI130" s="37"/>
      <c r="BJ130" s="36"/>
      <c r="BK130" s="37"/>
      <c r="BL130" s="37"/>
      <c r="BM130" s="37"/>
      <c r="BN130" s="36"/>
      <c r="BO130" s="37"/>
      <c r="BP130" s="37"/>
      <c r="BQ130" s="37"/>
      <c r="BR130" s="36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37" t="s">
        <v>144</v>
      </c>
    </row>
    <row r="131" spans="1:116" x14ac:dyDescent="0.4">
      <c r="A131" s="41"/>
      <c r="B131" s="63" t="s">
        <v>145</v>
      </c>
      <c r="C131" s="63">
        <v>41.156635700000002</v>
      </c>
      <c r="D131" s="63">
        <v>45.725921909999997</v>
      </c>
      <c r="E131" s="63">
        <v>86.076267950000002</v>
      </c>
      <c r="F131" s="63">
        <v>127.43890106999999</v>
      </c>
      <c r="G131" s="63">
        <v>126.67281855</v>
      </c>
      <c r="H131" s="63">
        <v>131.78237856999999</v>
      </c>
      <c r="I131" s="63">
        <v>187.32612125999998</v>
      </c>
      <c r="J131" s="63">
        <v>183.77129919000001</v>
      </c>
      <c r="K131" s="63">
        <v>1162.1000522500001</v>
      </c>
      <c r="L131" s="63">
        <v>1496.5615973499998</v>
      </c>
      <c r="M131" s="63">
        <v>1949.8601507200001</v>
      </c>
      <c r="N131" s="63">
        <v>2726.1580717399997</v>
      </c>
      <c r="O131" s="63">
        <v>3151.8295595999998</v>
      </c>
      <c r="P131" s="63">
        <v>3216.9903034099998</v>
      </c>
      <c r="Q131" s="63">
        <v>3947.6270247299999</v>
      </c>
      <c r="R131" s="63">
        <v>5819.8817918999994</v>
      </c>
      <c r="S131" s="63">
        <f t="shared" ref="S131:U131" si="147">+S181</f>
        <v>8119.0835811429988</v>
      </c>
      <c r="T131" s="63">
        <f t="shared" si="147"/>
        <v>9821.4342949340698</v>
      </c>
      <c r="U131" s="63">
        <f t="shared" si="147"/>
        <v>10717.436448664761</v>
      </c>
      <c r="V131" s="8"/>
      <c r="W131" s="42"/>
      <c r="X131" s="42"/>
      <c r="Y131" s="42"/>
      <c r="Z131" s="44"/>
      <c r="AA131" s="42"/>
      <c r="AB131" s="42"/>
      <c r="AC131" s="42"/>
      <c r="AD131" s="44"/>
      <c r="AE131" s="42"/>
      <c r="AF131" s="42"/>
      <c r="AG131" s="42"/>
      <c r="AH131" s="44"/>
      <c r="AI131" s="42"/>
      <c r="AJ131" s="42"/>
      <c r="AK131" s="42"/>
      <c r="AL131" s="44"/>
      <c r="AM131" s="42"/>
      <c r="AN131" s="42"/>
      <c r="AO131" s="42"/>
      <c r="AP131" s="44"/>
      <c r="AQ131" s="42"/>
      <c r="AR131" s="42"/>
      <c r="AS131" s="42"/>
      <c r="AT131" s="44"/>
      <c r="AU131" s="42"/>
      <c r="AV131" s="42"/>
      <c r="AW131" s="42"/>
      <c r="AX131" s="44"/>
      <c r="AY131" s="42"/>
      <c r="AZ131" s="42"/>
      <c r="BA131" s="42"/>
      <c r="BB131" s="44"/>
      <c r="BC131" s="42"/>
      <c r="BD131" s="42"/>
      <c r="BE131" s="42"/>
      <c r="BF131" s="44"/>
      <c r="BG131" s="42"/>
      <c r="BH131" s="42"/>
      <c r="BI131" s="42"/>
      <c r="BJ131" s="44"/>
      <c r="BK131" s="42"/>
      <c r="BL131" s="42"/>
      <c r="BM131" s="42"/>
      <c r="BN131" s="44"/>
      <c r="BO131" s="42"/>
      <c r="BP131" s="42"/>
      <c r="BQ131" s="42"/>
      <c r="BR131" s="44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CG131" s="42"/>
      <c r="CH131" s="42"/>
      <c r="CI131" s="42"/>
      <c r="CJ131" s="42"/>
      <c r="CK131" s="42"/>
      <c r="CL131" s="42"/>
      <c r="CM131" s="42"/>
      <c r="CN131" s="42"/>
      <c r="CO131" s="42"/>
      <c r="CP131" s="42"/>
      <c r="CQ131" s="42"/>
      <c r="CR131" s="42"/>
      <c r="CS131" s="42"/>
      <c r="CT131" s="42"/>
      <c r="CU131" s="42"/>
      <c r="CV131" s="42"/>
      <c r="CW131" s="42"/>
      <c r="CX131" s="42"/>
      <c r="CY131" s="42"/>
      <c r="CZ131" s="42"/>
      <c r="DA131" s="42"/>
      <c r="DB131" s="42"/>
      <c r="DC131" s="42"/>
      <c r="DD131" s="42"/>
      <c r="DE131" s="42"/>
      <c r="DF131" s="42"/>
      <c r="DG131" s="42"/>
      <c r="DH131" s="42"/>
      <c r="DI131" s="42"/>
      <c r="DJ131" s="42"/>
      <c r="DK131" s="42"/>
    </row>
    <row r="132" spans="1:116" x14ac:dyDescent="0.4">
      <c r="A132" s="41"/>
      <c r="B132" s="98" t="s">
        <v>146</v>
      </c>
      <c r="C132" s="50">
        <f>C134-C133</f>
        <v>11.54387009</v>
      </c>
      <c r="D132" s="50">
        <f t="shared" ref="D132:Q132" si="148">D134-D133</f>
        <v>28.890718170000003</v>
      </c>
      <c r="E132" s="50">
        <f t="shared" si="148"/>
        <v>29.366029659999999</v>
      </c>
      <c r="F132" s="50">
        <f t="shared" si="148"/>
        <v>29.968409139999999</v>
      </c>
      <c r="G132" s="50">
        <f t="shared" si="148"/>
        <v>146.99275843000001</v>
      </c>
      <c r="H132" s="50">
        <f t="shared" si="148"/>
        <v>145.86233307000001</v>
      </c>
      <c r="I132" s="50">
        <f t="shared" si="148"/>
        <v>146.72285146000002</v>
      </c>
      <c r="J132" s="50">
        <f t="shared" si="148"/>
        <v>143.4463088</v>
      </c>
      <c r="K132" s="50">
        <f t="shared" si="148"/>
        <v>564.14736473999994</v>
      </c>
      <c r="L132" s="50">
        <f t="shared" si="148"/>
        <v>564.89161457</v>
      </c>
      <c r="M132" s="50">
        <f t="shared" si="148"/>
        <v>560.85515781000004</v>
      </c>
      <c r="N132" s="50">
        <f t="shared" si="148"/>
        <v>689.92344243999992</v>
      </c>
      <c r="O132" s="50">
        <f t="shared" si="148"/>
        <v>705.45751684000004</v>
      </c>
      <c r="P132" s="50">
        <f t="shared" si="148"/>
        <v>728.93586663999997</v>
      </c>
      <c r="Q132" s="50">
        <f t="shared" si="148"/>
        <v>892.77231044000007</v>
      </c>
      <c r="R132" s="50">
        <f>R134-R133</f>
        <v>923.70786085999998</v>
      </c>
      <c r="S132" s="50">
        <f t="shared" ref="S132:U132" si="149">+S134-S133</f>
        <v>953.70786085999987</v>
      </c>
      <c r="T132" s="50">
        <f t="shared" si="149"/>
        <v>983.70786085999998</v>
      </c>
      <c r="U132" s="50">
        <f t="shared" si="149"/>
        <v>1013.70786086</v>
      </c>
      <c r="V132" s="8"/>
      <c r="W132" s="50"/>
      <c r="X132" s="50"/>
      <c r="Y132" s="50"/>
      <c r="Z132" s="51"/>
      <c r="AA132" s="50"/>
      <c r="AB132" s="50"/>
      <c r="AC132" s="50"/>
      <c r="AD132" s="51"/>
      <c r="AE132" s="50"/>
      <c r="AF132" s="50"/>
      <c r="AG132" s="50"/>
      <c r="AH132" s="51"/>
      <c r="AI132" s="50"/>
      <c r="AJ132" s="50"/>
      <c r="AK132" s="50"/>
      <c r="AL132" s="51"/>
      <c r="AM132" s="50"/>
      <c r="AN132" s="50"/>
      <c r="AO132" s="50"/>
      <c r="AP132" s="36"/>
      <c r="AQ132" s="37"/>
      <c r="AR132" s="37"/>
      <c r="AS132" s="37"/>
      <c r="AT132" s="36"/>
      <c r="AU132" s="37"/>
      <c r="AV132" s="37"/>
      <c r="AW132" s="37"/>
      <c r="AX132" s="36"/>
      <c r="AY132" s="37"/>
      <c r="AZ132" s="37"/>
      <c r="BA132" s="37"/>
      <c r="BB132" s="36"/>
      <c r="BC132" s="37"/>
      <c r="BD132" s="37"/>
      <c r="BE132" s="37"/>
      <c r="BF132" s="36"/>
      <c r="BG132" s="37"/>
      <c r="BH132" s="37"/>
      <c r="BI132" s="37"/>
      <c r="BJ132" s="36"/>
      <c r="BK132" s="37"/>
      <c r="BL132" s="37"/>
      <c r="BM132" s="37"/>
      <c r="BN132" s="36"/>
      <c r="BO132" s="37"/>
      <c r="BP132" s="37"/>
      <c r="BQ132" s="37"/>
      <c r="BR132" s="36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</row>
    <row r="133" spans="1:116" x14ac:dyDescent="0.4">
      <c r="A133" s="41"/>
      <c r="B133" s="228" t="s">
        <v>147</v>
      </c>
      <c r="C133" s="50">
        <v>0</v>
      </c>
      <c r="D133" s="50">
        <v>0</v>
      </c>
      <c r="E133" s="50">
        <v>-1.1004403300000001</v>
      </c>
      <c r="F133" s="50">
        <v>-1.73870558</v>
      </c>
      <c r="G133" s="50">
        <v>-10.223731279999999</v>
      </c>
      <c r="H133" s="50">
        <v>-22.603785590000001</v>
      </c>
      <c r="I133" s="50">
        <v>-34.867500200000002</v>
      </c>
      <c r="J133" s="50">
        <v>-46.471252540000002</v>
      </c>
      <c r="K133" s="50">
        <v>-109.9695603</v>
      </c>
      <c r="L133" s="50">
        <v>-181.04482931999999</v>
      </c>
      <c r="M133" s="50">
        <v>-249.85333437</v>
      </c>
      <c r="N133" s="50">
        <v>-329.71997120999998</v>
      </c>
      <c r="O133" s="50">
        <v>-323.36546917999999</v>
      </c>
      <c r="P133" s="50">
        <v>-406.79424301999995</v>
      </c>
      <c r="Q133" s="50">
        <v>-492.25686047000005</v>
      </c>
      <c r="R133" s="50">
        <v>-545.97843117999992</v>
      </c>
      <c r="S133" s="50">
        <f t="shared" ref="S133:U133" si="150">+R133-S187</f>
        <v>-636.63349430319988</v>
      </c>
      <c r="T133" s="50">
        <f t="shared" si="150"/>
        <v>-712.73134227683192</v>
      </c>
      <c r="U133" s="50">
        <f t="shared" si="150"/>
        <v>-777.76570673679225</v>
      </c>
      <c r="V133" s="8"/>
      <c r="W133" s="50"/>
      <c r="X133" s="50"/>
      <c r="Y133" s="50"/>
      <c r="Z133" s="51"/>
      <c r="AA133" s="50"/>
      <c r="AB133" s="50"/>
      <c r="AC133" s="50"/>
      <c r="AD133" s="51"/>
      <c r="AE133" s="50"/>
      <c r="AF133" s="50"/>
      <c r="AG133" s="50"/>
      <c r="AH133" s="51"/>
      <c r="AI133" s="50"/>
      <c r="AJ133" s="50"/>
      <c r="AK133" s="50"/>
      <c r="AL133" s="51"/>
      <c r="AM133" s="50"/>
      <c r="AN133" s="50"/>
      <c r="AO133" s="50"/>
      <c r="AP133" s="223"/>
      <c r="AQ133" s="224"/>
      <c r="AR133" s="224"/>
      <c r="AS133" s="224"/>
      <c r="AT133" s="223"/>
      <c r="AU133" s="224"/>
      <c r="AV133" s="224"/>
      <c r="AW133" s="224"/>
      <c r="AX133" s="223"/>
      <c r="AY133" s="224"/>
      <c r="AZ133" s="224"/>
      <c r="BA133" s="224"/>
      <c r="BB133" s="223"/>
      <c r="BC133" s="224"/>
      <c r="BD133" s="224"/>
      <c r="BE133" s="224"/>
      <c r="BF133" s="223"/>
      <c r="BG133" s="224"/>
      <c r="BH133" s="224"/>
      <c r="BI133" s="224"/>
      <c r="BJ133" s="223"/>
      <c r="BK133" s="224"/>
      <c r="BL133" s="224"/>
      <c r="BM133" s="224"/>
      <c r="BN133" s="223"/>
      <c r="BO133" s="224"/>
      <c r="BP133" s="224"/>
      <c r="BQ133" s="224"/>
      <c r="BR133" s="223"/>
      <c r="BS133" s="224"/>
      <c r="BT133" s="224"/>
      <c r="BU133" s="224"/>
      <c r="BV133" s="224"/>
      <c r="BW133" s="224"/>
      <c r="BX133" s="224"/>
      <c r="BY133" s="224"/>
      <c r="BZ133" s="224"/>
      <c r="CA133" s="224"/>
      <c r="CB133" s="224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37" t="s">
        <v>144</v>
      </c>
    </row>
    <row r="134" spans="1:116" x14ac:dyDescent="0.4">
      <c r="A134" s="41"/>
      <c r="B134" s="63" t="s">
        <v>148</v>
      </c>
      <c r="C134" s="63">
        <v>11.54387009</v>
      </c>
      <c r="D134" s="63">
        <v>28.890718170000003</v>
      </c>
      <c r="E134" s="63">
        <v>28.265589329999997</v>
      </c>
      <c r="F134" s="63">
        <v>28.229703559999997</v>
      </c>
      <c r="G134" s="63">
        <v>136.76902715</v>
      </c>
      <c r="H134" s="63">
        <v>123.25854748</v>
      </c>
      <c r="I134" s="63">
        <v>111.85535126000001</v>
      </c>
      <c r="J134" s="63">
        <v>96.975056260000002</v>
      </c>
      <c r="K134" s="63">
        <v>454.17780443999999</v>
      </c>
      <c r="L134" s="63">
        <v>383.84678524999998</v>
      </c>
      <c r="M134" s="63">
        <v>311.00182344000001</v>
      </c>
      <c r="N134" s="63">
        <v>360.20347122999999</v>
      </c>
      <c r="O134" s="63">
        <v>382.09204766000005</v>
      </c>
      <c r="P134" s="63">
        <v>322.14162362000002</v>
      </c>
      <c r="Q134" s="63">
        <v>400.51544997000002</v>
      </c>
      <c r="R134" s="63">
        <v>377.72942968000001</v>
      </c>
      <c r="S134" s="63">
        <f t="shared" ref="S134:U134" si="151">+S189</f>
        <v>317.07436655679999</v>
      </c>
      <c r="T134" s="63">
        <f t="shared" si="151"/>
        <v>270.976518583168</v>
      </c>
      <c r="U134" s="63">
        <f t="shared" si="151"/>
        <v>235.94215412320767</v>
      </c>
      <c r="V134" s="8"/>
      <c r="W134" s="42"/>
      <c r="X134" s="42"/>
      <c r="Y134" s="42"/>
      <c r="Z134" s="44"/>
      <c r="AA134" s="42"/>
      <c r="AB134" s="42"/>
      <c r="AC134" s="42"/>
      <c r="AD134" s="44"/>
      <c r="AE134" s="42"/>
      <c r="AF134" s="42"/>
      <c r="AG134" s="42"/>
      <c r="AH134" s="44"/>
      <c r="AI134" s="42"/>
      <c r="AJ134" s="42"/>
      <c r="AK134" s="42"/>
      <c r="AL134" s="44"/>
      <c r="AM134" s="42"/>
      <c r="AN134" s="42"/>
      <c r="AO134" s="42"/>
      <c r="AP134" s="44"/>
      <c r="AQ134" s="42"/>
      <c r="AR134" s="42"/>
      <c r="AS134" s="42"/>
      <c r="AT134" s="44"/>
      <c r="AU134" s="42"/>
      <c r="AV134" s="42"/>
      <c r="AW134" s="42"/>
      <c r="AX134" s="44"/>
      <c r="AY134" s="42"/>
      <c r="AZ134" s="42"/>
      <c r="BA134" s="42"/>
      <c r="BB134" s="44"/>
      <c r="BC134" s="42"/>
      <c r="BD134" s="42"/>
      <c r="BE134" s="42"/>
      <c r="BF134" s="44"/>
      <c r="BG134" s="42"/>
      <c r="BH134" s="42"/>
      <c r="BI134" s="42"/>
      <c r="BJ134" s="44"/>
      <c r="BK134" s="42"/>
      <c r="BL134" s="42"/>
      <c r="BM134" s="42"/>
      <c r="BN134" s="44"/>
      <c r="BO134" s="42"/>
      <c r="BP134" s="42"/>
      <c r="BQ134" s="42"/>
      <c r="BR134" s="44"/>
      <c r="BS134" s="42"/>
      <c r="BT134" s="42"/>
      <c r="BU134" s="42"/>
      <c r="BV134" s="42"/>
      <c r="BW134" s="42"/>
      <c r="BX134" s="42"/>
      <c r="BY134" s="42"/>
      <c r="BZ134" s="42"/>
      <c r="CA134" s="42"/>
      <c r="CB134" s="42"/>
      <c r="CC134" s="42"/>
      <c r="CD134" s="42"/>
      <c r="CE134" s="42"/>
      <c r="CF134" s="42"/>
      <c r="CG134" s="42"/>
      <c r="CH134" s="42"/>
      <c r="CI134" s="42"/>
      <c r="CJ134" s="42"/>
      <c r="CK134" s="42"/>
      <c r="CL134" s="42"/>
      <c r="CM134" s="42"/>
      <c r="CN134" s="42"/>
      <c r="CO134" s="42"/>
      <c r="CP134" s="42"/>
      <c r="CQ134" s="42"/>
      <c r="CR134" s="42"/>
      <c r="CS134" s="42"/>
      <c r="CT134" s="42"/>
      <c r="CU134" s="42"/>
      <c r="CV134" s="42"/>
      <c r="CW134" s="42"/>
      <c r="CX134" s="42"/>
      <c r="CY134" s="42"/>
      <c r="CZ134" s="42"/>
      <c r="DA134" s="42"/>
      <c r="DB134" s="42"/>
      <c r="DC134" s="42"/>
      <c r="DD134" s="42"/>
      <c r="DE134" s="42"/>
      <c r="DF134" s="42"/>
      <c r="DG134" s="42"/>
      <c r="DH134" s="42"/>
      <c r="DI134" s="42"/>
      <c r="DJ134" s="42"/>
      <c r="DK134" s="42"/>
    </row>
    <row r="135" spans="1:116" x14ac:dyDescent="0.4">
      <c r="A135" s="41"/>
      <c r="B135" s="50" t="s">
        <v>149</v>
      </c>
      <c r="C135" s="50">
        <v>0</v>
      </c>
      <c r="D135" s="50">
        <v>0</v>
      </c>
      <c r="E135" s="50">
        <v>0</v>
      </c>
      <c r="F135" s="50">
        <v>0</v>
      </c>
      <c r="G135" s="50">
        <v>0</v>
      </c>
      <c r="H135" s="50">
        <v>62.759222649999998</v>
      </c>
      <c r="I135" s="50">
        <v>35.101998049999999</v>
      </c>
      <c r="J135" s="50">
        <v>37.079585600000001</v>
      </c>
      <c r="K135" s="50">
        <v>25.40351553</v>
      </c>
      <c r="L135" s="50">
        <v>102.52019073000001</v>
      </c>
      <c r="M135" s="50">
        <v>221.07297874</v>
      </c>
      <c r="N135" s="50">
        <v>433.47211006999999</v>
      </c>
      <c r="O135" s="50">
        <v>530.20928858000002</v>
      </c>
      <c r="P135" s="50">
        <v>635.74116225</v>
      </c>
      <c r="Q135" s="50">
        <v>930.33260413999994</v>
      </c>
      <c r="R135" s="50">
        <v>811.79820499000004</v>
      </c>
      <c r="S135" s="96">
        <f t="shared" ref="S135:U136" si="152">+R135</f>
        <v>811.79820499000004</v>
      </c>
      <c r="T135" s="96">
        <f t="shared" si="152"/>
        <v>811.79820499000004</v>
      </c>
      <c r="U135" s="96">
        <f t="shared" si="152"/>
        <v>811.79820499000004</v>
      </c>
      <c r="V135" s="8"/>
      <c r="W135" s="50"/>
      <c r="X135" s="50"/>
      <c r="Y135" s="50"/>
      <c r="Z135" s="51"/>
      <c r="AA135" s="50"/>
      <c r="AB135" s="50"/>
      <c r="AC135" s="50"/>
      <c r="AD135" s="51"/>
      <c r="AE135" s="50"/>
      <c r="AF135" s="50"/>
      <c r="AG135" s="50"/>
      <c r="AH135" s="51"/>
      <c r="AI135" s="50"/>
      <c r="AJ135" s="50"/>
      <c r="AK135" s="50"/>
      <c r="AL135" s="51"/>
      <c r="AM135" s="50"/>
      <c r="AN135" s="50"/>
      <c r="AO135" s="50"/>
      <c r="AP135" s="36"/>
      <c r="AQ135" s="37"/>
      <c r="AR135" s="37"/>
      <c r="AS135" s="37"/>
      <c r="AT135" s="36"/>
      <c r="AU135" s="37"/>
      <c r="AV135" s="37"/>
      <c r="AW135" s="37"/>
      <c r="AX135" s="36"/>
      <c r="AY135" s="37"/>
      <c r="AZ135" s="37"/>
      <c r="BA135" s="37"/>
      <c r="BB135" s="36"/>
      <c r="BC135" s="37"/>
      <c r="BD135" s="37"/>
      <c r="BE135" s="37"/>
      <c r="BF135" s="36"/>
      <c r="BG135" s="37"/>
      <c r="BH135" s="37"/>
      <c r="BI135" s="37"/>
      <c r="BJ135" s="36"/>
      <c r="BK135" s="37"/>
      <c r="BL135" s="37"/>
      <c r="BM135" s="37"/>
      <c r="BN135" s="36"/>
      <c r="BO135" s="37"/>
      <c r="BP135" s="37"/>
      <c r="BQ135" s="37"/>
      <c r="BR135" s="36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</row>
    <row r="136" spans="1:116" x14ac:dyDescent="0.4">
      <c r="A136" s="41"/>
      <c r="B136" s="50" t="s">
        <v>150</v>
      </c>
      <c r="C136" s="50">
        <f>+C137-C131-C134-C135</f>
        <v>0.18936884999999926</v>
      </c>
      <c r="D136" s="50">
        <f t="shared" ref="D136:Q136" si="153">+D137-D131-D134-D135</f>
        <v>4.1958226000000103</v>
      </c>
      <c r="E136" s="50">
        <f t="shared" si="153"/>
        <v>23.544634889999998</v>
      </c>
      <c r="F136" s="50">
        <f t="shared" si="153"/>
        <v>7.2494606500000245</v>
      </c>
      <c r="G136" s="50">
        <f t="shared" si="153"/>
        <v>107.84232247000006</v>
      </c>
      <c r="H136" s="50">
        <f t="shared" si="153"/>
        <v>34.170802079999959</v>
      </c>
      <c r="I136" s="50">
        <f t="shared" si="153"/>
        <v>12.423188240000037</v>
      </c>
      <c r="J136" s="50">
        <f t="shared" si="153"/>
        <v>10.333723699999979</v>
      </c>
      <c r="K136" s="50">
        <f t="shared" si="153"/>
        <v>1860.5854183100005</v>
      </c>
      <c r="L136" s="50">
        <f t="shared" si="153"/>
        <v>1939.1663471300003</v>
      </c>
      <c r="M136" s="50">
        <f t="shared" si="153"/>
        <v>2017.8958175499993</v>
      </c>
      <c r="N136" s="50">
        <f t="shared" si="153"/>
        <v>2114.0053495900006</v>
      </c>
      <c r="O136" s="50">
        <f t="shared" si="153"/>
        <v>2478.8232634900005</v>
      </c>
      <c r="P136" s="50">
        <f t="shared" si="153"/>
        <v>2795.0178927100001</v>
      </c>
      <c r="Q136" s="50">
        <f t="shared" si="153"/>
        <v>3408.8775127899985</v>
      </c>
      <c r="R136" s="50">
        <f>+R137-R131-R134-R135</f>
        <v>3661.1228288499997</v>
      </c>
      <c r="S136" s="96">
        <f t="shared" si="152"/>
        <v>3661.1228288499997</v>
      </c>
      <c r="T136" s="96">
        <f t="shared" si="152"/>
        <v>3661.1228288499997</v>
      </c>
      <c r="U136" s="96">
        <f t="shared" si="152"/>
        <v>3661.1228288499997</v>
      </c>
      <c r="V136" s="8"/>
      <c r="W136" s="50"/>
      <c r="X136" s="50"/>
      <c r="Y136" s="50"/>
      <c r="Z136" s="51"/>
      <c r="AA136" s="50"/>
      <c r="AB136" s="50"/>
      <c r="AC136" s="50"/>
      <c r="AD136" s="51"/>
      <c r="AE136" s="50"/>
      <c r="AF136" s="50"/>
      <c r="AG136" s="50"/>
      <c r="AH136" s="51"/>
      <c r="AI136" s="50"/>
      <c r="AJ136" s="50"/>
      <c r="AK136" s="50"/>
      <c r="AL136" s="51"/>
      <c r="AM136" s="50"/>
      <c r="AN136" s="50"/>
      <c r="AO136" s="50"/>
      <c r="AP136" s="225"/>
      <c r="AQ136" s="226"/>
      <c r="AR136" s="226"/>
      <c r="AS136" s="226"/>
      <c r="AT136" s="225"/>
      <c r="AU136" s="226"/>
      <c r="AV136" s="226"/>
      <c r="AW136" s="226"/>
      <c r="AX136" s="225"/>
      <c r="AY136" s="226"/>
      <c r="AZ136" s="226"/>
      <c r="BA136" s="226"/>
      <c r="BB136" s="225"/>
      <c r="BC136" s="226"/>
      <c r="BD136" s="226"/>
      <c r="BE136" s="226"/>
      <c r="BF136" s="225"/>
      <c r="BG136" s="226"/>
      <c r="BH136" s="226"/>
      <c r="BI136" s="226"/>
      <c r="BJ136" s="225"/>
      <c r="BK136" s="226"/>
      <c r="BL136" s="226"/>
      <c r="BM136" s="226"/>
      <c r="BN136" s="225"/>
      <c r="BO136" s="226"/>
      <c r="BP136" s="226"/>
      <c r="BQ136" s="226"/>
      <c r="BR136" s="225"/>
      <c r="BS136" s="226"/>
      <c r="BT136" s="226"/>
      <c r="BU136" s="226"/>
      <c r="BV136" s="226"/>
      <c r="BW136" s="226"/>
      <c r="BX136" s="226"/>
      <c r="BY136" s="226"/>
      <c r="BZ136" s="226"/>
      <c r="CA136" s="226"/>
      <c r="CB136" s="226"/>
      <c r="CC136" s="50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0"/>
      <c r="CO136" s="50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</row>
    <row r="137" spans="1:116" x14ac:dyDescent="0.4">
      <c r="A137" s="41"/>
      <c r="B137" s="42" t="s">
        <v>151</v>
      </c>
      <c r="C137" s="42">
        <v>52.889874640000002</v>
      </c>
      <c r="D137" s="42">
        <v>78.81246268000001</v>
      </c>
      <c r="E137" s="42">
        <v>137.88649217</v>
      </c>
      <c r="F137" s="42">
        <v>162.91806528000001</v>
      </c>
      <c r="G137" s="42">
        <v>371.28416817000004</v>
      </c>
      <c r="H137" s="42">
        <v>351.97095077999995</v>
      </c>
      <c r="I137" s="42">
        <v>346.70665881000002</v>
      </c>
      <c r="J137" s="42">
        <v>328.15966474999999</v>
      </c>
      <c r="K137" s="42">
        <v>3502.2667905300004</v>
      </c>
      <c r="L137" s="42">
        <v>3922.0949204600001</v>
      </c>
      <c r="M137" s="42">
        <v>4499.8307704499994</v>
      </c>
      <c r="N137" s="42">
        <v>5633.8390026300003</v>
      </c>
      <c r="O137" s="42">
        <v>6542.95415933</v>
      </c>
      <c r="P137" s="42">
        <v>6969.89098199</v>
      </c>
      <c r="Q137" s="42">
        <v>8687.3525916299986</v>
      </c>
      <c r="R137" s="42">
        <v>10670.532255419999</v>
      </c>
      <c r="S137" s="42">
        <f t="shared" ref="S137:U137" si="154">+S131+S134+S135+S136</f>
        <v>12909.078981539798</v>
      </c>
      <c r="T137" s="42">
        <f t="shared" si="154"/>
        <v>14565.331847357236</v>
      </c>
      <c r="U137" s="42">
        <f t="shared" si="154"/>
        <v>15426.299636627969</v>
      </c>
      <c r="V137" s="8"/>
      <c r="W137" s="42"/>
      <c r="X137" s="42"/>
      <c r="Y137" s="42"/>
      <c r="Z137" s="44"/>
      <c r="AA137" s="42"/>
      <c r="AB137" s="42"/>
      <c r="AC137" s="42"/>
      <c r="AD137" s="44"/>
      <c r="AE137" s="42"/>
      <c r="AF137" s="42"/>
      <c r="AG137" s="42"/>
      <c r="AH137" s="44"/>
      <c r="AI137" s="42"/>
      <c r="AJ137" s="42"/>
      <c r="AK137" s="42"/>
      <c r="AL137" s="44"/>
      <c r="AM137" s="42"/>
      <c r="AN137" s="42"/>
      <c r="AO137" s="42"/>
      <c r="AP137" s="225"/>
      <c r="AQ137" s="226"/>
      <c r="AR137" s="226"/>
      <c r="AS137" s="226"/>
      <c r="AT137" s="225"/>
      <c r="AU137" s="226"/>
      <c r="AV137" s="226"/>
      <c r="AW137" s="226"/>
      <c r="AX137" s="225"/>
      <c r="AY137" s="226"/>
      <c r="AZ137" s="226"/>
      <c r="BA137" s="226"/>
      <c r="BB137" s="225"/>
      <c r="BC137" s="226"/>
      <c r="BD137" s="226"/>
      <c r="BE137" s="226"/>
      <c r="BF137" s="225"/>
      <c r="BG137" s="226"/>
      <c r="BH137" s="226"/>
      <c r="BI137" s="226"/>
      <c r="BJ137" s="225"/>
      <c r="BK137" s="226"/>
      <c r="BL137" s="226"/>
      <c r="BM137" s="226"/>
      <c r="BN137" s="225"/>
      <c r="BO137" s="226"/>
      <c r="BP137" s="226"/>
      <c r="BQ137" s="226"/>
      <c r="BR137" s="225"/>
      <c r="BS137" s="226"/>
      <c r="BT137" s="226"/>
      <c r="BU137" s="226"/>
      <c r="BV137" s="226"/>
      <c r="BW137" s="226"/>
      <c r="BX137" s="226"/>
      <c r="BY137" s="226"/>
      <c r="BZ137" s="226"/>
      <c r="CA137" s="226"/>
      <c r="CB137" s="226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</row>
    <row r="138" spans="1:116" x14ac:dyDescent="0.4">
      <c r="A138" s="84"/>
      <c r="B138" s="63" t="s">
        <v>152</v>
      </c>
      <c r="C138" s="63">
        <v>152.46134921999999</v>
      </c>
      <c r="D138" s="63">
        <v>220.94769788999997</v>
      </c>
      <c r="E138" s="63">
        <v>293.46518146</v>
      </c>
      <c r="F138" s="63">
        <v>544.78029083000001</v>
      </c>
      <c r="G138" s="63">
        <v>740.00191055999994</v>
      </c>
      <c r="H138" s="63">
        <v>655.75745952</v>
      </c>
      <c r="I138" s="63">
        <v>641.31159830999991</v>
      </c>
      <c r="J138" s="63">
        <v>632.15342741999996</v>
      </c>
      <c r="K138" s="63">
        <v>7810.0227190799997</v>
      </c>
      <c r="L138" s="63">
        <v>8080.2009922500001</v>
      </c>
      <c r="M138" s="63">
        <v>10491.166090969999</v>
      </c>
      <c r="N138" s="63">
        <v>13615.732311290001</v>
      </c>
      <c r="O138" s="63">
        <v>16564.680790779999</v>
      </c>
      <c r="P138" s="63">
        <v>16556.988219940002</v>
      </c>
      <c r="Q138" s="63">
        <v>20006.747461319999</v>
      </c>
      <c r="R138" s="63">
        <v>28866.276555259999</v>
      </c>
      <c r="S138" s="63">
        <f t="shared" ref="S138:U138" si="155">+S127+S137</f>
        <v>38778.89769872724</v>
      </c>
      <c r="T138" s="63">
        <f t="shared" si="155"/>
        <v>55881.03197631592</v>
      </c>
      <c r="U138" s="63">
        <f t="shared" si="155"/>
        <v>76830.449994766313</v>
      </c>
      <c r="V138" s="8"/>
      <c r="W138" s="42"/>
      <c r="X138" s="42"/>
      <c r="Y138" s="42"/>
      <c r="Z138" s="44"/>
      <c r="AA138" s="42"/>
      <c r="AB138" s="42"/>
      <c r="AC138" s="42"/>
      <c r="AD138" s="44"/>
      <c r="AE138" s="42"/>
      <c r="AF138" s="42"/>
      <c r="AG138" s="42"/>
      <c r="AH138" s="44"/>
      <c r="AI138" s="42"/>
      <c r="AJ138" s="42"/>
      <c r="AK138" s="42"/>
      <c r="AL138" s="44"/>
      <c r="AM138" s="42"/>
      <c r="AN138" s="42"/>
      <c r="AO138" s="42"/>
      <c r="AP138" s="44"/>
      <c r="AQ138" s="42"/>
      <c r="AR138" s="42"/>
      <c r="AS138" s="42"/>
      <c r="AT138" s="44"/>
      <c r="AU138" s="42"/>
      <c r="AV138" s="42"/>
      <c r="AW138" s="42"/>
      <c r="AX138" s="44"/>
      <c r="AY138" s="42"/>
      <c r="AZ138" s="42"/>
      <c r="BA138" s="42"/>
      <c r="BB138" s="44"/>
      <c r="BC138" s="42"/>
      <c r="BD138" s="42"/>
      <c r="BE138" s="42"/>
      <c r="BF138" s="44"/>
      <c r="BG138" s="42"/>
      <c r="BH138" s="42"/>
      <c r="BI138" s="42"/>
      <c r="BJ138" s="44"/>
      <c r="BK138" s="42"/>
      <c r="BL138" s="42"/>
      <c r="BM138" s="42"/>
      <c r="BN138" s="44"/>
      <c r="BO138" s="42"/>
      <c r="BP138" s="42"/>
      <c r="BQ138" s="42"/>
      <c r="BR138" s="44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2"/>
      <c r="CQ138" s="42"/>
      <c r="CR138" s="42"/>
      <c r="CS138" s="42"/>
      <c r="CT138" s="42"/>
      <c r="CU138" s="42"/>
      <c r="CV138" s="42"/>
      <c r="CW138" s="42"/>
      <c r="CX138" s="42"/>
      <c r="CY138" s="42"/>
      <c r="CZ138" s="42"/>
      <c r="DA138" s="42"/>
      <c r="DB138" s="42"/>
      <c r="DC138" s="42"/>
      <c r="DD138" s="42"/>
      <c r="DE138" s="42"/>
      <c r="DF138" s="42"/>
      <c r="DG138" s="42"/>
      <c r="DH138" s="42"/>
      <c r="DI138" s="42"/>
      <c r="DJ138" s="42"/>
      <c r="DK138" s="42"/>
    </row>
    <row r="139" spans="1:116" x14ac:dyDescent="0.4">
      <c r="A139" s="41"/>
      <c r="B139" s="59" t="s">
        <v>153</v>
      </c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43"/>
      <c r="T139" s="43"/>
      <c r="U139" s="43"/>
      <c r="V139" s="8"/>
      <c r="W139" s="50"/>
      <c r="X139" s="50"/>
      <c r="Y139" s="50"/>
      <c r="Z139" s="51"/>
      <c r="AA139" s="50"/>
      <c r="AB139" s="50"/>
      <c r="AC139" s="50"/>
      <c r="AD139" s="51"/>
      <c r="AE139" s="50"/>
      <c r="AF139" s="50"/>
      <c r="AG139" s="50"/>
      <c r="AH139" s="51"/>
      <c r="AI139" s="50"/>
      <c r="AJ139" s="50"/>
      <c r="AK139" s="50"/>
      <c r="AL139" s="51"/>
      <c r="AM139" s="50"/>
      <c r="AN139" s="50"/>
      <c r="AO139" s="50"/>
      <c r="AP139" s="7"/>
      <c r="AQ139" s="8"/>
      <c r="AR139" s="8"/>
      <c r="AS139" s="8"/>
      <c r="AT139" s="7"/>
      <c r="AU139" s="8"/>
      <c r="AV139" s="8"/>
      <c r="AW139" s="8"/>
      <c r="AX139" s="7"/>
      <c r="AY139" s="8"/>
      <c r="AZ139" s="8"/>
      <c r="BA139" s="8"/>
      <c r="BB139" s="7"/>
      <c r="BC139" s="8"/>
      <c r="BD139" s="8"/>
      <c r="BE139" s="8"/>
      <c r="BF139" s="7"/>
      <c r="BG139" s="8"/>
      <c r="BH139" s="8"/>
      <c r="BI139" s="8"/>
      <c r="BJ139" s="7"/>
      <c r="BK139" s="8"/>
      <c r="BL139" s="8"/>
      <c r="BM139" s="8"/>
      <c r="BN139" s="7"/>
      <c r="BO139" s="8"/>
      <c r="BP139" s="8"/>
      <c r="BQ139" s="8"/>
      <c r="BR139" s="7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</row>
    <row r="140" spans="1:116" x14ac:dyDescent="0.4">
      <c r="A140" s="41"/>
      <c r="B140" s="50" t="s">
        <v>154</v>
      </c>
      <c r="C140" s="50">
        <v>15.85791876</v>
      </c>
      <c r="D140" s="50">
        <v>22.83888803</v>
      </c>
      <c r="E140" s="50">
        <v>19.017295899999997</v>
      </c>
      <c r="F140" s="50">
        <v>7.8877228399999995</v>
      </c>
      <c r="G140" s="50">
        <v>34.641486569999998</v>
      </c>
      <c r="H140" s="50">
        <v>21.90869421</v>
      </c>
      <c r="I140" s="50">
        <v>22.173052460000001</v>
      </c>
      <c r="J140" s="50">
        <v>27.522807530000001</v>
      </c>
      <c r="K140" s="50">
        <v>1673.9767907799999</v>
      </c>
      <c r="L140" s="50">
        <v>941.93537592999996</v>
      </c>
      <c r="M140" s="50">
        <v>1431.4660542199999</v>
      </c>
      <c r="N140" s="50">
        <v>1670.39316869</v>
      </c>
      <c r="O140" s="50">
        <v>1440.9845407299999</v>
      </c>
      <c r="P140" s="50">
        <v>1378.2226729200002</v>
      </c>
      <c r="Q140" s="50">
        <v>2163.4828847999997</v>
      </c>
      <c r="R140" s="50">
        <v>3507.82257123</v>
      </c>
      <c r="S140" s="221">
        <f t="shared" ref="S140:U140" si="156">+S10*S165*2/365-R140</f>
        <v>3892.0943789582861</v>
      </c>
      <c r="T140" s="221">
        <f t="shared" si="156"/>
        <v>5226.8748268209956</v>
      </c>
      <c r="U140" s="221">
        <f t="shared" si="156"/>
        <v>6683.3945563511161</v>
      </c>
      <c r="V140" s="8"/>
      <c r="W140" s="50"/>
      <c r="X140" s="50"/>
      <c r="Y140" s="50"/>
      <c r="Z140" s="51"/>
      <c r="AA140" s="50"/>
      <c r="AB140" s="50"/>
      <c r="AC140" s="50"/>
      <c r="AD140" s="51"/>
      <c r="AE140" s="50"/>
      <c r="AF140" s="50"/>
      <c r="AG140" s="50"/>
      <c r="AH140" s="51"/>
      <c r="AI140" s="50"/>
      <c r="AJ140" s="50"/>
      <c r="AK140" s="50"/>
      <c r="AL140" s="51"/>
      <c r="AM140" s="50"/>
      <c r="AN140" s="50"/>
      <c r="AO140" s="50"/>
      <c r="AP140" s="36"/>
      <c r="AQ140" s="37"/>
      <c r="AR140" s="37"/>
      <c r="AS140" s="37"/>
      <c r="AT140" s="36"/>
      <c r="AU140" s="37"/>
      <c r="AV140" s="37"/>
      <c r="AW140" s="37"/>
      <c r="AX140" s="36"/>
      <c r="AY140" s="37"/>
      <c r="AZ140" s="37"/>
      <c r="BA140" s="37"/>
      <c r="BB140" s="36"/>
      <c r="BC140" s="37"/>
      <c r="BD140" s="37"/>
      <c r="BE140" s="37"/>
      <c r="BF140" s="36"/>
      <c r="BG140" s="37"/>
      <c r="BH140" s="37"/>
      <c r="BI140" s="37"/>
      <c r="BJ140" s="36"/>
      <c r="BK140" s="37"/>
      <c r="BL140" s="37"/>
      <c r="BM140" s="37"/>
      <c r="BN140" s="36"/>
      <c r="BO140" s="37"/>
      <c r="BP140" s="37"/>
      <c r="BQ140" s="37"/>
      <c r="BR140" s="36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</row>
    <row r="141" spans="1:116" x14ac:dyDescent="0.4">
      <c r="A141" s="41"/>
      <c r="B141" s="50" t="s">
        <v>155</v>
      </c>
      <c r="C141" s="50">
        <v>0</v>
      </c>
      <c r="D141" s="50">
        <v>20</v>
      </c>
      <c r="E141" s="50">
        <v>40</v>
      </c>
      <c r="F141" s="50">
        <v>0</v>
      </c>
      <c r="G141" s="50">
        <v>19.48264275</v>
      </c>
      <c r="H141" s="50">
        <v>30</v>
      </c>
      <c r="I141" s="50">
        <v>0</v>
      </c>
      <c r="J141" s="50">
        <v>7.2771731399999995</v>
      </c>
      <c r="K141" s="50">
        <v>780.62370083999997</v>
      </c>
      <c r="L141" s="50">
        <v>1452.2408405700003</v>
      </c>
      <c r="M141" s="50">
        <v>933.15023037000003</v>
      </c>
      <c r="N141" s="50">
        <v>1397.1817263099999</v>
      </c>
      <c r="O141" s="50">
        <v>1314.90846489</v>
      </c>
      <c r="P141" s="50">
        <v>1273.2180455099999</v>
      </c>
      <c r="Q141" s="50">
        <v>621.15997687000004</v>
      </c>
      <c r="R141" s="50">
        <v>2070.0976850500001</v>
      </c>
      <c r="S141" s="96">
        <f t="shared" ref="S141:U142" si="157">+R141</f>
        <v>2070.0976850500001</v>
      </c>
      <c r="T141" s="96">
        <f t="shared" si="157"/>
        <v>2070.0976850500001</v>
      </c>
      <c r="U141" s="96">
        <f t="shared" si="157"/>
        <v>2070.0976850500001</v>
      </c>
      <c r="V141" s="8"/>
      <c r="W141" s="50"/>
      <c r="X141" s="50"/>
      <c r="Y141" s="50"/>
      <c r="Z141" s="51"/>
      <c r="AA141" s="50"/>
      <c r="AB141" s="50"/>
      <c r="AC141" s="50"/>
      <c r="AD141" s="51"/>
      <c r="AE141" s="50"/>
      <c r="AF141" s="50"/>
      <c r="AG141" s="50"/>
      <c r="AH141" s="51"/>
      <c r="AI141" s="50"/>
      <c r="AJ141" s="50"/>
      <c r="AK141" s="50"/>
      <c r="AL141" s="51"/>
      <c r="AM141" s="50"/>
      <c r="AN141" s="50"/>
      <c r="AO141" s="50"/>
      <c r="AP141" s="36"/>
      <c r="AQ141" s="37"/>
      <c r="AR141" s="37"/>
      <c r="AS141" s="37"/>
      <c r="AT141" s="36"/>
      <c r="AU141" s="37"/>
      <c r="AV141" s="37"/>
      <c r="AW141" s="37"/>
      <c r="AX141" s="36"/>
      <c r="AY141" s="37"/>
      <c r="AZ141" s="37"/>
      <c r="BA141" s="37"/>
      <c r="BB141" s="36"/>
      <c r="BC141" s="37"/>
      <c r="BD141" s="37"/>
      <c r="BE141" s="37"/>
      <c r="BF141" s="36"/>
      <c r="BG141" s="37"/>
      <c r="BH141" s="37"/>
      <c r="BI141" s="37"/>
      <c r="BJ141" s="36"/>
      <c r="BK141" s="37"/>
      <c r="BL141" s="37"/>
      <c r="BM141" s="37"/>
      <c r="BN141" s="36"/>
      <c r="BO141" s="37"/>
      <c r="BP141" s="37"/>
      <c r="BQ141" s="37"/>
      <c r="BR141" s="36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</row>
    <row r="142" spans="1:116" x14ac:dyDescent="0.4">
      <c r="A142" s="41"/>
      <c r="B142" s="50" t="s">
        <v>156</v>
      </c>
      <c r="C142" s="50">
        <f>+C143-SUM(C140:C141)</f>
        <v>50.682396409999996</v>
      </c>
      <c r="D142" s="50">
        <f t="shared" ref="D142:K142" si="158">+D143-SUM(D140:D141)</f>
        <v>22.416633060000002</v>
      </c>
      <c r="E142" s="50">
        <f t="shared" si="158"/>
        <v>27.545300110000014</v>
      </c>
      <c r="F142" s="50">
        <f t="shared" si="158"/>
        <v>13.26474902</v>
      </c>
      <c r="G142" s="50">
        <f t="shared" si="158"/>
        <v>17.645614710000004</v>
      </c>
      <c r="H142" s="50">
        <f t="shared" si="158"/>
        <v>23.022946010000005</v>
      </c>
      <c r="I142" s="50">
        <f t="shared" si="158"/>
        <v>44.039718079999993</v>
      </c>
      <c r="J142" s="50">
        <f t="shared" si="158"/>
        <v>32.541236649999995</v>
      </c>
      <c r="K142" s="50">
        <f t="shared" si="158"/>
        <v>492.51645324000037</v>
      </c>
      <c r="L142" s="50">
        <f t="shared" ref="L142:Q142" si="159">+L143-SUM(L140:L141)</f>
        <v>473.34547156999997</v>
      </c>
      <c r="M142" s="50">
        <f t="shared" si="159"/>
        <v>461.46506321000015</v>
      </c>
      <c r="N142" s="50">
        <f t="shared" si="159"/>
        <v>704.48534959000062</v>
      </c>
      <c r="O142" s="50">
        <f t="shared" si="159"/>
        <v>409.79209817000037</v>
      </c>
      <c r="P142" s="50">
        <f t="shared" si="159"/>
        <v>612.80409143000043</v>
      </c>
      <c r="Q142" s="50">
        <f t="shared" si="159"/>
        <v>1575.8394942600007</v>
      </c>
      <c r="R142" s="50">
        <f>+R143-SUM(R140:R141)</f>
        <v>919.46456479999961</v>
      </c>
      <c r="S142" s="96">
        <f t="shared" si="157"/>
        <v>919.46456479999961</v>
      </c>
      <c r="T142" s="96">
        <f t="shared" si="157"/>
        <v>919.46456479999961</v>
      </c>
      <c r="U142" s="96">
        <f t="shared" si="157"/>
        <v>919.46456479999961</v>
      </c>
      <c r="V142" s="8"/>
      <c r="W142" s="50"/>
      <c r="X142" s="50"/>
      <c r="Y142" s="50"/>
      <c r="Z142" s="51"/>
      <c r="AA142" s="50"/>
      <c r="AB142" s="50"/>
      <c r="AC142" s="50"/>
      <c r="AD142" s="51"/>
      <c r="AE142" s="50"/>
      <c r="AF142" s="50"/>
      <c r="AG142" s="50"/>
      <c r="AH142" s="51"/>
      <c r="AI142" s="50"/>
      <c r="AJ142" s="50"/>
      <c r="AK142" s="50"/>
      <c r="AL142" s="51"/>
      <c r="AM142" s="50"/>
      <c r="AN142" s="50"/>
      <c r="AO142" s="50"/>
      <c r="AP142" s="225"/>
      <c r="AQ142" s="226"/>
      <c r="AR142" s="226"/>
      <c r="AS142" s="226"/>
      <c r="AT142" s="225"/>
      <c r="AU142" s="226"/>
      <c r="AV142" s="226"/>
      <c r="AW142" s="226"/>
      <c r="AX142" s="225"/>
      <c r="AY142" s="226"/>
      <c r="AZ142" s="226"/>
      <c r="BA142" s="226"/>
      <c r="BB142" s="225"/>
      <c r="BC142" s="226"/>
      <c r="BD142" s="226"/>
      <c r="BE142" s="226"/>
      <c r="BF142" s="225"/>
      <c r="BG142" s="226"/>
      <c r="BH142" s="226"/>
      <c r="BI142" s="226"/>
      <c r="BJ142" s="225"/>
      <c r="BK142" s="226"/>
      <c r="BL142" s="226"/>
      <c r="BM142" s="226"/>
      <c r="BN142" s="225"/>
      <c r="BO142" s="226"/>
      <c r="BP142" s="226"/>
      <c r="BQ142" s="226"/>
      <c r="BR142" s="225"/>
      <c r="BS142" s="226"/>
      <c r="BT142" s="226"/>
      <c r="BU142" s="226"/>
      <c r="BV142" s="226"/>
      <c r="BW142" s="226"/>
      <c r="BX142" s="226"/>
      <c r="BY142" s="226"/>
      <c r="BZ142" s="226"/>
      <c r="CA142" s="226"/>
      <c r="CB142" s="226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</row>
    <row r="143" spans="1:116" x14ac:dyDescent="0.4">
      <c r="A143" s="41"/>
      <c r="B143" s="63" t="s">
        <v>157</v>
      </c>
      <c r="C143" s="63">
        <v>66.54031517</v>
      </c>
      <c r="D143" s="63">
        <v>65.255521090000002</v>
      </c>
      <c r="E143" s="63">
        <v>86.562596010000007</v>
      </c>
      <c r="F143" s="63">
        <v>21.152471859999999</v>
      </c>
      <c r="G143" s="63">
        <v>71.769744029999998</v>
      </c>
      <c r="H143" s="63">
        <v>74.931640220000006</v>
      </c>
      <c r="I143" s="63">
        <v>66.212770539999994</v>
      </c>
      <c r="J143" s="63">
        <v>67.341217319999998</v>
      </c>
      <c r="K143" s="63">
        <v>2947.1169448600003</v>
      </c>
      <c r="L143" s="63">
        <v>2867.52168807</v>
      </c>
      <c r="M143" s="63">
        <v>2826.0813478</v>
      </c>
      <c r="N143" s="63">
        <v>3772.0602445900004</v>
      </c>
      <c r="O143" s="63">
        <v>3165.6851037900001</v>
      </c>
      <c r="P143" s="63">
        <v>3264.2448098600003</v>
      </c>
      <c r="Q143" s="63">
        <v>4360.4823559300003</v>
      </c>
      <c r="R143" s="63">
        <v>6497.3848210799997</v>
      </c>
      <c r="S143" s="63">
        <f t="shared" ref="S143:U143" si="160">SUM(S140+S141+S142)</f>
        <v>6881.6566288082859</v>
      </c>
      <c r="T143" s="63">
        <f t="shared" si="160"/>
        <v>8216.4370766709944</v>
      </c>
      <c r="U143" s="63">
        <f t="shared" si="160"/>
        <v>9672.9568062011167</v>
      </c>
      <c r="V143" s="8"/>
      <c r="W143" s="42"/>
      <c r="X143" s="42"/>
      <c r="Y143" s="42"/>
      <c r="Z143" s="44"/>
      <c r="AA143" s="42"/>
      <c r="AB143" s="42"/>
      <c r="AC143" s="42"/>
      <c r="AD143" s="44"/>
      <c r="AE143" s="42"/>
      <c r="AF143" s="42"/>
      <c r="AG143" s="42"/>
      <c r="AH143" s="44"/>
      <c r="AI143" s="42"/>
      <c r="AJ143" s="42"/>
      <c r="AK143" s="42"/>
      <c r="AL143" s="44"/>
      <c r="AM143" s="42"/>
      <c r="AN143" s="42"/>
      <c r="AO143" s="42"/>
      <c r="AP143" s="44"/>
      <c r="AQ143" s="42"/>
      <c r="AR143" s="42"/>
      <c r="AS143" s="42"/>
      <c r="AT143" s="44"/>
      <c r="AU143" s="42"/>
      <c r="AV143" s="42"/>
      <c r="AW143" s="42"/>
      <c r="AX143" s="44"/>
      <c r="AY143" s="42"/>
      <c r="AZ143" s="42"/>
      <c r="BA143" s="42"/>
      <c r="BB143" s="44"/>
      <c r="BC143" s="42"/>
      <c r="BD143" s="42"/>
      <c r="BE143" s="42"/>
      <c r="BF143" s="44"/>
      <c r="BG143" s="42"/>
      <c r="BH143" s="42"/>
      <c r="BI143" s="42"/>
      <c r="BJ143" s="44"/>
      <c r="BK143" s="42"/>
      <c r="BL143" s="42"/>
      <c r="BM143" s="42"/>
      <c r="BN143" s="44"/>
      <c r="BO143" s="42"/>
      <c r="BP143" s="42"/>
      <c r="BQ143" s="42"/>
      <c r="BR143" s="44"/>
      <c r="BS143" s="42"/>
      <c r="BT143" s="42"/>
      <c r="BU143" s="42"/>
      <c r="BV143" s="42"/>
      <c r="BW143" s="42"/>
      <c r="BX143" s="42"/>
      <c r="BY143" s="42"/>
      <c r="BZ143" s="42"/>
      <c r="CA143" s="42"/>
      <c r="CB143" s="42"/>
      <c r="CC143" s="42"/>
      <c r="CD143" s="42"/>
      <c r="CE143" s="42"/>
      <c r="CF143" s="42"/>
      <c r="CG143" s="42"/>
      <c r="CH143" s="42"/>
      <c r="CI143" s="42"/>
      <c r="CJ143" s="42"/>
      <c r="CK143" s="42"/>
      <c r="CL143" s="42"/>
      <c r="CM143" s="42"/>
      <c r="CN143" s="42"/>
      <c r="CO143" s="42"/>
      <c r="CP143" s="42"/>
      <c r="CQ143" s="42"/>
      <c r="CR143" s="42"/>
      <c r="CS143" s="42"/>
      <c r="CT143" s="42"/>
      <c r="CU143" s="42"/>
      <c r="CV143" s="42"/>
      <c r="CW143" s="42"/>
      <c r="CX143" s="42"/>
      <c r="CY143" s="42"/>
      <c r="CZ143" s="42"/>
      <c r="DA143" s="42"/>
      <c r="DB143" s="42"/>
      <c r="DC143" s="42"/>
      <c r="DD143" s="42"/>
      <c r="DE143" s="42"/>
      <c r="DF143" s="42"/>
      <c r="DG143" s="42"/>
      <c r="DH143" s="42"/>
      <c r="DI143" s="42"/>
      <c r="DJ143" s="42"/>
      <c r="DK143" s="42"/>
    </row>
    <row r="144" spans="1:116" x14ac:dyDescent="0.4">
      <c r="A144" s="41"/>
      <c r="B144" s="59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8"/>
      <c r="W144" s="50"/>
      <c r="X144" s="50"/>
      <c r="Y144" s="50"/>
      <c r="Z144" s="51"/>
      <c r="AA144" s="50"/>
      <c r="AB144" s="50"/>
      <c r="AC144" s="50"/>
      <c r="AD144" s="51"/>
      <c r="AE144" s="50"/>
      <c r="AF144" s="50"/>
      <c r="AG144" s="50"/>
      <c r="AH144" s="51"/>
      <c r="AI144" s="50"/>
      <c r="AJ144" s="50"/>
      <c r="AK144" s="50"/>
      <c r="AL144" s="51"/>
      <c r="AM144" s="50"/>
      <c r="AN144" s="50"/>
      <c r="AO144" s="50"/>
      <c r="AP144" s="7"/>
      <c r="AQ144" s="8"/>
      <c r="AR144" s="8"/>
      <c r="AS144" s="8"/>
      <c r="AT144" s="7"/>
      <c r="AU144" s="8"/>
      <c r="AV144" s="8"/>
      <c r="AW144" s="8"/>
      <c r="AX144" s="7"/>
      <c r="AY144" s="8"/>
      <c r="AZ144" s="8"/>
      <c r="BA144" s="8"/>
      <c r="BB144" s="7"/>
      <c r="BC144" s="8"/>
      <c r="BD144" s="8"/>
      <c r="BE144" s="8"/>
      <c r="BF144" s="7"/>
      <c r="BG144" s="8"/>
      <c r="BH144" s="8"/>
      <c r="BI144" s="8"/>
      <c r="BJ144" s="7"/>
      <c r="BK144" s="8"/>
      <c r="BL144" s="8"/>
      <c r="BM144" s="8"/>
      <c r="BN144" s="7"/>
      <c r="BO144" s="8"/>
      <c r="BP144" s="8"/>
      <c r="BQ144" s="8"/>
      <c r="BR144" s="7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50"/>
      <c r="DC144" s="50"/>
      <c r="DD144" s="50"/>
      <c r="DE144" s="50"/>
      <c r="DF144" s="50"/>
      <c r="DG144" s="50"/>
      <c r="DH144" s="50"/>
      <c r="DI144" s="50"/>
      <c r="DJ144" s="50"/>
      <c r="DK144" s="50"/>
    </row>
    <row r="145" spans="1:115" x14ac:dyDescent="0.4">
      <c r="A145" s="41"/>
      <c r="B145" s="50" t="s">
        <v>158</v>
      </c>
      <c r="C145" s="50">
        <v>0</v>
      </c>
      <c r="D145" s="50">
        <v>0</v>
      </c>
      <c r="E145" s="50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241.27644567999999</v>
      </c>
      <c r="L145" s="50">
        <v>269.50614568000003</v>
      </c>
      <c r="M145" s="50">
        <v>465.5</v>
      </c>
      <c r="N145" s="50">
        <v>1429.7455689999999</v>
      </c>
      <c r="O145" s="50">
        <v>1261.6183127000002</v>
      </c>
      <c r="P145" s="50">
        <v>695.89106000000004</v>
      </c>
      <c r="Q145" s="50">
        <v>318.72149999999999</v>
      </c>
      <c r="R145" s="50">
        <v>606.28078501000005</v>
      </c>
      <c r="S145" s="50">
        <f t="shared" ref="S145:U146" si="161">+R145</f>
        <v>606.28078501000005</v>
      </c>
      <c r="T145" s="50">
        <f t="shared" si="161"/>
        <v>606.28078501000005</v>
      </c>
      <c r="U145" s="50">
        <f t="shared" si="161"/>
        <v>606.28078501000005</v>
      </c>
      <c r="V145" s="8"/>
      <c r="W145" s="50"/>
      <c r="X145" s="50"/>
      <c r="Y145" s="50"/>
      <c r="Z145" s="51"/>
      <c r="AA145" s="50"/>
      <c r="AB145" s="50"/>
      <c r="AC145" s="50"/>
      <c r="AD145" s="51"/>
      <c r="AE145" s="50"/>
      <c r="AF145" s="50"/>
      <c r="AG145" s="50"/>
      <c r="AH145" s="51"/>
      <c r="AI145" s="50"/>
      <c r="AJ145" s="50"/>
      <c r="AK145" s="50"/>
      <c r="AL145" s="51"/>
      <c r="AM145" s="50"/>
      <c r="AN145" s="50"/>
      <c r="AO145" s="50"/>
      <c r="AP145" s="36"/>
      <c r="AQ145" s="37"/>
      <c r="AR145" s="37"/>
      <c r="AS145" s="37"/>
      <c r="AT145" s="36"/>
      <c r="AU145" s="37"/>
      <c r="AV145" s="37"/>
      <c r="AW145" s="37"/>
      <c r="AX145" s="36"/>
      <c r="AY145" s="37"/>
      <c r="AZ145" s="37"/>
      <c r="BA145" s="37"/>
      <c r="BB145" s="36"/>
      <c r="BC145" s="37"/>
      <c r="BD145" s="37"/>
      <c r="BE145" s="37"/>
      <c r="BF145" s="36"/>
      <c r="BG145" s="37"/>
      <c r="BH145" s="37"/>
      <c r="BI145" s="37"/>
      <c r="BJ145" s="36"/>
      <c r="BK145" s="37"/>
      <c r="BL145" s="37"/>
      <c r="BM145" s="37"/>
      <c r="BN145" s="36"/>
      <c r="BO145" s="37"/>
      <c r="BP145" s="37"/>
      <c r="BQ145" s="37"/>
      <c r="BR145" s="36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</row>
    <row r="146" spans="1:115" x14ac:dyDescent="0.4">
      <c r="A146" s="41"/>
      <c r="B146" s="50" t="s">
        <v>159</v>
      </c>
      <c r="C146" s="50">
        <f>+C147-C145</f>
        <v>0</v>
      </c>
      <c r="D146" s="50">
        <f t="shared" ref="D146:Q146" si="162">+D147-D145</f>
        <v>0</v>
      </c>
      <c r="E146" s="50">
        <f t="shared" si="162"/>
        <v>0</v>
      </c>
      <c r="F146" s="50">
        <f t="shared" si="162"/>
        <v>2.71</v>
      </c>
      <c r="G146" s="50">
        <f t="shared" si="162"/>
        <v>138.89453029000001</v>
      </c>
      <c r="H146" s="50">
        <f t="shared" si="162"/>
        <v>35.868405280000005</v>
      </c>
      <c r="I146" s="50">
        <f t="shared" si="162"/>
        <v>26.891651679999999</v>
      </c>
      <c r="J146" s="50">
        <f t="shared" si="162"/>
        <v>9.0299999999999994</v>
      </c>
      <c r="K146" s="50">
        <f t="shared" si="162"/>
        <v>615.77104230000009</v>
      </c>
      <c r="L146" s="50">
        <f t="shared" si="162"/>
        <v>166.69152786000001</v>
      </c>
      <c r="M146" s="50">
        <f t="shared" si="162"/>
        <v>273.36826606</v>
      </c>
      <c r="N146" s="50">
        <f t="shared" si="162"/>
        <v>420.43976705</v>
      </c>
      <c r="O146" s="50">
        <f t="shared" si="162"/>
        <v>534.3370662599998</v>
      </c>
      <c r="P146" s="50">
        <f t="shared" si="162"/>
        <v>527.85190164000016</v>
      </c>
      <c r="Q146" s="50">
        <f t="shared" si="162"/>
        <v>553.04452155999991</v>
      </c>
      <c r="R146" s="50">
        <f>+R147-R145</f>
        <v>1469.7697699399998</v>
      </c>
      <c r="S146" s="96">
        <f t="shared" si="161"/>
        <v>1469.7697699399998</v>
      </c>
      <c r="T146" s="96">
        <f t="shared" si="161"/>
        <v>1469.7697699399998</v>
      </c>
      <c r="U146" s="96">
        <f t="shared" si="161"/>
        <v>1469.7697699399998</v>
      </c>
      <c r="V146" s="8"/>
      <c r="W146" s="50"/>
      <c r="X146" s="50"/>
      <c r="Y146" s="50"/>
      <c r="Z146" s="51"/>
      <c r="AA146" s="50"/>
      <c r="AB146" s="50"/>
      <c r="AC146" s="50"/>
      <c r="AD146" s="51"/>
      <c r="AE146" s="50"/>
      <c r="AF146" s="50"/>
      <c r="AG146" s="50"/>
      <c r="AH146" s="51"/>
      <c r="AI146" s="50"/>
      <c r="AJ146" s="50"/>
      <c r="AK146" s="50"/>
      <c r="AL146" s="51"/>
      <c r="AM146" s="50"/>
      <c r="AN146" s="50"/>
      <c r="AO146" s="50"/>
      <c r="AP146" s="225"/>
      <c r="AQ146" s="226"/>
      <c r="AR146" s="226"/>
      <c r="AS146" s="226"/>
      <c r="AT146" s="225"/>
      <c r="AU146" s="226"/>
      <c r="AV146" s="226"/>
      <c r="AW146" s="226"/>
      <c r="AX146" s="225"/>
      <c r="AY146" s="226"/>
      <c r="AZ146" s="226"/>
      <c r="BA146" s="226"/>
      <c r="BB146" s="225"/>
      <c r="BC146" s="226"/>
      <c r="BD146" s="226"/>
      <c r="BE146" s="226"/>
      <c r="BF146" s="225"/>
      <c r="BG146" s="226"/>
      <c r="BH146" s="226"/>
      <c r="BI146" s="226"/>
      <c r="BJ146" s="225"/>
      <c r="BK146" s="226"/>
      <c r="BL146" s="226"/>
      <c r="BM146" s="226"/>
      <c r="BN146" s="225"/>
      <c r="BO146" s="226"/>
      <c r="BP146" s="226"/>
      <c r="BQ146" s="226"/>
      <c r="BR146" s="225"/>
      <c r="BS146" s="226"/>
      <c r="BT146" s="226"/>
      <c r="BU146" s="226"/>
      <c r="BV146" s="226"/>
      <c r="BW146" s="226"/>
      <c r="BX146" s="226"/>
      <c r="BY146" s="226"/>
      <c r="BZ146" s="226"/>
      <c r="CA146" s="226"/>
      <c r="CB146" s="226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</row>
    <row r="147" spans="1:115" x14ac:dyDescent="0.4">
      <c r="A147" s="84"/>
      <c r="B147" s="63" t="s">
        <v>160</v>
      </c>
      <c r="C147" s="63">
        <v>0</v>
      </c>
      <c r="D147" s="63">
        <v>0</v>
      </c>
      <c r="E147" s="63">
        <v>0</v>
      </c>
      <c r="F147" s="63">
        <v>2.71</v>
      </c>
      <c r="G147" s="63">
        <v>138.89453029000001</v>
      </c>
      <c r="H147" s="63">
        <v>35.868405280000005</v>
      </c>
      <c r="I147" s="63">
        <v>26.891651679999999</v>
      </c>
      <c r="J147" s="63">
        <v>9.0299999999999994</v>
      </c>
      <c r="K147" s="63">
        <v>857.04748798000003</v>
      </c>
      <c r="L147" s="63">
        <v>436.19767354000004</v>
      </c>
      <c r="M147" s="63">
        <v>738.86826606</v>
      </c>
      <c r="N147" s="63">
        <v>1850.1853360499999</v>
      </c>
      <c r="O147" s="63">
        <v>1795.95537896</v>
      </c>
      <c r="P147" s="63">
        <v>1223.7429616400002</v>
      </c>
      <c r="Q147" s="63">
        <v>871.7660215599999</v>
      </c>
      <c r="R147" s="63">
        <v>2076.0505549499999</v>
      </c>
      <c r="S147" s="63">
        <f t="shared" ref="S147:U147" si="163">SUM(S145+S146)</f>
        <v>2076.0505549499999</v>
      </c>
      <c r="T147" s="63">
        <f t="shared" si="163"/>
        <v>2076.0505549499999</v>
      </c>
      <c r="U147" s="63">
        <f t="shared" si="163"/>
        <v>2076.0505549499999</v>
      </c>
      <c r="V147" s="8"/>
      <c r="W147" s="42"/>
      <c r="X147" s="42"/>
      <c r="Y147" s="42"/>
      <c r="Z147" s="44"/>
      <c r="AA147" s="42"/>
      <c r="AB147" s="42"/>
      <c r="AC147" s="42"/>
      <c r="AD147" s="44"/>
      <c r="AE147" s="42"/>
      <c r="AF147" s="42"/>
      <c r="AG147" s="42"/>
      <c r="AH147" s="44"/>
      <c r="AI147" s="42"/>
      <c r="AJ147" s="42"/>
      <c r="AK147" s="42"/>
      <c r="AL147" s="44"/>
      <c r="AM147" s="42"/>
      <c r="AN147" s="42"/>
      <c r="AO147" s="42"/>
      <c r="AP147" s="44"/>
      <c r="AQ147" s="42"/>
      <c r="AR147" s="42"/>
      <c r="AS147" s="42"/>
      <c r="AT147" s="44"/>
      <c r="AU147" s="42"/>
      <c r="AV147" s="42"/>
      <c r="AW147" s="42"/>
      <c r="AX147" s="44"/>
      <c r="AY147" s="42"/>
      <c r="AZ147" s="42"/>
      <c r="BA147" s="42"/>
      <c r="BB147" s="44"/>
      <c r="BC147" s="42"/>
      <c r="BD147" s="42"/>
      <c r="BE147" s="42"/>
      <c r="BF147" s="44"/>
      <c r="BG147" s="42"/>
      <c r="BH147" s="42"/>
      <c r="BI147" s="42"/>
      <c r="BJ147" s="44"/>
      <c r="BK147" s="42"/>
      <c r="BL147" s="42"/>
      <c r="BM147" s="42"/>
      <c r="BN147" s="44"/>
      <c r="BO147" s="42"/>
      <c r="BP147" s="42"/>
      <c r="BQ147" s="42"/>
      <c r="BR147" s="44"/>
      <c r="BS147" s="42"/>
      <c r="BT147" s="42"/>
      <c r="BU147" s="42"/>
      <c r="BV147" s="42"/>
      <c r="BW147" s="42"/>
      <c r="BX147" s="42"/>
      <c r="BY147" s="42"/>
      <c r="BZ147" s="42"/>
      <c r="CA147" s="42"/>
      <c r="CB147" s="42"/>
      <c r="CC147" s="42"/>
      <c r="CD147" s="42"/>
      <c r="CE147" s="42"/>
      <c r="CF147" s="42"/>
      <c r="CG147" s="42"/>
      <c r="CH147" s="42"/>
      <c r="CI147" s="42"/>
      <c r="CJ147" s="42"/>
      <c r="CK147" s="42"/>
      <c r="CL147" s="42"/>
      <c r="CM147" s="42"/>
      <c r="CN147" s="42"/>
      <c r="CO147" s="42"/>
      <c r="CP147" s="42"/>
      <c r="CQ147" s="42"/>
      <c r="CR147" s="42"/>
      <c r="CS147" s="42"/>
      <c r="CT147" s="42"/>
      <c r="CU147" s="42"/>
      <c r="CV147" s="42"/>
      <c r="CW147" s="42"/>
      <c r="CX147" s="42"/>
      <c r="CY147" s="42"/>
      <c r="CZ147" s="42"/>
      <c r="DA147" s="42"/>
      <c r="DB147" s="42"/>
      <c r="DC147" s="42"/>
      <c r="DD147" s="42"/>
      <c r="DE147" s="42"/>
      <c r="DF147" s="42"/>
      <c r="DG147" s="42"/>
      <c r="DH147" s="42"/>
      <c r="DI147" s="42"/>
      <c r="DJ147" s="42"/>
      <c r="DK147" s="42"/>
    </row>
    <row r="148" spans="1:115" x14ac:dyDescent="0.4">
      <c r="A148" s="84"/>
      <c r="B148" s="63" t="s">
        <v>161</v>
      </c>
      <c r="C148" s="63">
        <f>+C147+C143</f>
        <v>66.54031517</v>
      </c>
      <c r="D148" s="63">
        <f t="shared" ref="D148:U148" si="164">+D147+D143</f>
        <v>65.255521090000002</v>
      </c>
      <c r="E148" s="63">
        <f t="shared" si="164"/>
        <v>86.562596010000007</v>
      </c>
      <c r="F148" s="63">
        <f t="shared" si="164"/>
        <v>23.862471859999999</v>
      </c>
      <c r="G148" s="63">
        <f t="shared" si="164"/>
        <v>210.66427432</v>
      </c>
      <c r="H148" s="63">
        <f t="shared" si="164"/>
        <v>110.80004550000001</v>
      </c>
      <c r="I148" s="63">
        <f t="shared" si="164"/>
        <v>93.104422219999989</v>
      </c>
      <c r="J148" s="63">
        <f t="shared" si="164"/>
        <v>76.37121732</v>
      </c>
      <c r="K148" s="63">
        <f t="shared" si="164"/>
        <v>3804.1644328400002</v>
      </c>
      <c r="L148" s="63">
        <f t="shared" si="164"/>
        <v>3303.7193616099999</v>
      </c>
      <c r="M148" s="63">
        <f t="shared" si="164"/>
        <v>3564.9496138599998</v>
      </c>
      <c r="N148" s="63">
        <f t="shared" si="164"/>
        <v>5622.2455806400003</v>
      </c>
      <c r="O148" s="63">
        <f t="shared" si="164"/>
        <v>4961.64048275</v>
      </c>
      <c r="P148" s="63">
        <f t="shared" si="164"/>
        <v>4487.9877715000002</v>
      </c>
      <c r="Q148" s="63">
        <f t="shared" si="164"/>
        <v>5232.2483774900002</v>
      </c>
      <c r="R148" s="63">
        <f t="shared" si="164"/>
        <v>8573.43537603</v>
      </c>
      <c r="S148" s="63">
        <f t="shared" si="164"/>
        <v>8957.7071837582862</v>
      </c>
      <c r="T148" s="63">
        <f t="shared" si="164"/>
        <v>10292.487631620994</v>
      </c>
      <c r="U148" s="63">
        <f t="shared" si="164"/>
        <v>11749.007361151116</v>
      </c>
      <c r="V148" s="8"/>
      <c r="W148" s="42"/>
      <c r="X148" s="42"/>
      <c r="Y148" s="42"/>
      <c r="Z148" s="44"/>
      <c r="AA148" s="42"/>
      <c r="AB148" s="42"/>
      <c r="AC148" s="42"/>
      <c r="AD148" s="44"/>
      <c r="AE148" s="42"/>
      <c r="AF148" s="42"/>
      <c r="AG148" s="42"/>
      <c r="AH148" s="44"/>
      <c r="AI148" s="42"/>
      <c r="AJ148" s="42"/>
      <c r="AK148" s="42"/>
      <c r="AL148" s="44"/>
      <c r="AM148" s="42"/>
      <c r="AN148" s="42"/>
      <c r="AO148" s="42"/>
      <c r="AP148" s="44"/>
      <c r="AQ148" s="42"/>
      <c r="AR148" s="42"/>
      <c r="AS148" s="42"/>
      <c r="AT148" s="44"/>
      <c r="AU148" s="42"/>
      <c r="AV148" s="42"/>
      <c r="AW148" s="42"/>
      <c r="AX148" s="44"/>
      <c r="AY148" s="42"/>
      <c r="AZ148" s="42"/>
      <c r="BA148" s="42"/>
      <c r="BB148" s="44"/>
      <c r="BC148" s="42"/>
      <c r="BD148" s="42"/>
      <c r="BE148" s="42"/>
      <c r="BF148" s="44"/>
      <c r="BG148" s="42"/>
      <c r="BH148" s="42"/>
      <c r="BI148" s="42"/>
      <c r="BJ148" s="44"/>
      <c r="BK148" s="42"/>
      <c r="BL148" s="42"/>
      <c r="BM148" s="42"/>
      <c r="BN148" s="44"/>
      <c r="BO148" s="42"/>
      <c r="BP148" s="42"/>
      <c r="BQ148" s="42"/>
      <c r="BR148" s="44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2"/>
      <c r="CE148" s="42"/>
      <c r="CF148" s="42"/>
      <c r="CG148" s="42"/>
      <c r="CH148" s="42"/>
      <c r="CI148" s="42"/>
      <c r="CJ148" s="42"/>
      <c r="CK148" s="42"/>
      <c r="CL148" s="42"/>
      <c r="CM148" s="42"/>
      <c r="CN148" s="42"/>
      <c r="CO148" s="42"/>
      <c r="CP148" s="42"/>
      <c r="CQ148" s="42"/>
      <c r="CR148" s="42"/>
      <c r="CS148" s="42"/>
      <c r="CT148" s="42"/>
      <c r="CU148" s="42"/>
      <c r="CV148" s="42"/>
      <c r="CW148" s="42"/>
      <c r="CX148" s="42"/>
      <c r="CY148" s="42"/>
      <c r="CZ148" s="42"/>
      <c r="DA148" s="42"/>
      <c r="DB148" s="42"/>
      <c r="DC148" s="42"/>
      <c r="DD148" s="42"/>
      <c r="DE148" s="42"/>
      <c r="DF148" s="42"/>
      <c r="DG148" s="42"/>
      <c r="DH148" s="42"/>
      <c r="DI148" s="42"/>
      <c r="DJ148" s="42"/>
      <c r="DK148" s="42"/>
    </row>
    <row r="149" spans="1:115" x14ac:dyDescent="0.4">
      <c r="A149" s="84"/>
      <c r="B149" s="229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8"/>
      <c r="W149" s="42"/>
      <c r="X149" s="42"/>
      <c r="Y149" s="42"/>
      <c r="Z149" s="44"/>
      <c r="AA149" s="42"/>
      <c r="AB149" s="42"/>
      <c r="AC149" s="42"/>
      <c r="AD149" s="44"/>
      <c r="AE149" s="42"/>
      <c r="AF149" s="42"/>
      <c r="AG149" s="42"/>
      <c r="AH149" s="44"/>
      <c r="AI149" s="42"/>
      <c r="AJ149" s="42"/>
      <c r="AK149" s="42"/>
      <c r="AL149" s="44"/>
      <c r="AM149" s="42"/>
      <c r="AN149" s="42"/>
      <c r="AO149" s="42"/>
      <c r="AP149" s="7"/>
      <c r="AQ149" s="8"/>
      <c r="AR149" s="8"/>
      <c r="AS149" s="37"/>
      <c r="AT149" s="36"/>
      <c r="AU149" s="37"/>
      <c r="AV149" s="37"/>
      <c r="AW149" s="37"/>
      <c r="AX149" s="36"/>
      <c r="AY149" s="37"/>
      <c r="AZ149" s="37"/>
      <c r="BA149" s="37"/>
      <c r="BB149" s="36"/>
      <c r="BC149" s="37"/>
      <c r="BD149" s="37"/>
      <c r="BE149" s="37"/>
      <c r="BF149" s="36"/>
      <c r="BG149" s="37"/>
      <c r="BH149" s="37"/>
      <c r="BI149" s="37"/>
      <c r="BJ149" s="36"/>
      <c r="BK149" s="37"/>
      <c r="BL149" s="37"/>
      <c r="BM149" s="37"/>
      <c r="BN149" s="36"/>
      <c r="BO149" s="37"/>
      <c r="BP149" s="37"/>
      <c r="BQ149" s="37"/>
      <c r="BR149" s="36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42"/>
      <c r="CD149" s="42"/>
      <c r="CE149" s="42"/>
      <c r="CF149" s="42"/>
      <c r="CG149" s="42"/>
      <c r="CH149" s="42"/>
      <c r="CI149" s="42"/>
      <c r="CJ149" s="42"/>
      <c r="CK149" s="42"/>
      <c r="CL149" s="42"/>
      <c r="CM149" s="42"/>
      <c r="CN149" s="42"/>
      <c r="CO149" s="42"/>
      <c r="CP149" s="42"/>
      <c r="CQ149" s="42"/>
      <c r="CR149" s="42"/>
      <c r="CS149" s="42"/>
      <c r="CT149" s="42"/>
      <c r="CU149" s="42"/>
      <c r="CV149" s="42"/>
      <c r="CW149" s="42"/>
      <c r="CX149" s="42"/>
      <c r="CY149" s="42"/>
      <c r="CZ149" s="42"/>
      <c r="DA149" s="42"/>
      <c r="DB149" s="42"/>
      <c r="DC149" s="42"/>
      <c r="DD149" s="42"/>
      <c r="DE149" s="42"/>
      <c r="DF149" s="42"/>
      <c r="DG149" s="42"/>
      <c r="DH149" s="42"/>
      <c r="DI149" s="42"/>
      <c r="DJ149" s="42"/>
      <c r="DK149" s="42"/>
    </row>
    <row r="150" spans="1:115" x14ac:dyDescent="0.4">
      <c r="A150" s="41"/>
      <c r="B150" s="50" t="s">
        <v>162</v>
      </c>
      <c r="C150" s="50">
        <v>0</v>
      </c>
      <c r="D150" s="50">
        <v>0</v>
      </c>
      <c r="E150" s="50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50">
        <v>0</v>
      </c>
      <c r="N150" s="50">
        <v>0</v>
      </c>
      <c r="O150" s="50">
        <v>0</v>
      </c>
      <c r="P150" s="50">
        <v>0</v>
      </c>
      <c r="Q150" s="50">
        <v>0</v>
      </c>
      <c r="R150" s="50">
        <v>0</v>
      </c>
      <c r="S150" s="96">
        <f t="shared" ref="S150:U152" si="165">+R150</f>
        <v>0</v>
      </c>
      <c r="T150" s="96">
        <f t="shared" si="165"/>
        <v>0</v>
      </c>
      <c r="U150" s="96">
        <f t="shared" si="165"/>
        <v>0</v>
      </c>
      <c r="V150" s="8"/>
      <c r="W150" s="50"/>
      <c r="X150" s="50"/>
      <c r="Y150" s="50"/>
      <c r="Z150" s="51"/>
      <c r="AA150" s="50"/>
      <c r="AB150" s="50"/>
      <c r="AC150" s="50"/>
      <c r="AD150" s="51"/>
      <c r="AE150" s="50"/>
      <c r="AF150" s="50"/>
      <c r="AG150" s="50"/>
      <c r="AH150" s="51"/>
      <c r="AI150" s="50"/>
      <c r="AJ150" s="50"/>
      <c r="AK150" s="50"/>
      <c r="AL150" s="51"/>
      <c r="AM150" s="50"/>
      <c r="AN150" s="50"/>
      <c r="AO150" s="50"/>
      <c r="AP150" s="208"/>
      <c r="AQ150" s="209"/>
      <c r="AR150" s="209"/>
      <c r="AS150" s="209"/>
      <c r="AT150" s="208"/>
      <c r="AU150" s="209"/>
      <c r="AV150" s="209"/>
      <c r="AW150" s="209"/>
      <c r="AX150" s="208"/>
      <c r="AY150" s="209"/>
      <c r="AZ150" s="209"/>
      <c r="BA150" s="209"/>
      <c r="BB150" s="208"/>
      <c r="BC150" s="209"/>
      <c r="BD150" s="209"/>
      <c r="BE150" s="209"/>
      <c r="BF150" s="208"/>
      <c r="BG150" s="209"/>
      <c r="BH150" s="209"/>
      <c r="BI150" s="209"/>
      <c r="BJ150" s="208"/>
      <c r="BK150" s="209"/>
      <c r="BL150" s="209"/>
      <c r="BM150" s="209"/>
      <c r="BN150" s="208"/>
      <c r="BO150" s="209"/>
      <c r="BP150" s="209"/>
      <c r="BQ150" s="209"/>
      <c r="BR150" s="208"/>
      <c r="BS150" s="209"/>
      <c r="BT150" s="209"/>
      <c r="BU150" s="209"/>
      <c r="BV150" s="209"/>
      <c r="BW150" s="209"/>
      <c r="BX150" s="209"/>
      <c r="BY150" s="209"/>
      <c r="BZ150" s="209"/>
      <c r="CA150" s="209"/>
      <c r="CB150" s="209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</row>
    <row r="151" spans="1:115" x14ac:dyDescent="0.4">
      <c r="A151" s="41"/>
      <c r="B151" s="50" t="s">
        <v>163</v>
      </c>
      <c r="C151" s="50">
        <v>10.4328</v>
      </c>
      <c r="D151" s="50">
        <v>50</v>
      </c>
      <c r="E151" s="50">
        <v>50</v>
      </c>
      <c r="F151" s="50">
        <v>66.67</v>
      </c>
      <c r="G151" s="50">
        <v>120.006</v>
      </c>
      <c r="H151" s="50">
        <v>216.01079999999999</v>
      </c>
      <c r="I151" s="50">
        <v>216.01079999999999</v>
      </c>
      <c r="J151" s="50">
        <v>216.01079999999999</v>
      </c>
      <c r="K151" s="50">
        <v>473.857056</v>
      </c>
      <c r="L151" s="50">
        <v>475.455806</v>
      </c>
      <c r="M151" s="50">
        <v>713.16513599999996</v>
      </c>
      <c r="N151" s="50">
        <v>713.16513599999996</v>
      </c>
      <c r="O151" s="50">
        <v>800.09628099999998</v>
      </c>
      <c r="P151" s="50">
        <v>800.96178799999996</v>
      </c>
      <c r="Q151" s="50">
        <v>802.82623799999999</v>
      </c>
      <c r="R151" s="50">
        <v>1121.1665089999999</v>
      </c>
      <c r="S151" s="96">
        <f t="shared" si="165"/>
        <v>1121.1665089999999</v>
      </c>
      <c r="T151" s="96">
        <f t="shared" si="165"/>
        <v>1121.1665089999999</v>
      </c>
      <c r="U151" s="96">
        <f t="shared" si="165"/>
        <v>1121.1665089999999</v>
      </c>
      <c r="V151" s="8"/>
      <c r="W151" s="50"/>
      <c r="X151" s="50"/>
      <c r="Y151" s="50"/>
      <c r="Z151" s="51"/>
      <c r="AA151" s="50"/>
      <c r="AB151" s="50"/>
      <c r="AC151" s="50"/>
      <c r="AD151" s="51"/>
      <c r="AE151" s="50"/>
      <c r="AF151" s="50"/>
      <c r="AG151" s="50"/>
      <c r="AH151" s="51"/>
      <c r="AI151" s="50"/>
      <c r="AJ151" s="50"/>
      <c r="AK151" s="50"/>
      <c r="AL151" s="51"/>
      <c r="AM151" s="50"/>
      <c r="AN151" s="50"/>
      <c r="AO151" s="50"/>
      <c r="AP151" s="230"/>
      <c r="AQ151" s="231"/>
      <c r="AR151" s="231"/>
      <c r="AS151" s="231"/>
      <c r="AT151" s="230"/>
      <c r="AU151" s="231"/>
      <c r="AV151" s="231"/>
      <c r="AW151" s="231"/>
      <c r="AX151" s="230"/>
      <c r="AY151" s="231"/>
      <c r="AZ151" s="231"/>
      <c r="BA151" s="231"/>
      <c r="BB151" s="230"/>
      <c r="BC151" s="231"/>
      <c r="BD151" s="231"/>
      <c r="BE151" s="231"/>
      <c r="BF151" s="230"/>
      <c r="BG151" s="231"/>
      <c r="BH151" s="231"/>
      <c r="BI151" s="231"/>
      <c r="BJ151" s="230"/>
      <c r="BK151" s="231"/>
      <c r="BL151" s="231"/>
      <c r="BM151" s="231"/>
      <c r="BN151" s="230"/>
      <c r="BO151" s="231"/>
      <c r="BP151" s="231"/>
      <c r="BQ151" s="231"/>
      <c r="BR151" s="230"/>
      <c r="BS151" s="231"/>
      <c r="BT151" s="231"/>
      <c r="BU151" s="231"/>
      <c r="BV151" s="231"/>
      <c r="BW151" s="231"/>
      <c r="BX151" s="231"/>
      <c r="BY151" s="231"/>
      <c r="BZ151" s="231"/>
      <c r="CA151" s="231"/>
      <c r="CB151" s="231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</row>
    <row r="152" spans="1:115" x14ac:dyDescent="0.4">
      <c r="A152" s="41"/>
      <c r="B152" s="50" t="s">
        <v>164</v>
      </c>
      <c r="C152" s="50">
        <v>0</v>
      </c>
      <c r="D152" s="50">
        <v>0</v>
      </c>
      <c r="E152" s="50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290.56226600000002</v>
      </c>
      <c r="L152" s="50">
        <v>268.91413373</v>
      </c>
      <c r="M152" s="50">
        <v>173.70350659000002</v>
      </c>
      <c r="N152" s="50">
        <v>90.7896748</v>
      </c>
      <c r="O152" s="50">
        <v>7.1976778899999996</v>
      </c>
      <c r="P152" s="50">
        <v>782.27039288000003</v>
      </c>
      <c r="Q152" s="50">
        <v>620.48045963000004</v>
      </c>
      <c r="R152" s="50">
        <v>569.36477963000004</v>
      </c>
      <c r="S152" s="96">
        <f t="shared" si="165"/>
        <v>569.36477963000004</v>
      </c>
      <c r="T152" s="96">
        <f t="shared" si="165"/>
        <v>569.36477963000004</v>
      </c>
      <c r="U152" s="96">
        <f t="shared" si="165"/>
        <v>569.36477963000004</v>
      </c>
      <c r="V152" s="8"/>
      <c r="W152" s="50"/>
      <c r="X152" s="50"/>
      <c r="Y152" s="50"/>
      <c r="Z152" s="51"/>
      <c r="AA152" s="50"/>
      <c r="AB152" s="50"/>
      <c r="AC152" s="50"/>
      <c r="AD152" s="51"/>
      <c r="AE152" s="50"/>
      <c r="AF152" s="50"/>
      <c r="AG152" s="50"/>
      <c r="AH152" s="51"/>
      <c r="AI152" s="50"/>
      <c r="AJ152" s="50"/>
      <c r="AK152" s="50"/>
      <c r="AL152" s="51"/>
      <c r="AM152" s="50"/>
      <c r="AN152" s="50"/>
      <c r="AO152" s="50"/>
      <c r="AP152" s="230"/>
      <c r="AQ152" s="231"/>
      <c r="AR152" s="231"/>
      <c r="AS152" s="231"/>
      <c r="AT152" s="230"/>
      <c r="AU152" s="231"/>
      <c r="AV152" s="231"/>
      <c r="AW152" s="231"/>
      <c r="AX152" s="230"/>
      <c r="AY152" s="231"/>
      <c r="AZ152" s="231"/>
      <c r="BA152" s="231"/>
      <c r="BB152" s="230"/>
      <c r="BC152" s="231"/>
      <c r="BD152" s="231"/>
      <c r="BE152" s="231"/>
      <c r="BF152" s="230"/>
      <c r="BG152" s="231"/>
      <c r="BH152" s="231"/>
      <c r="BI152" s="231"/>
      <c r="BJ152" s="230"/>
      <c r="BK152" s="231"/>
      <c r="BL152" s="231"/>
      <c r="BM152" s="231"/>
      <c r="BN152" s="230"/>
      <c r="BO152" s="231"/>
      <c r="BP152" s="231"/>
      <c r="BQ152" s="231"/>
      <c r="BR152" s="230"/>
      <c r="BS152" s="231"/>
      <c r="BT152" s="231"/>
      <c r="BU152" s="231"/>
      <c r="BV152" s="231"/>
      <c r="BW152" s="231"/>
      <c r="BX152" s="231"/>
      <c r="BY152" s="231"/>
      <c r="BZ152" s="231"/>
      <c r="CA152" s="231"/>
      <c r="CB152" s="231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</row>
    <row r="153" spans="1:115" x14ac:dyDescent="0.4">
      <c r="A153" s="41"/>
      <c r="B153" s="50" t="s">
        <v>165</v>
      </c>
      <c r="C153" s="50">
        <v>75.525442050000009</v>
      </c>
      <c r="D153" s="50">
        <v>15.185301119999998</v>
      </c>
      <c r="E153" s="50">
        <v>66.395709769999996</v>
      </c>
      <c r="F153" s="50">
        <v>81.837587339999985</v>
      </c>
      <c r="G153" s="50">
        <v>89.411514400000002</v>
      </c>
      <c r="H153" s="50">
        <v>94.936888929999995</v>
      </c>
      <c r="I153" s="50">
        <v>98.370749930000002</v>
      </c>
      <c r="J153" s="50">
        <v>106.26477346999999</v>
      </c>
      <c r="K153" s="50">
        <v>265.61008184000002</v>
      </c>
      <c r="L153" s="50">
        <v>870.71949601999995</v>
      </c>
      <c r="M153" s="50">
        <v>1320.5119187600001</v>
      </c>
      <c r="N153" s="50">
        <v>2126.0896007199999</v>
      </c>
      <c r="O153" s="50">
        <v>2916.79176065</v>
      </c>
      <c r="P153" s="50">
        <v>3966.1750356500002</v>
      </c>
      <c r="Q153" s="50">
        <v>5982.4307328199993</v>
      </c>
      <c r="R153" s="50">
        <v>10798.83438932</v>
      </c>
      <c r="S153" s="50">
        <f t="shared" ref="S153:U153" si="166">+R153+S40-S64</f>
        <v>19703.324839048957</v>
      </c>
      <c r="T153" s="50">
        <f t="shared" si="166"/>
        <v>34580.772354048924</v>
      </c>
      <c r="U153" s="50">
        <f t="shared" si="166"/>
        <v>53021.083601565311</v>
      </c>
      <c r="V153" s="8"/>
      <c r="W153" s="50"/>
      <c r="X153" s="50"/>
      <c r="Y153" s="50"/>
      <c r="Z153" s="51"/>
      <c r="AA153" s="50"/>
      <c r="AB153" s="50"/>
      <c r="AC153" s="50"/>
      <c r="AD153" s="51"/>
      <c r="AE153" s="50"/>
      <c r="AF153" s="50"/>
      <c r="AG153" s="50"/>
      <c r="AH153" s="51"/>
      <c r="AI153" s="50"/>
      <c r="AJ153" s="50"/>
      <c r="AK153" s="50"/>
      <c r="AL153" s="51"/>
      <c r="AM153" s="50"/>
      <c r="AN153" s="50"/>
      <c r="AO153" s="50"/>
      <c r="AP153" s="36"/>
      <c r="AQ153" s="37"/>
      <c r="AR153" s="37"/>
      <c r="AS153" s="37"/>
      <c r="AT153" s="36"/>
      <c r="AU153" s="37"/>
      <c r="AV153" s="37"/>
      <c r="AW153" s="37"/>
      <c r="AX153" s="36"/>
      <c r="AY153" s="37"/>
      <c r="AZ153" s="37"/>
      <c r="BA153" s="37"/>
      <c r="BB153" s="36"/>
      <c r="BC153" s="37"/>
      <c r="BD153" s="37"/>
      <c r="BE153" s="37"/>
      <c r="BF153" s="36"/>
      <c r="BG153" s="37"/>
      <c r="BH153" s="37"/>
      <c r="BI153" s="37"/>
      <c r="BJ153" s="36"/>
      <c r="BK153" s="37"/>
      <c r="BL153" s="37"/>
      <c r="BM153" s="37"/>
      <c r="BN153" s="36"/>
      <c r="BO153" s="37"/>
      <c r="BP153" s="37"/>
      <c r="BQ153" s="37"/>
      <c r="BR153" s="36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</row>
    <row r="154" spans="1:115" x14ac:dyDescent="0.4">
      <c r="A154" s="41"/>
      <c r="B154" s="50" t="s">
        <v>166</v>
      </c>
      <c r="C154" s="50">
        <f>+C155-C150-C151-C152-C153</f>
        <v>-3.7208000000006791E-2</v>
      </c>
      <c r="D154" s="50">
        <f t="shared" ref="D154:Q154" si="167">+D155-D150-D151-D152-D153</f>
        <v>90.506875680000007</v>
      </c>
      <c r="E154" s="50">
        <f t="shared" si="167"/>
        <v>90.506875679999979</v>
      </c>
      <c r="F154" s="50">
        <f t="shared" si="167"/>
        <v>372.41023163</v>
      </c>
      <c r="G154" s="50">
        <f t="shared" si="167"/>
        <v>319.92012184000009</v>
      </c>
      <c r="H154" s="50">
        <f t="shared" si="167"/>
        <v>234.00972508999996</v>
      </c>
      <c r="I154" s="50">
        <f t="shared" si="167"/>
        <v>233.82562616000007</v>
      </c>
      <c r="J154" s="50">
        <f t="shared" si="167"/>
        <v>233.50663663000003</v>
      </c>
      <c r="K154" s="50">
        <f t="shared" si="167"/>
        <v>2975.8288824000001</v>
      </c>
      <c r="L154" s="50">
        <f t="shared" si="167"/>
        <v>3161.3921948900011</v>
      </c>
      <c r="M154" s="50">
        <f t="shared" si="167"/>
        <v>4718.8359157599998</v>
      </c>
      <c r="N154" s="50">
        <f t="shared" si="167"/>
        <v>4959.1734330400004</v>
      </c>
      <c r="O154" s="50">
        <f t="shared" si="167"/>
        <v>7764.8661830099991</v>
      </c>
      <c r="P154" s="50">
        <f t="shared" si="167"/>
        <v>6395.8064497300002</v>
      </c>
      <c r="Q154" s="50">
        <f t="shared" si="167"/>
        <v>6855.2848819500014</v>
      </c>
      <c r="R154" s="50">
        <f>+R155-R150-R151-R152-R153</f>
        <v>6644.5213347100034</v>
      </c>
      <c r="S154" s="50">
        <f t="shared" ref="S154:U154" si="168">+R154</f>
        <v>6644.5213347100034</v>
      </c>
      <c r="T154" s="50">
        <f t="shared" si="168"/>
        <v>6644.5213347100034</v>
      </c>
      <c r="U154" s="50">
        <f t="shared" si="168"/>
        <v>6644.5213347100034</v>
      </c>
      <c r="V154" s="8"/>
      <c r="W154" s="50"/>
      <c r="X154" s="50"/>
      <c r="Y154" s="50"/>
      <c r="Z154" s="51"/>
      <c r="AA154" s="50"/>
      <c r="AB154" s="50"/>
      <c r="AC154" s="50"/>
      <c r="AD154" s="51"/>
      <c r="AE154" s="50"/>
      <c r="AF154" s="50"/>
      <c r="AG154" s="50"/>
      <c r="AH154" s="51"/>
      <c r="AI154" s="50"/>
      <c r="AJ154" s="50"/>
      <c r="AK154" s="50"/>
      <c r="AL154" s="51"/>
      <c r="AM154" s="50"/>
      <c r="AN154" s="50"/>
      <c r="AO154" s="50"/>
      <c r="AP154" s="230"/>
      <c r="AQ154" s="231"/>
      <c r="AR154" s="231"/>
      <c r="AS154" s="231"/>
      <c r="AT154" s="230"/>
      <c r="AU154" s="231"/>
      <c r="AV154" s="231"/>
      <c r="AW154" s="231"/>
      <c r="AX154" s="230"/>
      <c r="AY154" s="231"/>
      <c r="AZ154" s="231"/>
      <c r="BA154" s="231"/>
      <c r="BB154" s="230"/>
      <c r="BC154" s="231"/>
      <c r="BD154" s="231"/>
      <c r="BE154" s="231"/>
      <c r="BF154" s="230"/>
      <c r="BG154" s="231"/>
      <c r="BH154" s="231"/>
      <c r="BI154" s="231"/>
      <c r="BJ154" s="230"/>
      <c r="BK154" s="231"/>
      <c r="BL154" s="231"/>
      <c r="BM154" s="231"/>
      <c r="BN154" s="230"/>
      <c r="BO154" s="231"/>
      <c r="BP154" s="231"/>
      <c r="BQ154" s="231"/>
      <c r="BR154" s="230"/>
      <c r="BS154" s="231"/>
      <c r="BT154" s="231"/>
      <c r="BU154" s="231"/>
      <c r="BV154" s="231"/>
      <c r="BW154" s="231"/>
      <c r="BX154" s="231"/>
      <c r="BY154" s="231"/>
      <c r="BZ154" s="231"/>
      <c r="CA154" s="231"/>
      <c r="CB154" s="231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</row>
    <row r="155" spans="1:115" x14ac:dyDescent="0.4">
      <c r="A155" s="41"/>
      <c r="B155" s="63" t="s">
        <v>167</v>
      </c>
      <c r="C155" s="63">
        <v>85.921034050000003</v>
      </c>
      <c r="D155" s="63">
        <v>155.6921768</v>
      </c>
      <c r="E155" s="63">
        <v>206.90258544999998</v>
      </c>
      <c r="F155" s="63">
        <v>520.91781896999998</v>
      </c>
      <c r="G155" s="63">
        <v>529.33763624000005</v>
      </c>
      <c r="H155" s="63">
        <v>544.95741401999999</v>
      </c>
      <c r="I155" s="63">
        <v>548.20717609000008</v>
      </c>
      <c r="J155" s="63">
        <v>555.78221010000004</v>
      </c>
      <c r="K155" s="63">
        <v>4005.8582862399999</v>
      </c>
      <c r="L155" s="63">
        <v>4776.4816306400007</v>
      </c>
      <c r="M155" s="63">
        <v>6926.2164771099997</v>
      </c>
      <c r="N155" s="63">
        <v>7889.2178445600002</v>
      </c>
      <c r="O155" s="63">
        <v>11488.951902549999</v>
      </c>
      <c r="P155" s="63">
        <v>11945.213666260001</v>
      </c>
      <c r="Q155" s="63">
        <v>14261.0223124</v>
      </c>
      <c r="R155" s="63">
        <v>19133.887012660001</v>
      </c>
      <c r="S155" s="63">
        <f t="shared" ref="S155:U155" si="169">S151+S153+S154+S152</f>
        <v>28038.377462388959</v>
      </c>
      <c r="T155" s="63">
        <f t="shared" si="169"/>
        <v>42915.824977388933</v>
      </c>
      <c r="U155" s="63">
        <f t="shared" si="169"/>
        <v>61356.136224905313</v>
      </c>
      <c r="V155" s="8"/>
      <c r="W155" s="42"/>
      <c r="X155" s="42"/>
      <c r="Y155" s="42"/>
      <c r="Z155" s="44"/>
      <c r="AA155" s="42"/>
      <c r="AB155" s="42"/>
      <c r="AC155" s="42"/>
      <c r="AD155" s="44"/>
      <c r="AE155" s="42"/>
      <c r="AF155" s="42"/>
      <c r="AG155" s="42"/>
      <c r="AH155" s="44"/>
      <c r="AI155" s="42"/>
      <c r="AJ155" s="42"/>
      <c r="AK155" s="42"/>
      <c r="AL155" s="44"/>
      <c r="AM155" s="42"/>
      <c r="AN155" s="42"/>
      <c r="AO155" s="42"/>
      <c r="AP155" s="44"/>
      <c r="AQ155" s="42"/>
      <c r="AR155" s="42"/>
      <c r="AS155" s="42"/>
      <c r="AT155" s="44"/>
      <c r="AU155" s="42"/>
      <c r="AV155" s="42"/>
      <c r="AW155" s="42"/>
      <c r="AX155" s="44"/>
      <c r="AY155" s="42"/>
      <c r="AZ155" s="42"/>
      <c r="BA155" s="42"/>
      <c r="BB155" s="44"/>
      <c r="BC155" s="42"/>
      <c r="BD155" s="42"/>
      <c r="BE155" s="42"/>
      <c r="BF155" s="44"/>
      <c r="BG155" s="42"/>
      <c r="BH155" s="42"/>
      <c r="BI155" s="42"/>
      <c r="BJ155" s="44"/>
      <c r="BK155" s="42"/>
      <c r="BL155" s="42"/>
      <c r="BM155" s="42"/>
      <c r="BN155" s="44"/>
      <c r="BO155" s="42"/>
      <c r="BP155" s="42"/>
      <c r="BQ155" s="42"/>
      <c r="BR155" s="44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  <c r="CH155" s="42"/>
      <c r="CI155" s="42"/>
      <c r="CJ155" s="42"/>
      <c r="CK155" s="42"/>
      <c r="CL155" s="42"/>
      <c r="CM155" s="42"/>
      <c r="CN155" s="42"/>
      <c r="CO155" s="42"/>
      <c r="CP155" s="42"/>
      <c r="CQ155" s="42"/>
      <c r="CR155" s="42"/>
      <c r="CS155" s="42"/>
      <c r="CT155" s="42"/>
      <c r="CU155" s="42"/>
      <c r="CV155" s="42"/>
      <c r="CW155" s="42"/>
      <c r="CX155" s="42"/>
      <c r="CY155" s="42"/>
      <c r="CZ155" s="42"/>
      <c r="DA155" s="42"/>
      <c r="DB155" s="42"/>
      <c r="DC155" s="42"/>
      <c r="DD155" s="42"/>
      <c r="DE155" s="42"/>
      <c r="DF155" s="42"/>
      <c r="DG155" s="42"/>
      <c r="DH155" s="42"/>
      <c r="DI155" s="42"/>
      <c r="DJ155" s="42"/>
      <c r="DK155" s="42"/>
    </row>
    <row r="156" spans="1:115" x14ac:dyDescent="0.4">
      <c r="A156" s="41"/>
      <c r="B156" s="50" t="s">
        <v>168</v>
      </c>
      <c r="C156" s="50">
        <v>0</v>
      </c>
      <c r="D156" s="50">
        <v>0</v>
      </c>
      <c r="E156" s="50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50">
        <v>0</v>
      </c>
      <c r="N156" s="50">
        <v>104.26888609000001</v>
      </c>
      <c r="O156" s="50">
        <v>114.08840548000001</v>
      </c>
      <c r="P156" s="50">
        <v>123.78678218</v>
      </c>
      <c r="Q156" s="50">
        <v>513.47677142999999</v>
      </c>
      <c r="R156" s="50">
        <v>1158.9541665699999</v>
      </c>
      <c r="S156" s="50">
        <f t="shared" ref="S156:U156" si="170">+R156+S37+S226</f>
        <v>1782.8130525799961</v>
      </c>
      <c r="T156" s="50">
        <f t="shared" si="170"/>
        <v>2672.7193673059965</v>
      </c>
      <c r="U156" s="50">
        <f t="shared" si="170"/>
        <v>3725.3064087098855</v>
      </c>
      <c r="V156" s="8"/>
      <c r="W156" s="50"/>
      <c r="X156" s="50"/>
      <c r="Y156" s="50"/>
      <c r="Z156" s="51"/>
      <c r="AA156" s="50"/>
      <c r="AB156" s="50"/>
      <c r="AC156" s="50"/>
      <c r="AD156" s="51"/>
      <c r="AE156" s="50"/>
      <c r="AF156" s="50"/>
      <c r="AG156" s="50"/>
      <c r="AH156" s="51"/>
      <c r="AI156" s="50"/>
      <c r="AJ156" s="50"/>
      <c r="AK156" s="50"/>
      <c r="AL156" s="51"/>
      <c r="AM156" s="50"/>
      <c r="AN156" s="50"/>
      <c r="AO156" s="50"/>
      <c r="AP156" s="36"/>
      <c r="AQ156" s="37"/>
      <c r="AR156" s="37"/>
      <c r="AS156" s="37"/>
      <c r="AT156" s="36"/>
      <c r="AU156" s="37"/>
      <c r="AV156" s="37"/>
      <c r="AW156" s="37"/>
      <c r="AX156" s="36"/>
      <c r="AY156" s="37"/>
      <c r="AZ156" s="37"/>
      <c r="BA156" s="37"/>
      <c r="BB156" s="36"/>
      <c r="BC156" s="37"/>
      <c r="BD156" s="37"/>
      <c r="BE156" s="37"/>
      <c r="BF156" s="36"/>
      <c r="BG156" s="37"/>
      <c r="BH156" s="37"/>
      <c r="BI156" s="37"/>
      <c r="BJ156" s="36"/>
      <c r="BK156" s="37"/>
      <c r="BL156" s="37"/>
      <c r="BM156" s="37"/>
      <c r="BN156" s="36"/>
      <c r="BO156" s="37"/>
      <c r="BP156" s="37"/>
      <c r="BQ156" s="37"/>
      <c r="BR156" s="36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</row>
    <row r="157" spans="1:115" x14ac:dyDescent="0.4">
      <c r="A157" s="41"/>
      <c r="B157" s="63" t="s">
        <v>169</v>
      </c>
      <c r="C157" s="63">
        <v>85.921034050000003</v>
      </c>
      <c r="D157" s="63">
        <v>155.6921768</v>
      </c>
      <c r="E157" s="63">
        <v>206.90258544999998</v>
      </c>
      <c r="F157" s="63">
        <v>520.91781896999998</v>
      </c>
      <c r="G157" s="63">
        <v>529.33763624000005</v>
      </c>
      <c r="H157" s="63">
        <v>544.95741401999999</v>
      </c>
      <c r="I157" s="63">
        <v>548.20717609000008</v>
      </c>
      <c r="J157" s="63">
        <v>555.78221010000004</v>
      </c>
      <c r="K157" s="63">
        <v>4005.8582862399999</v>
      </c>
      <c r="L157" s="63">
        <v>4776.4816306400007</v>
      </c>
      <c r="M157" s="63">
        <v>6926.2164771099997</v>
      </c>
      <c r="N157" s="63">
        <v>7993.48673065</v>
      </c>
      <c r="O157" s="63">
        <v>11603.04030803</v>
      </c>
      <c r="P157" s="63">
        <v>12069.00044844</v>
      </c>
      <c r="Q157" s="63">
        <v>14774.49908383</v>
      </c>
      <c r="R157" s="63">
        <v>20292.841179229999</v>
      </c>
      <c r="S157" s="63">
        <f t="shared" ref="S157:U157" si="171">S155+S150+S156</f>
        <v>29821.190514968956</v>
      </c>
      <c r="T157" s="63">
        <f t="shared" si="171"/>
        <v>45588.544344694928</v>
      </c>
      <c r="U157" s="63">
        <f t="shared" si="171"/>
        <v>65081.442633615196</v>
      </c>
      <c r="V157" s="8"/>
      <c r="W157" s="42"/>
      <c r="X157" s="42"/>
      <c r="Y157" s="42"/>
      <c r="Z157" s="44"/>
      <c r="AA157" s="42"/>
      <c r="AB157" s="42"/>
      <c r="AC157" s="42"/>
      <c r="AD157" s="44"/>
      <c r="AE157" s="42"/>
      <c r="AF157" s="42"/>
      <c r="AG157" s="42"/>
      <c r="AH157" s="44"/>
      <c r="AI157" s="42"/>
      <c r="AJ157" s="42"/>
      <c r="AK157" s="42"/>
      <c r="AL157" s="44"/>
      <c r="AM157" s="42"/>
      <c r="AN157" s="42"/>
      <c r="AO157" s="42"/>
      <c r="AP157" s="44"/>
      <c r="AQ157" s="42"/>
      <c r="AR157" s="42"/>
      <c r="AS157" s="42"/>
      <c r="AT157" s="44"/>
      <c r="AU157" s="42"/>
      <c r="AV157" s="42"/>
      <c r="AW157" s="42"/>
      <c r="AX157" s="44"/>
      <c r="AY157" s="42"/>
      <c r="AZ157" s="42"/>
      <c r="BA157" s="42"/>
      <c r="BB157" s="44"/>
      <c r="BC157" s="42"/>
      <c r="BD157" s="42"/>
      <c r="BE157" s="42"/>
      <c r="BF157" s="44"/>
      <c r="BG157" s="42"/>
      <c r="BH157" s="42"/>
      <c r="BI157" s="42"/>
      <c r="BJ157" s="44"/>
      <c r="BK157" s="42"/>
      <c r="BL157" s="42"/>
      <c r="BM157" s="42"/>
      <c r="BN157" s="44"/>
      <c r="BO157" s="42"/>
      <c r="BP157" s="42"/>
      <c r="BQ157" s="42"/>
      <c r="BR157" s="44"/>
      <c r="BS157" s="42"/>
      <c r="BT157" s="42"/>
      <c r="BU157" s="42"/>
      <c r="BV157" s="42"/>
      <c r="BW157" s="42"/>
      <c r="BX157" s="42"/>
      <c r="BY157" s="42"/>
      <c r="BZ157" s="42"/>
      <c r="CA157" s="42"/>
      <c r="CB157" s="42"/>
      <c r="CC157" s="42"/>
      <c r="CD157" s="42"/>
      <c r="CE157" s="42"/>
      <c r="CF157" s="42"/>
      <c r="CG157" s="42"/>
      <c r="CH157" s="42"/>
      <c r="CI157" s="42"/>
      <c r="CJ157" s="42"/>
      <c r="CK157" s="42"/>
      <c r="CL157" s="42"/>
      <c r="CM157" s="42"/>
      <c r="CN157" s="42"/>
      <c r="CO157" s="42"/>
      <c r="CP157" s="42"/>
      <c r="CQ157" s="42"/>
      <c r="CR157" s="42"/>
      <c r="CS157" s="42"/>
      <c r="CT157" s="42"/>
      <c r="CU157" s="42"/>
      <c r="CV157" s="42"/>
      <c r="CW157" s="42"/>
      <c r="CX157" s="42"/>
      <c r="CY157" s="42"/>
      <c r="CZ157" s="42"/>
      <c r="DA157" s="42"/>
      <c r="DB157" s="42"/>
      <c r="DC157" s="42"/>
      <c r="DD157" s="42"/>
      <c r="DE157" s="42"/>
      <c r="DF157" s="42"/>
      <c r="DG157" s="42"/>
      <c r="DH157" s="42"/>
      <c r="DI157" s="42"/>
      <c r="DJ157" s="42"/>
      <c r="DK157" s="42"/>
    </row>
    <row r="158" spans="1:115" x14ac:dyDescent="0.4">
      <c r="A158" s="41"/>
      <c r="B158" s="63" t="s">
        <v>170</v>
      </c>
      <c r="C158" s="63">
        <f>C157+C148</f>
        <v>152.46134921999999</v>
      </c>
      <c r="D158" s="63">
        <f t="shared" ref="D158:U158" si="172">D157+D148</f>
        <v>220.94769789</v>
      </c>
      <c r="E158" s="63">
        <f t="shared" si="172"/>
        <v>293.46518146</v>
      </c>
      <c r="F158" s="63">
        <f t="shared" si="172"/>
        <v>544.78029083000001</v>
      </c>
      <c r="G158" s="63">
        <f t="shared" si="172"/>
        <v>740.00191056000006</v>
      </c>
      <c r="H158" s="63">
        <f t="shared" si="172"/>
        <v>655.75745952</v>
      </c>
      <c r="I158" s="63">
        <f t="shared" si="172"/>
        <v>641.31159831000002</v>
      </c>
      <c r="J158" s="63">
        <f t="shared" si="172"/>
        <v>632.15342742000007</v>
      </c>
      <c r="K158" s="63">
        <f t="shared" si="172"/>
        <v>7810.0227190799997</v>
      </c>
      <c r="L158" s="63">
        <f t="shared" si="172"/>
        <v>8080.2009922500001</v>
      </c>
      <c r="M158" s="63">
        <f t="shared" si="172"/>
        <v>10491.16609097</v>
      </c>
      <c r="N158" s="63">
        <f t="shared" si="172"/>
        <v>13615.732311290001</v>
      </c>
      <c r="O158" s="63">
        <f t="shared" si="172"/>
        <v>16564.680790779999</v>
      </c>
      <c r="P158" s="63">
        <f t="shared" si="172"/>
        <v>16556.988219940002</v>
      </c>
      <c r="Q158" s="63">
        <f t="shared" si="172"/>
        <v>20006.747461319999</v>
      </c>
      <c r="R158" s="63">
        <f t="shared" si="172"/>
        <v>28866.276555259999</v>
      </c>
      <c r="S158" s="63">
        <f t="shared" si="172"/>
        <v>38778.89769872724</v>
      </c>
      <c r="T158" s="63">
        <f t="shared" si="172"/>
        <v>55881.03197631592</v>
      </c>
      <c r="U158" s="63">
        <f t="shared" si="172"/>
        <v>76830.449994766313</v>
      </c>
      <c r="V158" s="8"/>
      <c r="W158" s="42"/>
      <c r="X158" s="42"/>
      <c r="Y158" s="42"/>
      <c r="Z158" s="44"/>
      <c r="AA158" s="42"/>
      <c r="AB158" s="42"/>
      <c r="AC158" s="42"/>
      <c r="AD158" s="44"/>
      <c r="AE158" s="42"/>
      <c r="AF158" s="42"/>
      <c r="AG158" s="42"/>
      <c r="AH158" s="44"/>
      <c r="AI158" s="42"/>
      <c r="AJ158" s="42"/>
      <c r="AK158" s="42"/>
      <c r="AL158" s="44"/>
      <c r="AM158" s="42"/>
      <c r="AN158" s="42"/>
      <c r="AO158" s="42"/>
      <c r="AP158" s="44"/>
      <c r="AQ158" s="42"/>
      <c r="AR158" s="42"/>
      <c r="AS158" s="42"/>
      <c r="AT158" s="44"/>
      <c r="AU158" s="42"/>
      <c r="AV158" s="42"/>
      <c r="AW158" s="42"/>
      <c r="AX158" s="44"/>
      <c r="AY158" s="42"/>
      <c r="AZ158" s="42"/>
      <c r="BA158" s="42"/>
      <c r="BB158" s="44"/>
      <c r="BC158" s="42"/>
      <c r="BD158" s="42"/>
      <c r="BE158" s="42"/>
      <c r="BF158" s="44"/>
      <c r="BG158" s="42"/>
      <c r="BH158" s="42"/>
      <c r="BI158" s="42"/>
      <c r="BJ158" s="44"/>
      <c r="BK158" s="42"/>
      <c r="BL158" s="42"/>
      <c r="BM158" s="42"/>
      <c r="BN158" s="44"/>
      <c r="BO158" s="42"/>
      <c r="BP158" s="42"/>
      <c r="BQ158" s="42"/>
      <c r="BR158" s="44"/>
      <c r="BS158" s="42"/>
      <c r="BT158" s="42"/>
      <c r="BU158" s="42"/>
      <c r="BV158" s="42"/>
      <c r="BW158" s="42"/>
      <c r="BX158" s="42"/>
      <c r="BY158" s="42"/>
      <c r="BZ158" s="42"/>
      <c r="CA158" s="42"/>
      <c r="CB158" s="42"/>
      <c r="CC158" s="42"/>
      <c r="CD158" s="42"/>
      <c r="CE158" s="42"/>
      <c r="CF158" s="42"/>
      <c r="CG158" s="42"/>
      <c r="CH158" s="42"/>
      <c r="CI158" s="42"/>
      <c r="CJ158" s="42"/>
      <c r="CK158" s="42"/>
      <c r="CL158" s="42"/>
      <c r="CM158" s="42"/>
      <c r="CN158" s="42"/>
      <c r="CO158" s="42"/>
      <c r="CP158" s="42"/>
      <c r="CQ158" s="42"/>
      <c r="CR158" s="42"/>
      <c r="CS158" s="42"/>
      <c r="CT158" s="42"/>
      <c r="CU158" s="42"/>
      <c r="CV158" s="42"/>
      <c r="CW158" s="42"/>
      <c r="CX158" s="42"/>
      <c r="CY158" s="42"/>
      <c r="CZ158" s="42"/>
      <c r="DA158" s="42"/>
      <c r="DB158" s="42"/>
      <c r="DC158" s="42"/>
      <c r="DD158" s="42"/>
      <c r="DE158" s="42"/>
      <c r="DF158" s="42"/>
      <c r="DG158" s="42"/>
      <c r="DH158" s="42"/>
      <c r="DI158" s="42"/>
      <c r="DJ158" s="42"/>
      <c r="DK158" s="42"/>
    </row>
    <row r="159" spans="1:115" x14ac:dyDescent="0.4">
      <c r="A159" s="41"/>
      <c r="B159" s="50"/>
      <c r="C159" s="50"/>
      <c r="D159" s="50"/>
      <c r="E159" s="50"/>
      <c r="F159" s="50"/>
      <c r="G159" s="50"/>
      <c r="H159" s="232"/>
      <c r="I159" s="232"/>
      <c r="J159" s="232"/>
      <c r="K159" s="232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8"/>
      <c r="W159" s="232"/>
      <c r="X159" s="232"/>
      <c r="Y159" s="232"/>
      <c r="Z159" s="233"/>
      <c r="AA159" s="232"/>
      <c r="AB159" s="232"/>
      <c r="AC159" s="232"/>
      <c r="AD159" s="233"/>
      <c r="AE159" s="232"/>
      <c r="AF159" s="232"/>
      <c r="AG159" s="232"/>
      <c r="AH159" s="233"/>
      <c r="AI159" s="232"/>
      <c r="AJ159" s="232"/>
      <c r="AK159" s="232"/>
      <c r="AL159" s="233"/>
      <c r="AM159" s="232"/>
      <c r="AN159" s="232"/>
      <c r="AO159" s="232"/>
      <c r="AP159" s="7"/>
      <c r="AQ159" s="8"/>
      <c r="AR159" s="8"/>
    </row>
    <row r="160" spans="1:115" x14ac:dyDescent="0.4">
      <c r="A160" s="234"/>
      <c r="B160" s="234" t="s">
        <v>171</v>
      </c>
      <c r="C160" s="235">
        <f>+C158-C138</f>
        <v>0</v>
      </c>
      <c r="D160" s="235">
        <f t="shared" ref="D160:S160" si="173">+D158-D138</f>
        <v>0</v>
      </c>
      <c r="E160" s="235">
        <f t="shared" si="173"/>
        <v>0</v>
      </c>
      <c r="F160" s="235">
        <f t="shared" si="173"/>
        <v>0</v>
      </c>
      <c r="G160" s="235">
        <f t="shared" si="173"/>
        <v>0</v>
      </c>
      <c r="H160" s="235">
        <f t="shared" si="173"/>
        <v>0</v>
      </c>
      <c r="I160" s="235">
        <f t="shared" si="173"/>
        <v>0</v>
      </c>
      <c r="J160" s="235">
        <f t="shared" si="173"/>
        <v>0</v>
      </c>
      <c r="K160" s="235">
        <f t="shared" si="173"/>
        <v>0</v>
      </c>
      <c r="L160" s="235">
        <f t="shared" si="173"/>
        <v>0</v>
      </c>
      <c r="M160" s="235">
        <f>+M158-M138</f>
        <v>0</v>
      </c>
      <c r="N160" s="235">
        <f>+N158-N138</f>
        <v>0</v>
      </c>
      <c r="O160" s="235">
        <f t="shared" si="173"/>
        <v>0</v>
      </c>
      <c r="P160" s="235">
        <f t="shared" si="173"/>
        <v>0</v>
      </c>
      <c r="Q160" s="235">
        <f t="shared" si="173"/>
        <v>0</v>
      </c>
      <c r="R160" s="235">
        <f t="shared" si="173"/>
        <v>0</v>
      </c>
      <c r="S160" s="235">
        <f t="shared" si="173"/>
        <v>0</v>
      </c>
      <c r="T160" s="235">
        <f>+T158-T138</f>
        <v>0</v>
      </c>
      <c r="U160" s="235">
        <f>+U158-U138</f>
        <v>0</v>
      </c>
      <c r="V160" s="236"/>
      <c r="W160" s="234"/>
      <c r="X160" s="234"/>
      <c r="Y160" s="234"/>
      <c r="Z160" s="237"/>
      <c r="AA160" s="234"/>
      <c r="AB160" s="234"/>
      <c r="AC160" s="234"/>
      <c r="AD160" s="237"/>
      <c r="AE160" s="234"/>
      <c r="AF160" s="234"/>
      <c r="AG160" s="234"/>
      <c r="AH160" s="237"/>
      <c r="AI160" s="234"/>
      <c r="AJ160" s="234"/>
      <c r="AK160" s="234"/>
      <c r="AL160" s="237"/>
      <c r="AM160" s="234"/>
      <c r="AN160" s="234"/>
      <c r="AO160" s="234"/>
      <c r="AP160" s="237"/>
      <c r="AQ160" s="234"/>
      <c r="AR160" s="234"/>
      <c r="AS160" s="234"/>
      <c r="AT160" s="237"/>
      <c r="AU160" s="234"/>
      <c r="AV160" s="234"/>
      <c r="AW160" s="234"/>
      <c r="AX160" s="237"/>
      <c r="AY160" s="234"/>
      <c r="AZ160" s="234"/>
      <c r="BA160" s="234"/>
      <c r="BB160" s="237"/>
      <c r="BC160" s="234"/>
      <c r="BD160" s="234"/>
      <c r="BE160" s="234"/>
      <c r="BF160" s="237"/>
      <c r="BG160" s="234"/>
      <c r="BH160" s="234"/>
      <c r="BI160" s="234"/>
      <c r="BJ160" s="237"/>
      <c r="BK160" s="234"/>
      <c r="BL160" s="234"/>
      <c r="BM160" s="234"/>
      <c r="BN160" s="237"/>
      <c r="BO160" s="234"/>
      <c r="BP160" s="234"/>
      <c r="BQ160" s="234"/>
      <c r="BR160" s="237"/>
      <c r="BS160" s="234"/>
      <c r="BT160" s="234"/>
      <c r="BU160" s="234"/>
      <c r="BV160" s="234"/>
      <c r="BW160" s="234"/>
      <c r="BX160" s="234"/>
      <c r="BY160" s="234"/>
      <c r="BZ160" s="234"/>
      <c r="CA160" s="234"/>
      <c r="CB160" s="234"/>
      <c r="CC160" s="238"/>
      <c r="CD160" s="238"/>
      <c r="CE160" s="238"/>
      <c r="CF160" s="238"/>
      <c r="CG160" s="238"/>
      <c r="CH160" s="238"/>
      <c r="CI160" s="238"/>
      <c r="CJ160" s="238"/>
      <c r="CK160" s="238"/>
      <c r="CL160" s="238"/>
      <c r="CM160" s="238"/>
      <c r="CN160" s="238"/>
      <c r="CO160" s="238"/>
      <c r="CP160" s="234"/>
      <c r="CQ160" s="234"/>
      <c r="CR160" s="234"/>
      <c r="CS160" s="234"/>
      <c r="CT160" s="234"/>
      <c r="CU160" s="234"/>
      <c r="CV160" s="234"/>
      <c r="CW160" s="234"/>
      <c r="CX160" s="234"/>
      <c r="CY160" s="234"/>
      <c r="CZ160" s="234"/>
      <c r="DA160" s="234"/>
      <c r="DB160" s="234"/>
      <c r="DC160" s="234"/>
      <c r="DD160" s="234"/>
      <c r="DE160" s="234"/>
      <c r="DF160" s="234"/>
      <c r="DG160" s="234"/>
      <c r="DH160" s="234"/>
      <c r="DI160" s="234"/>
      <c r="DJ160" s="234"/>
      <c r="DK160" s="234"/>
    </row>
    <row r="161" spans="1:115" x14ac:dyDescent="0.4">
      <c r="A161" s="69"/>
      <c r="B161" s="239"/>
      <c r="C161" s="50"/>
      <c r="D161" s="50"/>
      <c r="E161" s="50"/>
      <c r="F161" s="50"/>
      <c r="G161" s="50"/>
      <c r="H161" s="50"/>
      <c r="I161" s="50"/>
      <c r="J161" s="50"/>
      <c r="K161" s="50"/>
      <c r="L161" s="240"/>
      <c r="M161" s="240"/>
      <c r="N161" s="240"/>
      <c r="O161" s="240"/>
      <c r="P161" s="240"/>
      <c r="Q161" s="240"/>
      <c r="R161" s="50"/>
      <c r="S161" s="50"/>
      <c r="T161" s="50"/>
      <c r="U161" s="50"/>
      <c r="V161" s="8"/>
      <c r="W161" s="50"/>
      <c r="X161" s="50"/>
      <c r="Y161" s="50"/>
      <c r="Z161" s="51"/>
      <c r="AA161" s="50"/>
      <c r="AB161" s="50"/>
      <c r="AC161" s="50"/>
      <c r="AD161" s="51"/>
      <c r="AE161" s="50"/>
      <c r="AF161" s="50"/>
      <c r="AG161" s="50"/>
      <c r="AH161" s="51"/>
      <c r="AI161" s="50"/>
      <c r="AJ161" s="50"/>
      <c r="AK161" s="50"/>
      <c r="AL161" s="51"/>
      <c r="AM161" s="50"/>
      <c r="AN161" s="50"/>
      <c r="AO161" s="50"/>
      <c r="AP161" s="36"/>
      <c r="AQ161" s="37"/>
      <c r="AR161" s="37"/>
      <c r="AS161" s="37"/>
      <c r="AT161" s="36"/>
      <c r="AU161" s="37"/>
      <c r="AV161" s="37"/>
      <c r="AW161" s="37"/>
      <c r="AX161" s="36"/>
      <c r="AY161" s="37"/>
      <c r="AZ161" s="37"/>
      <c r="BA161" s="37"/>
      <c r="BB161" s="36"/>
      <c r="BC161" s="37"/>
      <c r="BD161" s="37"/>
      <c r="BE161" s="37"/>
      <c r="BF161" s="36"/>
      <c r="BG161" s="37"/>
      <c r="BH161" s="37"/>
      <c r="BI161" s="37"/>
      <c r="BJ161" s="36"/>
      <c r="BK161" s="37"/>
      <c r="BL161" s="37"/>
      <c r="BM161" s="37"/>
      <c r="BN161" s="36"/>
      <c r="BO161" s="37"/>
      <c r="BP161" s="37"/>
      <c r="BQ161" s="37"/>
      <c r="BR161" s="36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</row>
    <row r="162" spans="1:115" x14ac:dyDescent="0.4">
      <c r="A162" s="29"/>
      <c r="B162" s="15" t="s">
        <v>172</v>
      </c>
      <c r="C162" s="23"/>
      <c r="D162" s="23"/>
      <c r="E162" s="23"/>
      <c r="F162" s="23"/>
      <c r="G162" s="23"/>
      <c r="H162" s="23"/>
      <c r="I162" s="23"/>
      <c r="J162" s="23"/>
      <c r="K162" s="23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11"/>
      <c r="W162" s="214"/>
      <c r="X162" s="214"/>
      <c r="Y162" s="214"/>
      <c r="Z162" s="215"/>
      <c r="AA162" s="214"/>
      <c r="AB162" s="214"/>
      <c r="AC162" s="214"/>
      <c r="AD162" s="215"/>
      <c r="AE162" s="214"/>
      <c r="AF162" s="214"/>
      <c r="AG162" s="214"/>
      <c r="AH162" s="215"/>
      <c r="AI162" s="214"/>
      <c r="AJ162" s="214"/>
      <c r="AK162" s="214"/>
      <c r="AL162" s="215"/>
      <c r="AM162" s="214"/>
      <c r="AN162" s="214"/>
      <c r="AO162" s="214"/>
      <c r="AP162" s="216"/>
      <c r="AQ162" s="27"/>
      <c r="AR162" s="27"/>
      <c r="AS162" s="27"/>
      <c r="AT162" s="216"/>
      <c r="AU162" s="27"/>
      <c r="AV162" s="27"/>
      <c r="AW162" s="27"/>
      <c r="AX162" s="216"/>
      <c r="AY162" s="27"/>
      <c r="AZ162" s="27"/>
      <c r="BA162" s="27"/>
      <c r="BB162" s="216"/>
      <c r="BC162" s="27"/>
      <c r="BD162" s="27"/>
      <c r="BE162" s="27"/>
      <c r="BF162" s="216"/>
      <c r="BG162" s="27"/>
      <c r="BH162" s="27"/>
      <c r="BI162" s="27"/>
      <c r="BJ162" s="216"/>
      <c r="BK162" s="27"/>
      <c r="BL162" s="27"/>
      <c r="BM162" s="27"/>
      <c r="BN162" s="216"/>
      <c r="BO162" s="27"/>
      <c r="BP162" s="27"/>
      <c r="BQ162" s="27"/>
      <c r="BR162" s="216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</row>
    <row r="163" spans="1:115" x14ac:dyDescent="0.4">
      <c r="A163" s="41"/>
      <c r="B163" s="241" t="s">
        <v>173</v>
      </c>
      <c r="C163" s="50">
        <f t="shared" ref="C163:R163" si="174">IF(ISERROR(AVERAGE(B124,C124)/C7*365)," ",AVERAGE(B124,C124)/C7*365)</f>
        <v>116.71964642620118</v>
      </c>
      <c r="D163" s="50">
        <f t="shared" si="174"/>
        <v>106.31982896134456</v>
      </c>
      <c r="E163" s="50">
        <f t="shared" si="174"/>
        <v>104.27441161720364</v>
      </c>
      <c r="F163" s="50">
        <f t="shared" si="174"/>
        <v>191.10103644437433</v>
      </c>
      <c r="G163" s="50">
        <f t="shared" si="174"/>
        <v>291.64989622738892</v>
      </c>
      <c r="H163" s="50">
        <f t="shared" si="174"/>
        <v>246.39037248446451</v>
      </c>
      <c r="I163" s="50">
        <f t="shared" si="174"/>
        <v>272.21693541495887</v>
      </c>
      <c r="J163" s="50">
        <f t="shared" si="174"/>
        <v>241.3109910981342</v>
      </c>
      <c r="K163" s="50">
        <f t="shared" si="174"/>
        <v>91.506715955261967</v>
      </c>
      <c r="L163" s="50">
        <f t="shared" si="174"/>
        <v>70.1187829082711</v>
      </c>
      <c r="M163" s="50">
        <f t="shared" si="174"/>
        <v>77.217604419876338</v>
      </c>
      <c r="N163" s="50">
        <f t="shared" si="174"/>
        <v>70.321904973203445</v>
      </c>
      <c r="O163" s="50">
        <f t="shared" si="174"/>
        <v>88.000216559040382</v>
      </c>
      <c r="P163" s="50">
        <f t="shared" si="174"/>
        <v>69.879223203197412</v>
      </c>
      <c r="Q163" s="50">
        <f t="shared" si="174"/>
        <v>76.109472829055804</v>
      </c>
      <c r="R163" s="50">
        <f t="shared" si="174"/>
        <v>57.937509350166351</v>
      </c>
      <c r="S163" s="96">
        <v>65</v>
      </c>
      <c r="T163" s="96">
        <v>66</v>
      </c>
      <c r="U163" s="96">
        <v>72</v>
      </c>
      <c r="V163" s="8"/>
      <c r="W163" s="50"/>
      <c r="X163" s="50"/>
      <c r="Y163" s="50"/>
      <c r="Z163" s="51"/>
      <c r="AA163" s="50"/>
      <c r="AB163" s="50"/>
      <c r="AC163" s="50"/>
      <c r="AD163" s="51"/>
      <c r="AE163" s="50"/>
      <c r="AF163" s="50"/>
      <c r="AG163" s="50"/>
      <c r="AH163" s="51"/>
      <c r="AI163" s="50"/>
      <c r="AJ163" s="50"/>
      <c r="AK163" s="50"/>
      <c r="AL163" s="51"/>
      <c r="AM163" s="50"/>
      <c r="AN163" s="50"/>
      <c r="AO163" s="50"/>
      <c r="AP163" s="242"/>
      <c r="AQ163" s="243"/>
      <c r="AR163" s="243"/>
      <c r="AS163" s="243"/>
      <c r="AT163" s="242"/>
      <c r="AU163" s="243"/>
      <c r="AV163" s="243"/>
      <c r="AW163" s="243"/>
      <c r="AX163" s="242"/>
      <c r="AY163" s="243"/>
      <c r="AZ163" s="243"/>
      <c r="BA163" s="243"/>
      <c r="BB163" s="242"/>
      <c r="BC163" s="243"/>
      <c r="BD163" s="243"/>
      <c r="BE163" s="243"/>
      <c r="BF163" s="242"/>
      <c r="BG163" s="243"/>
      <c r="BH163" s="243"/>
      <c r="BI163" s="243"/>
      <c r="BJ163" s="242"/>
      <c r="BK163" s="243"/>
      <c r="BL163" s="243"/>
      <c r="BM163" s="243"/>
      <c r="BN163" s="242"/>
      <c r="BO163" s="243"/>
      <c r="BP163" s="243"/>
      <c r="BQ163" s="243"/>
      <c r="BR163" s="242"/>
      <c r="BS163" s="243"/>
      <c r="BT163" s="243"/>
      <c r="BU163" s="243"/>
      <c r="BV163" s="243"/>
      <c r="BW163" s="243"/>
      <c r="BX163" s="243"/>
      <c r="BY163" s="243"/>
      <c r="BZ163" s="243"/>
      <c r="CA163" s="243"/>
      <c r="CB163" s="243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  <c r="CP163" s="50"/>
      <c r="CQ163" s="50"/>
      <c r="CR163" s="50"/>
      <c r="CS163" s="50"/>
      <c r="CT163" s="50"/>
      <c r="CU163" s="50"/>
      <c r="CV163" s="50"/>
      <c r="CW163" s="50"/>
      <c r="CX163" s="50"/>
      <c r="CY163" s="50"/>
      <c r="CZ163" s="50"/>
      <c r="DA163" s="50"/>
      <c r="DB163" s="50"/>
      <c r="DC163" s="50"/>
      <c r="DD163" s="50"/>
      <c r="DE163" s="50"/>
      <c r="DF163" s="50"/>
      <c r="DG163" s="50"/>
      <c r="DH163" s="50"/>
      <c r="DI163" s="50"/>
      <c r="DJ163" s="50"/>
      <c r="DK163" s="50"/>
    </row>
    <row r="164" spans="1:115" x14ac:dyDescent="0.4">
      <c r="A164" s="41"/>
      <c r="B164" s="241" t="s">
        <v>174</v>
      </c>
      <c r="C164" s="50">
        <f t="shared" ref="C164:R164" si="175">IF(ISERROR(AVERAGE(B125,C125)/C10*365)," ",AVERAGE(B125,C125)/C10*365)</f>
        <v>330.08074214139896</v>
      </c>
      <c r="D164" s="50">
        <f t="shared" si="175"/>
        <v>269.62712846834251</v>
      </c>
      <c r="E164" s="50">
        <f t="shared" si="175"/>
        <v>249.9579966886084</v>
      </c>
      <c r="F164" s="50">
        <f t="shared" si="175"/>
        <v>373.46374208661626</v>
      </c>
      <c r="G164" s="50">
        <f t="shared" si="175"/>
        <v>489.10825347643652</v>
      </c>
      <c r="H164" s="50">
        <f t="shared" si="175"/>
        <v>361.90011162259947</v>
      </c>
      <c r="I164" s="50">
        <f t="shared" si="175"/>
        <v>325.21079080248734</v>
      </c>
      <c r="J164" s="50">
        <f t="shared" si="175"/>
        <v>307.186939430949</v>
      </c>
      <c r="K164" s="50">
        <f t="shared" si="175"/>
        <v>215.82653116905564</v>
      </c>
      <c r="L164" s="50">
        <f t="shared" si="175"/>
        <v>198.94951801976762</v>
      </c>
      <c r="M164" s="50">
        <f t="shared" si="175"/>
        <v>243.27523831776031</v>
      </c>
      <c r="N164" s="50">
        <f t="shared" si="175"/>
        <v>217.94344950238462</v>
      </c>
      <c r="O164" s="50">
        <f t="shared" si="175"/>
        <v>241.32517806556586</v>
      </c>
      <c r="P164" s="50">
        <f t="shared" si="175"/>
        <v>205.83809975382422</v>
      </c>
      <c r="Q164" s="50">
        <f t="shared" si="175"/>
        <v>207.92986641224772</v>
      </c>
      <c r="R164" s="50">
        <f t="shared" si="175"/>
        <v>131.0900381542076</v>
      </c>
      <c r="S164" s="96">
        <v>150</v>
      </c>
      <c r="T164" s="96">
        <v>160</v>
      </c>
      <c r="U164" s="96">
        <v>180</v>
      </c>
      <c r="V164" s="8"/>
      <c r="W164" s="50"/>
      <c r="X164" s="50"/>
      <c r="Y164" s="50"/>
      <c r="Z164" s="51"/>
      <c r="AA164" s="50"/>
      <c r="AB164" s="50"/>
      <c r="AC164" s="50"/>
      <c r="AD164" s="51"/>
      <c r="AE164" s="50"/>
      <c r="AF164" s="50"/>
      <c r="AG164" s="50"/>
      <c r="AH164" s="51"/>
      <c r="AI164" s="50"/>
      <c r="AJ164" s="50"/>
      <c r="AK164" s="50"/>
      <c r="AL164" s="51"/>
      <c r="AM164" s="50"/>
      <c r="AN164" s="50"/>
      <c r="AO164" s="50"/>
      <c r="AP164" s="242"/>
      <c r="AQ164" s="243"/>
      <c r="AR164" s="243"/>
      <c r="AS164" s="243"/>
      <c r="AT164" s="242"/>
      <c r="AU164" s="243"/>
      <c r="AV164" s="243"/>
      <c r="AW164" s="243"/>
      <c r="AX164" s="242"/>
      <c r="AY164" s="243"/>
      <c r="AZ164" s="243"/>
      <c r="BA164" s="243"/>
      <c r="BB164" s="242"/>
      <c r="BC164" s="243"/>
      <c r="BD164" s="243"/>
      <c r="BE164" s="243"/>
      <c r="BF164" s="242"/>
      <c r="BG164" s="243"/>
      <c r="BH164" s="243"/>
      <c r="BI164" s="243"/>
      <c r="BJ164" s="242"/>
      <c r="BK164" s="243"/>
      <c r="BL164" s="243"/>
      <c r="BM164" s="243"/>
      <c r="BN164" s="242"/>
      <c r="BO164" s="243"/>
      <c r="BP164" s="243"/>
      <c r="BQ164" s="243"/>
      <c r="BR164" s="242"/>
      <c r="BS164" s="243"/>
      <c r="BT164" s="243"/>
      <c r="BU164" s="243"/>
      <c r="BV164" s="243"/>
      <c r="BW164" s="243"/>
      <c r="BX164" s="243"/>
      <c r="BY164" s="243"/>
      <c r="BZ164" s="243"/>
      <c r="CA164" s="243"/>
      <c r="CB164" s="243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  <c r="CP164" s="50"/>
      <c r="CQ164" s="50"/>
      <c r="CR164" s="50"/>
      <c r="CS164" s="50"/>
      <c r="CT164" s="50"/>
      <c r="CU164" s="50"/>
      <c r="CV164" s="50"/>
      <c r="CW164" s="50"/>
      <c r="CX164" s="50"/>
      <c r="CY164" s="50"/>
      <c r="CZ164" s="50"/>
      <c r="DA164" s="50"/>
      <c r="DB164" s="50"/>
      <c r="DC164" s="50"/>
      <c r="DD164" s="50"/>
      <c r="DE164" s="50"/>
      <c r="DF164" s="50"/>
      <c r="DG164" s="50"/>
      <c r="DH164" s="50"/>
      <c r="DI164" s="50"/>
      <c r="DJ164" s="50"/>
      <c r="DK164" s="50"/>
    </row>
    <row r="165" spans="1:115" x14ac:dyDescent="0.4">
      <c r="A165" s="41"/>
      <c r="B165" s="241" t="s">
        <v>175</v>
      </c>
      <c r="C165" s="50">
        <f t="shared" ref="C165:R165" si="176">IF(ISERROR(AVERAGE(B140,C140)/C10*365)," ",AVERAGE(B140,C140)/C10*365)</f>
        <v>127.50537130172904</v>
      </c>
      <c r="D165" s="50">
        <f t="shared" si="176"/>
        <v>116.17346054212561</v>
      </c>
      <c r="E165" s="50">
        <f t="shared" si="176"/>
        <v>94.608445738681127</v>
      </c>
      <c r="F165" s="50">
        <f t="shared" si="176"/>
        <v>82.024669856439132</v>
      </c>
      <c r="G165" s="50">
        <f t="shared" si="176"/>
        <v>144.12496995564595</v>
      </c>
      <c r="H165" s="50">
        <f t="shared" si="176"/>
        <v>128.68342704640997</v>
      </c>
      <c r="I165" s="50">
        <f t="shared" si="176"/>
        <v>90.954502408457486</v>
      </c>
      <c r="J165" s="50">
        <f t="shared" si="176"/>
        <v>99.230526693563817</v>
      </c>
      <c r="K165" s="50">
        <f t="shared" si="176"/>
        <v>179.96064127380916</v>
      </c>
      <c r="L165" s="50">
        <f t="shared" si="176"/>
        <v>127.30877271771385</v>
      </c>
      <c r="M165" s="50">
        <f t="shared" si="176"/>
        <v>124.90595415555923</v>
      </c>
      <c r="N165" s="50">
        <f t="shared" si="176"/>
        <v>107.68381350755818</v>
      </c>
      <c r="O165" s="50">
        <f t="shared" si="176"/>
        <v>99.14209683275655</v>
      </c>
      <c r="P165" s="50">
        <f t="shared" si="176"/>
        <v>75.489457248088712</v>
      </c>
      <c r="Q165" s="50">
        <f t="shared" si="176"/>
        <v>89.998928151203813</v>
      </c>
      <c r="R165" s="50">
        <f t="shared" si="176"/>
        <v>65.525553570998568</v>
      </c>
      <c r="S165" s="96">
        <v>66</v>
      </c>
      <c r="T165" s="96">
        <v>60</v>
      </c>
      <c r="U165" s="96">
        <v>65</v>
      </c>
      <c r="V165" s="8"/>
      <c r="W165" s="50"/>
      <c r="X165" s="50"/>
      <c r="Y165" s="50"/>
      <c r="Z165" s="51"/>
      <c r="AA165" s="50"/>
      <c r="AB165" s="50"/>
      <c r="AC165" s="50"/>
      <c r="AD165" s="51"/>
      <c r="AE165" s="50"/>
      <c r="AF165" s="50"/>
      <c r="AG165" s="50"/>
      <c r="AH165" s="51"/>
      <c r="AI165" s="50"/>
      <c r="AJ165" s="50"/>
      <c r="AK165" s="50"/>
      <c r="AL165" s="51"/>
      <c r="AM165" s="50"/>
      <c r="AN165" s="50"/>
      <c r="AO165" s="50"/>
      <c r="AP165" s="242"/>
      <c r="AQ165" s="243"/>
      <c r="AR165" s="243"/>
      <c r="AS165" s="243"/>
      <c r="AT165" s="242"/>
      <c r="AU165" s="243"/>
      <c r="AV165" s="243"/>
      <c r="AW165" s="243"/>
      <c r="AX165" s="242"/>
      <c r="AY165" s="243"/>
      <c r="AZ165" s="243"/>
      <c r="BA165" s="243"/>
      <c r="BB165" s="242"/>
      <c r="BC165" s="243"/>
      <c r="BD165" s="243"/>
      <c r="BE165" s="243"/>
      <c r="BF165" s="242"/>
      <c r="BG165" s="243"/>
      <c r="BH165" s="243"/>
      <c r="BI165" s="243"/>
      <c r="BJ165" s="242"/>
      <c r="BK165" s="243"/>
      <c r="BL165" s="243"/>
      <c r="BM165" s="243"/>
      <c r="BN165" s="242"/>
      <c r="BO165" s="243"/>
      <c r="BP165" s="243"/>
      <c r="BQ165" s="243"/>
      <c r="BR165" s="242"/>
      <c r="BS165" s="243"/>
      <c r="BT165" s="243"/>
      <c r="BU165" s="243"/>
      <c r="BV165" s="243"/>
      <c r="BW165" s="243"/>
      <c r="BX165" s="243"/>
      <c r="BY165" s="243"/>
      <c r="BZ165" s="243"/>
      <c r="CA165" s="243"/>
      <c r="CB165" s="243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50"/>
      <c r="DC165" s="50"/>
      <c r="DD165" s="50"/>
      <c r="DE165" s="50"/>
      <c r="DF165" s="50"/>
      <c r="DG165" s="50"/>
      <c r="DH165" s="50"/>
      <c r="DI165" s="50"/>
      <c r="DJ165" s="50"/>
      <c r="DK165" s="50"/>
    </row>
    <row r="166" spans="1:115" x14ac:dyDescent="0.4">
      <c r="A166" s="69"/>
      <c r="B166" s="244" t="s">
        <v>176</v>
      </c>
      <c r="C166" s="245">
        <f t="shared" ref="C166:L166" si="177">IF(ISERROR(C163+C164-C165)," ",C163+C164-C165)</f>
        <v>319.29501726587108</v>
      </c>
      <c r="D166" s="245">
        <f t="shared" si="177"/>
        <v>259.77349688756146</v>
      </c>
      <c r="E166" s="245">
        <f t="shared" si="177"/>
        <v>259.62396256713089</v>
      </c>
      <c r="F166" s="245">
        <f t="shared" si="177"/>
        <v>482.54010867455145</v>
      </c>
      <c r="G166" s="245">
        <f t="shared" si="177"/>
        <v>636.63317974817949</v>
      </c>
      <c r="H166" s="245">
        <f t="shared" si="177"/>
        <v>479.60705706065403</v>
      </c>
      <c r="I166" s="245">
        <f t="shared" si="177"/>
        <v>506.47322380898873</v>
      </c>
      <c r="J166" s="245">
        <f t="shared" si="177"/>
        <v>449.26740383551936</v>
      </c>
      <c r="K166" s="245">
        <f t="shared" si="177"/>
        <v>127.37260585050845</v>
      </c>
      <c r="L166" s="245">
        <f t="shared" si="177"/>
        <v>141.7595282103249</v>
      </c>
      <c r="M166" s="245">
        <f>IF(ISERROR(M163+M164-M165)," ",M163+M164-M165)</f>
        <v>195.58688858207739</v>
      </c>
      <c r="N166" s="245">
        <f>IF(ISERROR(N163+N164-N165)," ",N163+N164-N165)</f>
        <v>180.58154096802991</v>
      </c>
      <c r="O166" s="245">
        <f>IF(ISERROR(O163+O164-O165)," ",O163+O164-O165)</f>
        <v>230.1832977918497</v>
      </c>
      <c r="P166" s="245">
        <f t="shared" ref="P166:U166" si="178">IF(ISERROR(P163+P164-P165)," ",P163+P164-P165)</f>
        <v>200.22786570893291</v>
      </c>
      <c r="Q166" s="245">
        <f t="shared" si="178"/>
        <v>194.04041109009972</v>
      </c>
      <c r="R166" s="245">
        <f t="shared" si="178"/>
        <v>123.50199393337539</v>
      </c>
      <c r="S166" s="245">
        <f t="shared" si="178"/>
        <v>149</v>
      </c>
      <c r="T166" s="245">
        <f t="shared" si="178"/>
        <v>166</v>
      </c>
      <c r="U166" s="245">
        <f t="shared" si="178"/>
        <v>187</v>
      </c>
      <c r="V166" s="8"/>
      <c r="W166" s="245"/>
      <c r="X166" s="245"/>
      <c r="Y166" s="245"/>
      <c r="Z166" s="246"/>
      <c r="AA166" s="245"/>
      <c r="AB166" s="245"/>
      <c r="AC166" s="245"/>
      <c r="AD166" s="246"/>
      <c r="AE166" s="245"/>
      <c r="AF166" s="245"/>
      <c r="AG166" s="245"/>
      <c r="AH166" s="246"/>
      <c r="AI166" s="245"/>
      <c r="AJ166" s="245"/>
      <c r="AK166" s="245"/>
      <c r="AL166" s="246"/>
      <c r="AM166" s="245"/>
      <c r="AN166" s="245"/>
      <c r="AO166" s="245"/>
      <c r="AP166" s="36"/>
      <c r="AQ166" s="37"/>
      <c r="AR166" s="37"/>
      <c r="AS166" s="37"/>
      <c r="AT166" s="36"/>
      <c r="AU166" s="37"/>
      <c r="AV166" s="37"/>
      <c r="AW166" s="37"/>
      <c r="AX166" s="36"/>
      <c r="AY166" s="37"/>
      <c r="AZ166" s="37"/>
      <c r="BA166" s="37"/>
      <c r="BB166" s="36"/>
      <c r="BC166" s="37"/>
      <c r="BD166" s="37"/>
      <c r="BE166" s="37"/>
      <c r="BF166" s="36"/>
      <c r="BG166" s="37"/>
      <c r="BH166" s="37"/>
      <c r="BI166" s="37"/>
      <c r="BJ166" s="36"/>
      <c r="BK166" s="37"/>
      <c r="BL166" s="37"/>
      <c r="BM166" s="37"/>
      <c r="BN166" s="36"/>
      <c r="BO166" s="37"/>
      <c r="BP166" s="37"/>
      <c r="BQ166" s="37"/>
      <c r="BR166" s="36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245"/>
      <c r="CD166" s="245"/>
      <c r="CE166" s="245"/>
      <c r="CF166" s="245"/>
      <c r="CG166" s="245"/>
      <c r="CH166" s="245"/>
      <c r="CI166" s="245"/>
      <c r="CJ166" s="245"/>
      <c r="CK166" s="245"/>
      <c r="CL166" s="245"/>
      <c r="CM166" s="245"/>
      <c r="CN166" s="245"/>
      <c r="CO166" s="245"/>
      <c r="CP166" s="245"/>
      <c r="CQ166" s="245"/>
      <c r="CR166" s="245"/>
      <c r="CS166" s="245"/>
      <c r="CT166" s="245"/>
      <c r="CU166" s="245"/>
      <c r="CV166" s="245"/>
      <c r="CW166" s="245"/>
      <c r="CX166" s="245"/>
      <c r="CY166" s="245"/>
      <c r="CZ166" s="245"/>
      <c r="DA166" s="245"/>
      <c r="DB166" s="245"/>
      <c r="DC166" s="245"/>
      <c r="DD166" s="245"/>
      <c r="DE166" s="245"/>
      <c r="DF166" s="245"/>
      <c r="DG166" s="245"/>
      <c r="DH166" s="245"/>
      <c r="DI166" s="245"/>
      <c r="DJ166" s="245"/>
      <c r="DK166" s="245"/>
    </row>
    <row r="167" spans="1:115" x14ac:dyDescent="0.4">
      <c r="A167" s="69"/>
      <c r="B167" s="167" t="s">
        <v>177</v>
      </c>
      <c r="C167" s="90">
        <f t="shared" ref="C167:L167" si="179">C124/C7</f>
        <v>0.31977985322246899</v>
      </c>
      <c r="D167" s="90">
        <f t="shared" si="179"/>
        <v>0.34865804163323116</v>
      </c>
      <c r="E167" s="90">
        <f t="shared" si="179"/>
        <v>0.30559715337532872</v>
      </c>
      <c r="F167" s="90">
        <f t="shared" si="179"/>
        <v>0.62255248588125855</v>
      </c>
      <c r="G167" s="90">
        <f t="shared" si="179"/>
        <v>0.79580801494017817</v>
      </c>
      <c r="H167" s="90">
        <f t="shared" si="179"/>
        <v>0.74340012967351454</v>
      </c>
      <c r="I167" s="90">
        <f t="shared" si="179"/>
        <v>0.76450969350388609</v>
      </c>
      <c r="J167" s="90">
        <f t="shared" si="179"/>
        <v>0.61704912962786451</v>
      </c>
      <c r="K167" s="90">
        <f t="shared" si="179"/>
        <v>0.46695041844173335</v>
      </c>
      <c r="L167" s="90">
        <f t="shared" si="179"/>
        <v>0.17075749809753174</v>
      </c>
      <c r="M167" s="90">
        <f>M124/M7</f>
        <v>0.23804519889468004</v>
      </c>
      <c r="N167" s="90">
        <f>N124/N7</f>
        <v>0.22467188668378707</v>
      </c>
      <c r="O167" s="90">
        <f>O124/O7</f>
        <v>0.27637602164312663</v>
      </c>
      <c r="P167" s="90">
        <f t="shared" ref="P167:U167" si="180">P124/P7</f>
        <v>0.162315883406454</v>
      </c>
      <c r="Q167" s="90">
        <f t="shared" si="180"/>
        <v>0.27102041454262799</v>
      </c>
      <c r="R167" s="90">
        <f t="shared" si="180"/>
        <v>0.19573363010891676</v>
      </c>
      <c r="S167" s="90">
        <f t="shared" si="180"/>
        <v>0.22287767250729557</v>
      </c>
      <c r="T167" s="90">
        <f t="shared" si="180"/>
        <v>0.20724157359386153</v>
      </c>
      <c r="U167" s="90">
        <f t="shared" si="180"/>
        <v>0.22381666793184474</v>
      </c>
      <c r="V167" s="8"/>
      <c r="W167" s="90"/>
      <c r="X167" s="90"/>
      <c r="Y167" s="90"/>
      <c r="Z167" s="144"/>
      <c r="AA167" s="90"/>
      <c r="AB167" s="90"/>
      <c r="AC167" s="90"/>
      <c r="AD167" s="144"/>
      <c r="AE167" s="90"/>
      <c r="AF167" s="90"/>
      <c r="AG167" s="90"/>
      <c r="AH167" s="144"/>
      <c r="AI167" s="90"/>
      <c r="AJ167" s="90"/>
      <c r="AK167" s="90"/>
      <c r="AL167" s="144"/>
      <c r="AM167" s="90"/>
      <c r="AN167" s="90"/>
      <c r="AO167" s="90"/>
      <c r="AP167" s="144"/>
      <c r="AQ167" s="90"/>
      <c r="AR167" s="90"/>
      <c r="AS167" s="90"/>
      <c r="AT167" s="144"/>
      <c r="AU167" s="90"/>
      <c r="AV167" s="90"/>
      <c r="AW167" s="90"/>
      <c r="AX167" s="144"/>
      <c r="AY167" s="90"/>
      <c r="AZ167" s="90"/>
      <c r="BA167" s="90"/>
      <c r="BB167" s="144"/>
      <c r="BC167" s="90"/>
      <c r="BD167" s="90"/>
      <c r="BE167" s="90"/>
      <c r="BF167" s="144"/>
      <c r="BG167" s="90"/>
      <c r="BH167" s="90"/>
      <c r="BI167" s="90"/>
      <c r="BJ167" s="144"/>
      <c r="BK167" s="90"/>
      <c r="BL167" s="90"/>
      <c r="BM167" s="90"/>
      <c r="BN167" s="144"/>
      <c r="BO167" s="90"/>
      <c r="BP167" s="90"/>
      <c r="BQ167" s="90"/>
      <c r="BR167" s="144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</row>
    <row r="168" spans="1:115" x14ac:dyDescent="0.4">
      <c r="A168" s="69"/>
      <c r="B168" s="167" t="s">
        <v>178</v>
      </c>
      <c r="C168" s="90">
        <f t="shared" ref="C168:L168" si="181">C125/C7</f>
        <v>0.45425084682064276</v>
      </c>
      <c r="D168" s="90">
        <f t="shared" si="181"/>
        <v>0.39466016499902645</v>
      </c>
      <c r="E168" s="90">
        <f t="shared" si="181"/>
        <v>0.38145559367111725</v>
      </c>
      <c r="F168" s="90">
        <f t="shared" si="181"/>
        <v>0.52009698400559401</v>
      </c>
      <c r="G168" s="90">
        <f t="shared" si="181"/>
        <v>0.92409212620180081</v>
      </c>
      <c r="H168" s="90">
        <f t="shared" si="181"/>
        <v>0.63482617936956776</v>
      </c>
      <c r="I168" s="90">
        <f t="shared" si="181"/>
        <v>0.67731294744906112</v>
      </c>
      <c r="J168" s="90">
        <f t="shared" si="181"/>
        <v>0.54406807447771954</v>
      </c>
      <c r="K168" s="90">
        <f t="shared" si="181"/>
        <v>0.83535247248278754</v>
      </c>
      <c r="L168" s="90">
        <f t="shared" si="181"/>
        <v>0.41094754174274195</v>
      </c>
      <c r="M168" s="90">
        <f>M125/M7</f>
        <v>0.52622773729334349</v>
      </c>
      <c r="N168" s="90">
        <f>N125/N7</f>
        <v>0.5353919839140191</v>
      </c>
      <c r="O168" s="90">
        <f>O125/O7</f>
        <v>0.49369945348045247</v>
      </c>
      <c r="P168" s="90">
        <f t="shared" ref="P168:U168" si="182">P125/P7</f>
        <v>0.40323948792271369</v>
      </c>
      <c r="Q168" s="90">
        <f t="shared" si="182"/>
        <v>0.40069662608750567</v>
      </c>
      <c r="R168" s="90">
        <f t="shared" si="182"/>
        <v>0.29550217974199466</v>
      </c>
      <c r="S168" s="90">
        <f t="shared" si="182"/>
        <v>0.27871368474951363</v>
      </c>
      <c r="T168" s="90">
        <f t="shared" si="182"/>
        <v>0.28765968674749992</v>
      </c>
      <c r="U168" s="90">
        <f t="shared" si="182"/>
        <v>0.30014478000429384</v>
      </c>
      <c r="V168" s="8"/>
      <c r="W168" s="90"/>
      <c r="X168" s="90"/>
      <c r="Y168" s="90"/>
      <c r="Z168" s="144"/>
      <c r="AA168" s="90"/>
      <c r="AB168" s="90"/>
      <c r="AC168" s="90"/>
      <c r="AD168" s="144"/>
      <c r="AE168" s="90"/>
      <c r="AF168" s="90"/>
      <c r="AG168" s="90"/>
      <c r="AH168" s="144"/>
      <c r="AI168" s="90"/>
      <c r="AJ168" s="90"/>
      <c r="AK168" s="90"/>
      <c r="AL168" s="144"/>
      <c r="AM168" s="90"/>
      <c r="AN168" s="90"/>
      <c r="AO168" s="90"/>
      <c r="AP168" s="144"/>
      <c r="AQ168" s="90"/>
      <c r="AR168" s="90"/>
      <c r="AS168" s="90"/>
      <c r="AT168" s="144"/>
      <c r="AU168" s="90"/>
      <c r="AV168" s="90"/>
      <c r="AW168" s="90"/>
      <c r="AX168" s="144"/>
      <c r="AY168" s="90"/>
      <c r="AZ168" s="90"/>
      <c r="BA168" s="90"/>
      <c r="BB168" s="144"/>
      <c r="BC168" s="90"/>
      <c r="BD168" s="90"/>
      <c r="BE168" s="90"/>
      <c r="BF168" s="144"/>
      <c r="BG168" s="90"/>
      <c r="BH168" s="90"/>
      <c r="BI168" s="90"/>
      <c r="BJ168" s="144"/>
      <c r="BK168" s="90"/>
      <c r="BL168" s="90"/>
      <c r="BM168" s="90"/>
      <c r="BN168" s="144"/>
      <c r="BO168" s="90"/>
      <c r="BP168" s="90"/>
      <c r="BQ168" s="90"/>
      <c r="BR168" s="144"/>
      <c r="BS168" s="90"/>
      <c r="BT168" s="90"/>
      <c r="BU168" s="90"/>
      <c r="BV168" s="90"/>
      <c r="BW168" s="90"/>
      <c r="BX168" s="90"/>
      <c r="BY168" s="90"/>
      <c r="BZ168" s="90"/>
      <c r="CA168" s="90"/>
      <c r="CB168" s="90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</row>
    <row r="169" spans="1:115" x14ac:dyDescent="0.4">
      <c r="A169" s="69"/>
      <c r="B169" s="167" t="s">
        <v>179</v>
      </c>
      <c r="C169" s="90">
        <f t="shared" ref="C169:L169" si="183">C140/C7</f>
        <v>0.17547046977729944</v>
      </c>
      <c r="D169" s="90">
        <f t="shared" si="183"/>
        <v>0.18485972840479684</v>
      </c>
      <c r="E169" s="90">
        <f t="shared" si="183"/>
        <v>0.11733337112984045</v>
      </c>
      <c r="F169" s="90">
        <f t="shared" si="183"/>
        <v>6.7613132198072579E-2</v>
      </c>
      <c r="G169" s="90">
        <f t="shared" si="183"/>
        <v>0.38266828332954272</v>
      </c>
      <c r="H169" s="90">
        <f t="shared" si="183"/>
        <v>0.18450016026966662</v>
      </c>
      <c r="I169" s="90">
        <f t="shared" si="183"/>
        <v>0.18262963423618403</v>
      </c>
      <c r="J169" s="90">
        <f t="shared" si="183"/>
        <v>0.20910748398752729</v>
      </c>
      <c r="K169" s="90">
        <f t="shared" si="183"/>
        <v>0.7101898646785515</v>
      </c>
      <c r="L169" s="90">
        <f t="shared" si="183"/>
        <v>0.18267610004084384</v>
      </c>
      <c r="M169" s="90">
        <f>M140/M7</f>
        <v>0.30087499575834359</v>
      </c>
      <c r="N169" s="90">
        <f>N140/N7</f>
        <v>0.23694897702804282</v>
      </c>
      <c r="O169" s="90">
        <f>O140/O7</f>
        <v>0.18725259776646613</v>
      </c>
      <c r="P169" s="90">
        <f t="shared" ref="P169:U169" si="184">P140/P7</f>
        <v>0.14294254403429238</v>
      </c>
      <c r="Q169" s="90">
        <f t="shared" si="184"/>
        <v>0.20185538527768446</v>
      </c>
      <c r="R169" s="90">
        <f t="shared" si="184"/>
        <v>0.14700356588383209</v>
      </c>
      <c r="S169" s="90">
        <f t="shared" si="184"/>
        <v>0.111069550718791</v>
      </c>
      <c r="T169" s="90">
        <f t="shared" si="184"/>
        <v>0.10333343031857872</v>
      </c>
      <c r="U169" s="90">
        <f t="shared" si="184"/>
        <v>0.10883344058218712</v>
      </c>
      <c r="V169" s="8"/>
      <c r="W169" s="90"/>
      <c r="X169" s="90"/>
      <c r="Y169" s="90"/>
      <c r="Z169" s="144"/>
      <c r="AA169" s="90"/>
      <c r="AB169" s="90"/>
      <c r="AC169" s="90"/>
      <c r="AD169" s="144"/>
      <c r="AE169" s="90"/>
      <c r="AF169" s="90"/>
      <c r="AG169" s="90"/>
      <c r="AH169" s="144"/>
      <c r="AI169" s="90"/>
      <c r="AJ169" s="90"/>
      <c r="AK169" s="90"/>
      <c r="AL169" s="144"/>
      <c r="AM169" s="90"/>
      <c r="AN169" s="90"/>
      <c r="AO169" s="90"/>
      <c r="AP169" s="144"/>
      <c r="AQ169" s="90"/>
      <c r="AR169" s="90"/>
      <c r="AS169" s="90"/>
      <c r="AT169" s="144"/>
      <c r="AU169" s="90"/>
      <c r="AV169" s="90"/>
      <c r="AW169" s="90"/>
      <c r="AX169" s="144"/>
      <c r="AY169" s="90"/>
      <c r="AZ169" s="90"/>
      <c r="BA169" s="90"/>
      <c r="BB169" s="144"/>
      <c r="BC169" s="90"/>
      <c r="BD169" s="90"/>
      <c r="BE169" s="90"/>
      <c r="BF169" s="144"/>
      <c r="BG169" s="90"/>
      <c r="BH169" s="90"/>
      <c r="BI169" s="90"/>
      <c r="BJ169" s="144"/>
      <c r="BK169" s="90"/>
      <c r="BL169" s="90"/>
      <c r="BM169" s="90"/>
      <c r="BN169" s="144"/>
      <c r="BO169" s="90"/>
      <c r="BP169" s="90"/>
      <c r="BQ169" s="90"/>
      <c r="BR169" s="144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</row>
    <row r="170" spans="1:115" x14ac:dyDescent="0.4">
      <c r="A170" s="69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8"/>
      <c r="W170" s="245"/>
      <c r="X170" s="245"/>
      <c r="Y170" s="245"/>
      <c r="Z170" s="246"/>
      <c r="AA170" s="245"/>
      <c r="AB170" s="245"/>
      <c r="AC170" s="245"/>
      <c r="AD170" s="246"/>
      <c r="AE170" s="245"/>
      <c r="AF170" s="245"/>
      <c r="AG170" s="245"/>
      <c r="AH170" s="246"/>
      <c r="AI170" s="245"/>
      <c r="AJ170" s="245"/>
      <c r="AK170" s="245"/>
      <c r="AL170" s="246"/>
      <c r="AM170" s="245"/>
      <c r="AN170" s="245"/>
      <c r="AO170" s="245"/>
      <c r="AP170" s="36"/>
      <c r="AQ170" s="37"/>
      <c r="AR170" s="37"/>
      <c r="AS170" s="37"/>
      <c r="AT170" s="36"/>
      <c r="AU170" s="37"/>
      <c r="AV170" s="37"/>
      <c r="AW170" s="37"/>
      <c r="AX170" s="36"/>
      <c r="AY170" s="37"/>
      <c r="AZ170" s="37"/>
      <c r="BA170" s="37"/>
      <c r="BB170" s="36"/>
      <c r="BC170" s="37"/>
      <c r="BD170" s="37"/>
      <c r="BE170" s="37"/>
      <c r="BF170" s="36"/>
      <c r="BG170" s="37"/>
      <c r="BH170" s="37"/>
      <c r="BI170" s="37"/>
      <c r="BJ170" s="36"/>
      <c r="BK170" s="37"/>
      <c r="BL170" s="37"/>
      <c r="BM170" s="37"/>
      <c r="BN170" s="36"/>
      <c r="BO170" s="37"/>
      <c r="BP170" s="37"/>
      <c r="BQ170" s="37"/>
      <c r="BR170" s="36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245"/>
      <c r="CD170" s="245"/>
      <c r="CE170" s="245"/>
      <c r="CF170" s="245"/>
      <c r="CG170" s="245"/>
      <c r="CH170" s="245"/>
      <c r="CI170" s="245"/>
      <c r="CJ170" s="245"/>
      <c r="CK170" s="245"/>
      <c r="CL170" s="245"/>
      <c r="CM170" s="245"/>
      <c r="CN170" s="245"/>
      <c r="CO170" s="245"/>
      <c r="CP170" s="245"/>
      <c r="CQ170" s="245"/>
      <c r="CR170" s="245"/>
      <c r="CS170" s="245"/>
      <c r="CT170" s="245"/>
      <c r="CU170" s="245"/>
      <c r="CV170" s="245"/>
      <c r="CW170" s="245"/>
      <c r="CX170" s="245"/>
      <c r="CY170" s="245"/>
      <c r="CZ170" s="245"/>
      <c r="DA170" s="245"/>
      <c r="DB170" s="245"/>
      <c r="DC170" s="245"/>
      <c r="DD170" s="245"/>
      <c r="DE170" s="245"/>
      <c r="DF170" s="245"/>
      <c r="DG170" s="245"/>
      <c r="DH170" s="245"/>
      <c r="DI170" s="245"/>
      <c r="DJ170" s="245"/>
      <c r="DK170" s="245"/>
    </row>
    <row r="171" spans="1:115" x14ac:dyDescent="0.4">
      <c r="A171" s="69"/>
      <c r="B171" s="167" t="s">
        <v>180</v>
      </c>
      <c r="C171" s="156">
        <f t="shared" ref="C171:L171" si="185">IF(ISNUMBER(C59),C155/C59," ")</f>
        <v>1.8958286807067359</v>
      </c>
      <c r="D171" s="156">
        <f t="shared" si="185"/>
        <v>3.3058146620122946</v>
      </c>
      <c r="E171" s="156">
        <f t="shared" si="185"/>
        <v>4.1210496600674951</v>
      </c>
      <c r="F171" s="156">
        <f t="shared" si="185"/>
        <v>8.3271898882422164</v>
      </c>
      <c r="G171" s="156">
        <f t="shared" si="185"/>
        <v>4.4604200331323094</v>
      </c>
      <c r="H171" s="156">
        <f t="shared" si="185"/>
        <v>2.8698634855506318</v>
      </c>
      <c r="I171" s="156">
        <f t="shared" si="185"/>
        <v>2.5411231513474308</v>
      </c>
      <c r="J171" s="156">
        <f t="shared" si="185"/>
        <v>2.5704729112436104</v>
      </c>
      <c r="K171" s="156">
        <f t="shared" si="185"/>
        <v>8.7034583993228818</v>
      </c>
      <c r="L171" s="156">
        <f t="shared" si="185"/>
        <v>10.062472536875088</v>
      </c>
      <c r="M171" s="156">
        <f>IF(ISNUMBER(M59),M155/M59," ")</f>
        <v>10.790869131633347</v>
      </c>
      <c r="N171" s="156">
        <f>IF(ISNUMBER(N59),N155/N59," ")</f>
        <v>11.061522601064624</v>
      </c>
      <c r="O171" s="156">
        <f>IF(ISNUMBER(O59),O155/O59," ")</f>
        <v>15.478393068041933</v>
      </c>
      <c r="P171" s="156">
        <f t="shared" ref="P171:U171" si="186">IF(ISNUMBER(P59),P155/P59," ")</f>
        <v>14.922845195800711</v>
      </c>
      <c r="Q171" s="156">
        <f t="shared" si="186"/>
        <v>14.126239083514092</v>
      </c>
      <c r="R171" s="156">
        <f t="shared" si="186"/>
        <v>17.057860885141839</v>
      </c>
      <c r="S171" s="156">
        <f t="shared" si="186"/>
        <v>25.008218883916872</v>
      </c>
      <c r="T171" s="156">
        <f t="shared" si="186"/>
        <v>38.277833517937296</v>
      </c>
      <c r="U171" s="156">
        <f t="shared" si="186"/>
        <v>54.725266704256612</v>
      </c>
      <c r="V171" s="8"/>
      <c r="W171" s="156"/>
      <c r="X171" s="156"/>
      <c r="Y171" s="156"/>
      <c r="Z171" s="157"/>
      <c r="AA171" s="156"/>
      <c r="AB171" s="156"/>
      <c r="AC171" s="156"/>
      <c r="AD171" s="157"/>
      <c r="AE171" s="156"/>
      <c r="AF171" s="156"/>
      <c r="AG171" s="156"/>
      <c r="AH171" s="157"/>
      <c r="AI171" s="156"/>
      <c r="AJ171" s="156"/>
      <c r="AK171" s="156"/>
      <c r="AL171" s="157"/>
      <c r="AM171" s="156"/>
      <c r="AN171" s="156"/>
      <c r="AO171" s="156"/>
      <c r="AP171" s="36"/>
      <c r="AQ171" s="37"/>
      <c r="AR171" s="37"/>
      <c r="AS171" s="37"/>
      <c r="AT171" s="36"/>
      <c r="AU171" s="37"/>
      <c r="AV171" s="37"/>
      <c r="AW171" s="37"/>
      <c r="AX171" s="36"/>
      <c r="AY171" s="37"/>
      <c r="AZ171" s="37"/>
      <c r="BA171" s="37"/>
      <c r="BB171" s="36"/>
      <c r="BC171" s="37"/>
      <c r="BD171" s="37"/>
      <c r="BE171" s="37"/>
      <c r="BF171" s="36"/>
      <c r="BG171" s="37"/>
      <c r="BH171" s="37"/>
      <c r="BI171" s="37"/>
      <c r="BJ171" s="36"/>
      <c r="BK171" s="37"/>
      <c r="BL171" s="37"/>
      <c r="BM171" s="37"/>
      <c r="BN171" s="36"/>
      <c r="BO171" s="37"/>
      <c r="BP171" s="37"/>
      <c r="BQ171" s="37"/>
      <c r="BR171" s="36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  <c r="CP171" s="50"/>
      <c r="CQ171" s="50"/>
      <c r="CR171" s="50"/>
      <c r="CS171" s="50"/>
      <c r="CT171" s="50"/>
      <c r="CU171" s="50"/>
      <c r="CV171" s="50"/>
      <c r="CW171" s="50"/>
      <c r="CX171" s="50"/>
      <c r="CY171" s="50"/>
      <c r="CZ171" s="50"/>
      <c r="DA171" s="50"/>
      <c r="DB171" s="50"/>
      <c r="DC171" s="50"/>
      <c r="DD171" s="50"/>
      <c r="DE171" s="50"/>
      <c r="DF171" s="50"/>
      <c r="DG171" s="50"/>
      <c r="DH171" s="50"/>
      <c r="DI171" s="50"/>
      <c r="DJ171" s="50"/>
      <c r="DK171" s="50"/>
    </row>
    <row r="172" spans="1:115" x14ac:dyDescent="0.4">
      <c r="A172" s="69"/>
      <c r="B172" s="167" t="s">
        <v>181</v>
      </c>
      <c r="C172" s="50">
        <f t="shared" ref="C172:L172" si="187">C127-C143</f>
        <v>33.031159410000001</v>
      </c>
      <c r="D172" s="50">
        <f t="shared" si="187"/>
        <v>76.879714120000017</v>
      </c>
      <c r="E172" s="50">
        <f t="shared" si="187"/>
        <v>69.016093279999993</v>
      </c>
      <c r="F172" s="50">
        <f t="shared" si="187"/>
        <v>360.70975369000001</v>
      </c>
      <c r="G172" s="50">
        <f t="shared" si="187"/>
        <v>296.94799836000004</v>
      </c>
      <c r="H172" s="50">
        <f t="shared" si="187"/>
        <v>228.85486851999997</v>
      </c>
      <c r="I172" s="50">
        <f t="shared" si="187"/>
        <v>228.39216895999999</v>
      </c>
      <c r="J172" s="50">
        <f t="shared" si="187"/>
        <v>236.65254535000003</v>
      </c>
      <c r="K172" s="50">
        <f t="shared" si="187"/>
        <v>1360.6389836899998</v>
      </c>
      <c r="L172" s="50">
        <f t="shared" si="187"/>
        <v>1290.58438372</v>
      </c>
      <c r="M172" s="50">
        <f>M127-M143</f>
        <v>3165.2539727200001</v>
      </c>
      <c r="N172" s="50">
        <f>N127-N143</f>
        <v>4209.8330640699996</v>
      </c>
      <c r="O172" s="50">
        <f>O127-O143</f>
        <v>6856.0415276600015</v>
      </c>
      <c r="P172" s="50">
        <f t="shared" ref="P172:U172" si="188">P127-P143</f>
        <v>6322.8524280900001</v>
      </c>
      <c r="Q172" s="50">
        <f t="shared" si="188"/>
        <v>6958.9125137600004</v>
      </c>
      <c r="R172" s="50">
        <f t="shared" si="188"/>
        <v>11698.359478760001</v>
      </c>
      <c r="S172" s="50">
        <f t="shared" si="188"/>
        <v>18988.162088379155</v>
      </c>
      <c r="T172" s="50">
        <f t="shared" si="188"/>
        <v>33099.263052287686</v>
      </c>
      <c r="U172" s="50">
        <f t="shared" si="188"/>
        <v>51731.193551937227</v>
      </c>
      <c r="V172" s="8"/>
      <c r="W172" s="50"/>
      <c r="X172" s="50"/>
      <c r="Y172" s="50"/>
      <c r="Z172" s="51"/>
      <c r="AA172" s="50"/>
      <c r="AB172" s="50"/>
      <c r="AC172" s="50"/>
      <c r="AD172" s="51"/>
      <c r="AE172" s="50"/>
      <c r="AF172" s="50"/>
      <c r="AG172" s="50"/>
      <c r="AH172" s="51"/>
      <c r="AI172" s="50"/>
      <c r="AJ172" s="50"/>
      <c r="AK172" s="50"/>
      <c r="AL172" s="51"/>
      <c r="AM172" s="50"/>
      <c r="AN172" s="50"/>
      <c r="AO172" s="50"/>
      <c r="AP172" s="51"/>
      <c r="AQ172" s="50"/>
      <c r="AR172" s="50"/>
      <c r="AS172" s="50"/>
      <c r="AT172" s="51"/>
      <c r="AU172" s="50"/>
      <c r="AV172" s="50"/>
      <c r="AW172" s="50"/>
      <c r="AX172" s="51"/>
      <c r="AY172" s="50"/>
      <c r="AZ172" s="50"/>
      <c r="BA172" s="50"/>
      <c r="BB172" s="51"/>
      <c r="BC172" s="50"/>
      <c r="BD172" s="50"/>
      <c r="BE172" s="50"/>
      <c r="BF172" s="51"/>
      <c r="BG172" s="50"/>
      <c r="BH172" s="50"/>
      <c r="BI172" s="50"/>
      <c r="BJ172" s="51"/>
      <c r="BK172" s="50"/>
      <c r="BL172" s="50"/>
      <c r="BM172" s="50"/>
      <c r="BN172" s="51"/>
      <c r="BO172" s="50"/>
      <c r="BP172" s="50"/>
      <c r="BQ172" s="50"/>
      <c r="BR172" s="51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  <c r="CP172" s="50"/>
      <c r="CQ172" s="50"/>
      <c r="CR172" s="50"/>
      <c r="CS172" s="50"/>
      <c r="CT172" s="50"/>
      <c r="CU172" s="50"/>
      <c r="CV172" s="50"/>
      <c r="CW172" s="50"/>
      <c r="CX172" s="50"/>
      <c r="CY172" s="50"/>
      <c r="CZ172" s="50"/>
      <c r="DA172" s="50"/>
      <c r="DB172" s="50"/>
      <c r="DC172" s="50"/>
      <c r="DD172" s="50"/>
      <c r="DE172" s="50"/>
      <c r="DF172" s="50"/>
      <c r="DG172" s="50"/>
      <c r="DH172" s="50"/>
      <c r="DI172" s="50"/>
      <c r="DJ172" s="50"/>
      <c r="DK172" s="50"/>
    </row>
    <row r="173" spans="1:115" x14ac:dyDescent="0.4">
      <c r="A173" s="69"/>
      <c r="B173" s="167" t="s">
        <v>182</v>
      </c>
      <c r="C173" s="50">
        <f t="shared" ref="C173:L173" si="189">+C145+C141-C123</f>
        <v>-28.35335516</v>
      </c>
      <c r="D173" s="50">
        <f t="shared" si="189"/>
        <v>-16.992298700000006</v>
      </c>
      <c r="E173" s="50">
        <f t="shared" si="189"/>
        <v>2.671118909999997</v>
      </c>
      <c r="F173" s="50">
        <f t="shared" si="189"/>
        <v>-242.63506275</v>
      </c>
      <c r="G173" s="50">
        <f t="shared" si="189"/>
        <v>-191.11130126</v>
      </c>
      <c r="H173" s="50">
        <f t="shared" si="189"/>
        <v>-106.40813797000001</v>
      </c>
      <c r="I173" s="50">
        <f t="shared" si="189"/>
        <v>-112.31353095</v>
      </c>
      <c r="J173" s="50">
        <f t="shared" si="189"/>
        <v>-61.985450709999995</v>
      </c>
      <c r="K173" s="50">
        <f t="shared" si="189"/>
        <v>64.668331479999893</v>
      </c>
      <c r="L173" s="50">
        <f t="shared" si="189"/>
        <v>680.56693413000016</v>
      </c>
      <c r="M173" s="50">
        <f>+M145+M141-M123</f>
        <v>162.45930883000005</v>
      </c>
      <c r="N173" s="50">
        <f>+N145+N141-N123</f>
        <v>1147.44450603</v>
      </c>
      <c r="O173" s="50">
        <f>+O145+O141-O123</f>
        <v>-938.08629355999983</v>
      </c>
      <c r="P173" s="50">
        <f t="shared" ref="P173:U173" si="190">+P145+P141-P123</f>
        <v>-861.91359534000003</v>
      </c>
      <c r="Q173" s="50">
        <f t="shared" si="190"/>
        <v>-2377.3970053900002</v>
      </c>
      <c r="R173" s="50">
        <f t="shared" si="190"/>
        <v>-2377.4266038799997</v>
      </c>
      <c r="S173" s="50">
        <f t="shared" si="190"/>
        <v>-3690.3678311096673</v>
      </c>
      <c r="T173" s="50">
        <f t="shared" si="190"/>
        <v>-11179.593329694646</v>
      </c>
      <c r="U173" s="50">
        <f t="shared" si="190"/>
        <v>-23625.292244593307</v>
      </c>
      <c r="V173" s="8"/>
      <c r="W173" s="50"/>
      <c r="X173" s="50"/>
      <c r="Y173" s="50"/>
      <c r="Z173" s="51"/>
      <c r="AA173" s="50"/>
      <c r="AB173" s="50"/>
      <c r="AC173" s="50"/>
      <c r="AD173" s="51"/>
      <c r="AE173" s="50"/>
      <c r="AF173" s="50"/>
      <c r="AG173" s="50"/>
      <c r="AH173" s="51"/>
      <c r="AI173" s="50"/>
      <c r="AJ173" s="50"/>
      <c r="AK173" s="50"/>
      <c r="AL173" s="51"/>
      <c r="AM173" s="50"/>
      <c r="AN173" s="50"/>
      <c r="AO173" s="50"/>
      <c r="AP173" s="51"/>
      <c r="AQ173" s="50"/>
      <c r="AR173" s="50"/>
      <c r="AS173" s="50"/>
      <c r="AT173" s="51"/>
      <c r="AU173" s="50"/>
      <c r="AV173" s="50"/>
      <c r="AW173" s="50"/>
      <c r="AX173" s="51"/>
      <c r="AY173" s="50"/>
      <c r="AZ173" s="50"/>
      <c r="BA173" s="50"/>
      <c r="BB173" s="51"/>
      <c r="BC173" s="50"/>
      <c r="BD173" s="50"/>
      <c r="BE173" s="50"/>
      <c r="BF173" s="51"/>
      <c r="BG173" s="50"/>
      <c r="BH173" s="50"/>
      <c r="BI173" s="50"/>
      <c r="BJ173" s="51"/>
      <c r="BK173" s="50"/>
      <c r="BL173" s="50"/>
      <c r="BM173" s="50"/>
      <c r="BN173" s="51"/>
      <c r="BO173" s="50"/>
      <c r="BP173" s="50"/>
      <c r="BQ173" s="50"/>
      <c r="BR173" s="51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0"/>
      <c r="DD173" s="50"/>
      <c r="DE173" s="50"/>
      <c r="DF173" s="50"/>
      <c r="DG173" s="50"/>
      <c r="DH173" s="50"/>
      <c r="DI173" s="50"/>
      <c r="DJ173" s="50"/>
      <c r="DK173" s="50"/>
    </row>
    <row r="174" spans="1:115" x14ac:dyDescent="0.4">
      <c r="A174" s="69"/>
      <c r="B174" s="167" t="s">
        <v>183</v>
      </c>
      <c r="C174" s="247">
        <f>C173/C157</f>
        <v>-0.32999317889377749</v>
      </c>
      <c r="D174" s="247">
        <f t="shared" ref="D174:K174" si="191">D173/D157</f>
        <v>-0.10914035020416007</v>
      </c>
      <c r="E174" s="247">
        <f t="shared" si="191"/>
        <v>1.2910031569641739E-2</v>
      </c>
      <c r="F174" s="247">
        <f t="shared" si="191"/>
        <v>-0.46578376456723497</v>
      </c>
      <c r="G174" s="247">
        <f t="shared" si="191"/>
        <v>-0.36103856626841235</v>
      </c>
      <c r="H174" s="247">
        <f t="shared" si="191"/>
        <v>-0.19525954731959078</v>
      </c>
      <c r="I174" s="247">
        <f t="shared" si="191"/>
        <v>-0.20487424435239662</v>
      </c>
      <c r="J174" s="247">
        <f t="shared" si="191"/>
        <v>-0.11152831016100202</v>
      </c>
      <c r="K174" s="247">
        <f t="shared" si="191"/>
        <v>1.6143439647411797E-2</v>
      </c>
      <c r="L174" s="247">
        <f>L173/L157</f>
        <v>0.14248289572900777</v>
      </c>
      <c r="M174" s="247">
        <f>M173/M157</f>
        <v>2.3455707653218926E-2</v>
      </c>
      <c r="N174" s="247">
        <f>N173/N157</f>
        <v>0.14354743364122582</v>
      </c>
      <c r="O174" s="247">
        <f>O173/O157</f>
        <v>-8.0848318083561924E-2</v>
      </c>
      <c r="P174" s="247">
        <f t="shared" ref="P174:U174" si="192">P173/P157</f>
        <v>-7.1415491201792788E-2</v>
      </c>
      <c r="Q174" s="247">
        <f t="shared" si="192"/>
        <v>-0.16091219011221505</v>
      </c>
      <c r="R174" s="247">
        <f t="shared" si="192"/>
        <v>-0.11715592621467556</v>
      </c>
      <c r="S174" s="247">
        <f t="shared" si="192"/>
        <v>-0.1237498492643096</v>
      </c>
      <c r="T174" s="247">
        <f t="shared" si="192"/>
        <v>-0.24522812672336616</v>
      </c>
      <c r="U174" s="247">
        <f t="shared" si="192"/>
        <v>-0.36301119472097587</v>
      </c>
      <c r="V174" s="8"/>
      <c r="W174" s="50"/>
      <c r="X174" s="50"/>
      <c r="Y174" s="50"/>
      <c r="Z174" s="51"/>
      <c r="AA174" s="50"/>
      <c r="AB174" s="50"/>
      <c r="AC174" s="50"/>
      <c r="AD174" s="51"/>
      <c r="AE174" s="50"/>
      <c r="AF174" s="50"/>
      <c r="AG174" s="50"/>
      <c r="AH174" s="51"/>
      <c r="AI174" s="50"/>
      <c r="AJ174" s="50"/>
      <c r="AK174" s="50"/>
      <c r="AL174" s="51"/>
      <c r="AM174" s="50"/>
      <c r="AN174" s="50"/>
      <c r="AO174" s="50"/>
      <c r="AP174" s="51"/>
      <c r="AQ174" s="50"/>
      <c r="AR174" s="50"/>
      <c r="AS174" s="50"/>
      <c r="AT174" s="51"/>
      <c r="AU174" s="50"/>
      <c r="AV174" s="50"/>
      <c r="AW174" s="50"/>
      <c r="AX174" s="51"/>
      <c r="AY174" s="50"/>
      <c r="AZ174" s="50"/>
      <c r="BA174" s="50"/>
      <c r="BB174" s="51"/>
      <c r="BC174" s="50"/>
      <c r="BD174" s="50"/>
      <c r="BE174" s="50"/>
      <c r="BF174" s="51"/>
      <c r="BG174" s="50"/>
      <c r="BH174" s="50"/>
      <c r="BI174" s="50"/>
      <c r="BJ174" s="51"/>
      <c r="BK174" s="50"/>
      <c r="BL174" s="50"/>
      <c r="BM174" s="50"/>
      <c r="BN174" s="51"/>
      <c r="BO174" s="50"/>
      <c r="BP174" s="50"/>
      <c r="BQ174" s="50"/>
      <c r="BR174" s="51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  <c r="CP174" s="50"/>
      <c r="CQ174" s="50"/>
      <c r="CR174" s="50"/>
      <c r="CS174" s="50"/>
      <c r="CT174" s="50"/>
      <c r="CU174" s="50"/>
      <c r="CV174" s="50"/>
      <c r="CW174" s="50"/>
      <c r="CX174" s="50"/>
      <c r="CY174" s="50"/>
      <c r="CZ174" s="50"/>
      <c r="DA174" s="50"/>
      <c r="DB174" s="50"/>
      <c r="DC174" s="50"/>
      <c r="DD174" s="50"/>
      <c r="DE174" s="50"/>
      <c r="DF174" s="50"/>
      <c r="DG174" s="50"/>
      <c r="DH174" s="50"/>
      <c r="DI174" s="50"/>
      <c r="DJ174" s="50"/>
      <c r="DK174" s="50"/>
    </row>
    <row r="175" spans="1:115" x14ac:dyDescent="0.4">
      <c r="A175" s="69"/>
      <c r="B175" s="167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8"/>
      <c r="W175" s="50"/>
      <c r="X175" s="50"/>
      <c r="Y175" s="50"/>
      <c r="Z175" s="51"/>
      <c r="AA175" s="50"/>
      <c r="AB175" s="50"/>
      <c r="AC175" s="50"/>
      <c r="AD175" s="51"/>
      <c r="AE175" s="50"/>
      <c r="AF175" s="50"/>
      <c r="AG175" s="50"/>
      <c r="AH175" s="51"/>
      <c r="AI175" s="50"/>
      <c r="AJ175" s="50"/>
      <c r="AK175" s="50"/>
      <c r="AL175" s="51"/>
      <c r="AM175" s="50"/>
      <c r="AN175" s="50"/>
      <c r="AO175" s="50"/>
      <c r="AP175" s="7"/>
      <c r="AQ175" s="8"/>
      <c r="AR175" s="8"/>
      <c r="AS175" s="37"/>
      <c r="AT175" s="36"/>
      <c r="AU175" s="37"/>
      <c r="AV175" s="37"/>
      <c r="AW175" s="37"/>
      <c r="AX175" s="36"/>
      <c r="AY175" s="37"/>
      <c r="AZ175" s="37"/>
      <c r="BA175" s="37"/>
      <c r="BB175" s="36"/>
      <c r="BC175" s="37"/>
      <c r="BD175" s="37"/>
      <c r="BE175" s="37"/>
      <c r="BF175" s="36"/>
      <c r="BG175" s="37"/>
      <c r="BH175" s="37"/>
      <c r="BI175" s="37"/>
      <c r="BJ175" s="36"/>
      <c r="BK175" s="37"/>
      <c r="BL175" s="37"/>
      <c r="BM175" s="37"/>
      <c r="BN175" s="36"/>
      <c r="BO175" s="37"/>
      <c r="BP175" s="37"/>
      <c r="BQ175" s="37"/>
      <c r="BR175" s="36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</row>
    <row r="176" spans="1:115" x14ac:dyDescent="0.4">
      <c r="A176" s="69"/>
      <c r="B176" s="162" t="s">
        <v>184</v>
      </c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8"/>
      <c r="W176" s="50"/>
      <c r="X176" s="50"/>
      <c r="Y176" s="50"/>
      <c r="Z176" s="51"/>
      <c r="AA176" s="50"/>
      <c r="AB176" s="50"/>
      <c r="AC176" s="50"/>
      <c r="AD176" s="51"/>
      <c r="AE176" s="50"/>
      <c r="AF176" s="50"/>
      <c r="AG176" s="50"/>
      <c r="AH176" s="51"/>
      <c r="AI176" s="50"/>
      <c r="AJ176" s="50"/>
      <c r="AK176" s="50"/>
      <c r="AL176" s="51"/>
      <c r="AM176" s="50"/>
      <c r="AN176" s="50"/>
      <c r="AO176" s="50"/>
      <c r="AP176" s="7"/>
      <c r="AQ176" s="8"/>
      <c r="AR176" s="8"/>
      <c r="AS176" s="37"/>
      <c r="AT176" s="36"/>
      <c r="AU176" s="37"/>
      <c r="AV176" s="37"/>
      <c r="AW176" s="37"/>
      <c r="AX176" s="36"/>
      <c r="AY176" s="37"/>
      <c r="AZ176" s="37"/>
      <c r="BA176" s="37"/>
      <c r="BB176" s="36"/>
      <c r="BC176" s="37"/>
      <c r="BD176" s="37"/>
      <c r="BE176" s="37"/>
      <c r="BF176" s="36"/>
      <c r="BG176" s="37"/>
      <c r="BH176" s="37"/>
      <c r="BI176" s="37"/>
      <c r="BJ176" s="36"/>
      <c r="BK176" s="37"/>
      <c r="BL176" s="37"/>
      <c r="BM176" s="37"/>
      <c r="BN176" s="36"/>
      <c r="BO176" s="37"/>
      <c r="BP176" s="37"/>
      <c r="BQ176" s="37"/>
      <c r="BR176" s="36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</row>
    <row r="177" spans="1:115" x14ac:dyDescent="0.4">
      <c r="A177" s="69"/>
      <c r="B177" s="167" t="s">
        <v>185</v>
      </c>
      <c r="C177" s="164"/>
      <c r="D177" s="50">
        <f>+C181</f>
        <v>41.156635700000002</v>
      </c>
      <c r="E177" s="50">
        <f>+D181</f>
        <v>45.725921909999997</v>
      </c>
      <c r="F177" s="50">
        <f>+E181</f>
        <v>86.076267950000002</v>
      </c>
      <c r="G177" s="50">
        <f t="shared" ref="G177:U177" si="193">+F181</f>
        <v>127.43890106999999</v>
      </c>
      <c r="H177" s="50">
        <f t="shared" si="193"/>
        <v>126.67281855</v>
      </c>
      <c r="I177" s="37">
        <f t="shared" si="193"/>
        <v>131.78237856999999</v>
      </c>
      <c r="J177" s="37">
        <f t="shared" si="193"/>
        <v>187.32612125999998</v>
      </c>
      <c r="K177" s="37">
        <f t="shared" si="193"/>
        <v>183.77129919000001</v>
      </c>
      <c r="L177" s="37">
        <f t="shared" si="193"/>
        <v>1162.1000522500001</v>
      </c>
      <c r="M177" s="37">
        <f t="shared" si="193"/>
        <v>1496.5615973499998</v>
      </c>
      <c r="N177" s="37">
        <f t="shared" si="193"/>
        <v>1949.8601507200001</v>
      </c>
      <c r="O177" s="37">
        <f t="shared" si="193"/>
        <v>2726.1580717399997</v>
      </c>
      <c r="P177" s="37">
        <f t="shared" si="193"/>
        <v>3151.8295595999998</v>
      </c>
      <c r="Q177" s="37">
        <f t="shared" si="193"/>
        <v>3216.9903034099998</v>
      </c>
      <c r="R177" s="37">
        <f t="shared" si="193"/>
        <v>3947.6270247299999</v>
      </c>
      <c r="S177" s="37">
        <f t="shared" si="193"/>
        <v>5819.8817918999994</v>
      </c>
      <c r="T177" s="37">
        <f t="shared" si="193"/>
        <v>8119.0835811429988</v>
      </c>
      <c r="U177" s="37">
        <f t="shared" si="193"/>
        <v>9821.4342949340698</v>
      </c>
      <c r="V177" s="8"/>
      <c r="W177" s="37"/>
      <c r="X177" s="37"/>
      <c r="Y177" s="37"/>
      <c r="Z177" s="36"/>
      <c r="AA177" s="37"/>
      <c r="AB177" s="37"/>
      <c r="AC177" s="37"/>
      <c r="AD177" s="36"/>
      <c r="AE177" s="37"/>
      <c r="AF177" s="37"/>
      <c r="AG177" s="37"/>
      <c r="AH177" s="36"/>
      <c r="AI177" s="37"/>
      <c r="AJ177" s="37"/>
      <c r="AK177" s="37"/>
      <c r="AL177" s="36"/>
      <c r="AM177" s="37"/>
      <c r="AN177" s="37"/>
      <c r="AO177" s="37"/>
      <c r="AP177" s="36"/>
      <c r="AQ177" s="37"/>
      <c r="AR177" s="37"/>
      <c r="AS177" s="37"/>
      <c r="AT177" s="36"/>
      <c r="AU177" s="37"/>
      <c r="AV177" s="37"/>
      <c r="AW177" s="37"/>
      <c r="AX177" s="36"/>
      <c r="AY177" s="37"/>
      <c r="AZ177" s="37"/>
      <c r="BA177" s="37"/>
      <c r="BB177" s="36"/>
      <c r="BC177" s="37"/>
      <c r="BD177" s="37"/>
      <c r="BE177" s="37"/>
      <c r="BF177" s="36"/>
      <c r="BG177" s="37"/>
      <c r="BH177" s="37"/>
      <c r="BI177" s="37"/>
      <c r="BJ177" s="36"/>
      <c r="BK177" s="37"/>
      <c r="BL177" s="37"/>
      <c r="BM177" s="37"/>
      <c r="BN177" s="36"/>
      <c r="BO177" s="37"/>
      <c r="BP177" s="37"/>
      <c r="BQ177" s="37"/>
      <c r="BR177" s="36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</row>
    <row r="178" spans="1:115" x14ac:dyDescent="0.4">
      <c r="A178" s="69"/>
      <c r="B178" s="167" t="s">
        <v>186</v>
      </c>
      <c r="C178" s="248">
        <v>0</v>
      </c>
      <c r="D178" s="248">
        <v>0</v>
      </c>
      <c r="E178" s="248">
        <f>-E216</f>
        <v>49.970612960000004</v>
      </c>
      <c r="F178" s="248">
        <f t="shared" ref="F178:Q178" si="194">-F216</f>
        <v>27.023413619999999</v>
      </c>
      <c r="G178" s="248">
        <f t="shared" si="194"/>
        <v>95.70248312999999</v>
      </c>
      <c r="H178" s="248">
        <f t="shared" si="194"/>
        <v>63.445460779999998</v>
      </c>
      <c r="I178" s="248">
        <f t="shared" si="194"/>
        <v>52.825992360000001</v>
      </c>
      <c r="J178" s="248">
        <f t="shared" si="194"/>
        <v>35.425238590000006</v>
      </c>
      <c r="K178" s="248">
        <f t="shared" si="194"/>
        <v>420.77827873000001</v>
      </c>
      <c r="L178" s="248">
        <f t="shared" si="194"/>
        <v>607.73497116999999</v>
      </c>
      <c r="M178" s="248">
        <f t="shared" si="194"/>
        <v>759.30640070000004</v>
      </c>
      <c r="N178" s="248">
        <f t="shared" si="194"/>
        <v>956.06872454999996</v>
      </c>
      <c r="O178" s="248">
        <f t="shared" si="194"/>
        <v>839.57849895000004</v>
      </c>
      <c r="P178" s="248">
        <f t="shared" si="194"/>
        <v>791.83457912000006</v>
      </c>
      <c r="Q178" s="248">
        <f t="shared" si="194"/>
        <v>1704.4563548199999</v>
      </c>
      <c r="R178" s="248">
        <f>-R216</f>
        <v>2866.15732196</v>
      </c>
      <c r="S178" s="96">
        <f>+R178*1.2</f>
        <v>3439.3887863519999</v>
      </c>
      <c r="T178" s="96">
        <f>+S178*0.9</f>
        <v>3095.4499077167998</v>
      </c>
      <c r="U178" s="96">
        <f>+T178*0.8</f>
        <v>2476.3599261734398</v>
      </c>
      <c r="V178" s="8"/>
      <c r="W178" s="50"/>
      <c r="X178" s="50"/>
      <c r="Y178" s="50"/>
      <c r="Z178" s="51"/>
      <c r="AA178" s="50"/>
      <c r="AB178" s="50"/>
      <c r="AC178" s="50"/>
      <c r="AD178" s="51"/>
      <c r="AE178" s="50"/>
      <c r="AF178" s="50"/>
      <c r="AG178" s="50"/>
      <c r="AH178" s="51"/>
      <c r="AI178" s="50"/>
      <c r="AJ178" s="50"/>
      <c r="AK178" s="50"/>
      <c r="AL178" s="51"/>
      <c r="AM178" s="50"/>
      <c r="AN178" s="50"/>
      <c r="AO178" s="50"/>
      <c r="AP178" s="51"/>
      <c r="AQ178" s="50"/>
      <c r="AR178" s="50"/>
      <c r="AS178" s="50"/>
      <c r="AT178" s="51"/>
      <c r="AU178" s="50"/>
      <c r="AV178" s="50"/>
      <c r="AW178" s="50"/>
      <c r="AX178" s="51"/>
      <c r="AY178" s="50"/>
      <c r="AZ178" s="50"/>
      <c r="BA178" s="50"/>
      <c r="BB178" s="51"/>
      <c r="BC178" s="50"/>
      <c r="BD178" s="50"/>
      <c r="BE178" s="50"/>
      <c r="BF178" s="51"/>
      <c r="BG178" s="50"/>
      <c r="BH178" s="50"/>
      <c r="BI178" s="50"/>
      <c r="BJ178" s="51"/>
      <c r="BK178" s="50"/>
      <c r="BL178" s="50"/>
      <c r="BM178" s="50"/>
      <c r="BN178" s="51"/>
      <c r="BO178" s="50"/>
      <c r="BP178" s="50"/>
      <c r="BQ178" s="50"/>
      <c r="BR178" s="51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50"/>
    </row>
    <row r="179" spans="1:115" x14ac:dyDescent="0.4">
      <c r="A179" s="69"/>
      <c r="B179" s="167" t="s">
        <v>90</v>
      </c>
      <c r="C179" s="50">
        <v>1.94088375</v>
      </c>
      <c r="D179" s="50">
        <v>3.9522376499999998</v>
      </c>
      <c r="E179" s="50">
        <v>6.3353015499999996</v>
      </c>
      <c r="F179" s="50">
        <v>8.9943069600000012</v>
      </c>
      <c r="G179" s="50">
        <v>11.87031751</v>
      </c>
      <c r="H179" s="50">
        <v>12.538385589999999</v>
      </c>
      <c r="I179" s="50">
        <v>15.119470400000001</v>
      </c>
      <c r="J179" s="50">
        <v>18.808306440000003</v>
      </c>
      <c r="K179" s="50">
        <v>60.37121028</v>
      </c>
      <c r="L179" s="50">
        <v>130.24076134000001</v>
      </c>
      <c r="M179" s="50">
        <v>172.48205634999999</v>
      </c>
      <c r="N179" s="50">
        <v>250.66216234000001</v>
      </c>
      <c r="O179" s="50">
        <v>320.64924049000001</v>
      </c>
      <c r="P179" s="50">
        <v>361.31216912999997</v>
      </c>
      <c r="Q179" s="50">
        <v>384.59686723000004</v>
      </c>
      <c r="R179" s="50">
        <v>545.14848352000001</v>
      </c>
      <c r="S179" s="50">
        <f t="shared" ref="S179:U179" si="195">+S177*S182</f>
        <v>640.18699710899989</v>
      </c>
      <c r="T179" s="50">
        <f t="shared" si="195"/>
        <v>893.09919392572988</v>
      </c>
      <c r="U179" s="50">
        <f t="shared" si="195"/>
        <v>1080.3577724427478</v>
      </c>
      <c r="V179" s="8"/>
      <c r="W179" s="50"/>
      <c r="X179" s="50"/>
      <c r="Y179" s="50"/>
      <c r="Z179" s="51"/>
      <c r="AA179" s="50"/>
      <c r="AB179" s="50"/>
      <c r="AC179" s="50"/>
      <c r="AD179" s="51"/>
      <c r="AE179" s="50"/>
      <c r="AF179" s="50"/>
      <c r="AG179" s="50"/>
      <c r="AH179" s="51"/>
      <c r="AI179" s="50"/>
      <c r="AJ179" s="50"/>
      <c r="AK179" s="50"/>
      <c r="AL179" s="51"/>
      <c r="AM179" s="50"/>
      <c r="AN179" s="50"/>
      <c r="AO179" s="50"/>
      <c r="AP179" s="51"/>
      <c r="AQ179" s="50"/>
      <c r="AR179" s="50"/>
      <c r="AS179" s="50"/>
      <c r="AT179" s="51"/>
      <c r="AU179" s="50"/>
      <c r="AV179" s="50"/>
      <c r="AW179" s="50"/>
      <c r="AX179" s="51"/>
      <c r="AY179" s="50"/>
      <c r="AZ179" s="50"/>
      <c r="BA179" s="50"/>
      <c r="BB179" s="51"/>
      <c r="BC179" s="50"/>
      <c r="BD179" s="50"/>
      <c r="BE179" s="50"/>
      <c r="BF179" s="51"/>
      <c r="BG179" s="50"/>
      <c r="BH179" s="50"/>
      <c r="BI179" s="50"/>
      <c r="BJ179" s="51"/>
      <c r="BK179" s="50"/>
      <c r="BL179" s="50"/>
      <c r="BM179" s="50"/>
      <c r="BN179" s="51"/>
      <c r="BO179" s="50"/>
      <c r="BP179" s="50"/>
      <c r="BQ179" s="50"/>
      <c r="BR179" s="51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50"/>
    </row>
    <row r="180" spans="1:115" x14ac:dyDescent="0.4">
      <c r="A180" s="69"/>
      <c r="B180" s="167" t="s">
        <v>187</v>
      </c>
      <c r="C180" s="50">
        <f t="shared" ref="C180:R180" si="196">C181-C177-C178-C179</f>
        <v>39.215751950000005</v>
      </c>
      <c r="D180" s="50">
        <f t="shared" si="196"/>
        <v>0.61704855999999442</v>
      </c>
      <c r="E180" s="50">
        <f t="shared" si="196"/>
        <v>-15.955568469999999</v>
      </c>
      <c r="F180" s="50">
        <f t="shared" si="196"/>
        <v>5.3449125399999833</v>
      </c>
      <c r="G180" s="50">
        <f t="shared" si="196"/>
        <v>-108.33888315999997</v>
      </c>
      <c r="H180" s="50">
        <f t="shared" si="196"/>
        <v>-70.874286350000006</v>
      </c>
      <c r="I180" s="50">
        <f t="shared" si="196"/>
        <v>-12.401720070000014</v>
      </c>
      <c r="J180" s="50">
        <f t="shared" si="196"/>
        <v>-57.788367099999981</v>
      </c>
      <c r="K180" s="50">
        <f t="shared" si="196"/>
        <v>497.17926405000003</v>
      </c>
      <c r="L180" s="50">
        <f t="shared" si="196"/>
        <v>-403.51418741000026</v>
      </c>
      <c r="M180" s="50">
        <f t="shared" si="196"/>
        <v>-478.48990367999977</v>
      </c>
      <c r="N180" s="50">
        <f t="shared" si="196"/>
        <v>-430.43296587000032</v>
      </c>
      <c r="O180" s="50">
        <f t="shared" si="196"/>
        <v>-734.55625157999998</v>
      </c>
      <c r="P180" s="50">
        <f t="shared" si="196"/>
        <v>-1087.98600444</v>
      </c>
      <c r="Q180" s="50">
        <f t="shared" si="196"/>
        <v>-1358.4165007299998</v>
      </c>
      <c r="R180" s="50">
        <f t="shared" si="196"/>
        <v>-1539.0510383100004</v>
      </c>
      <c r="S180" s="96">
        <v>-500</v>
      </c>
      <c r="T180" s="96">
        <v>-500</v>
      </c>
      <c r="U180" s="96">
        <v>-500</v>
      </c>
      <c r="V180" s="8"/>
      <c r="W180" s="50"/>
      <c r="X180" s="50"/>
      <c r="Y180" s="50"/>
      <c r="Z180" s="51"/>
      <c r="AA180" s="50"/>
      <c r="AB180" s="50"/>
      <c r="AC180" s="50"/>
      <c r="AD180" s="51"/>
      <c r="AE180" s="50"/>
      <c r="AF180" s="50"/>
      <c r="AG180" s="50"/>
      <c r="AH180" s="51"/>
      <c r="AI180" s="50"/>
      <c r="AJ180" s="50"/>
      <c r="AK180" s="50"/>
      <c r="AL180" s="51"/>
      <c r="AM180" s="50"/>
      <c r="AN180" s="50"/>
      <c r="AO180" s="50"/>
      <c r="AP180" s="51"/>
      <c r="AQ180" s="50"/>
      <c r="AR180" s="50"/>
      <c r="AS180" s="50"/>
      <c r="AT180" s="51"/>
      <c r="AU180" s="50"/>
      <c r="AV180" s="50"/>
      <c r="AW180" s="50"/>
      <c r="AX180" s="51"/>
      <c r="AY180" s="50"/>
      <c r="AZ180" s="50"/>
      <c r="BA180" s="50"/>
      <c r="BB180" s="51"/>
      <c r="BC180" s="50"/>
      <c r="BD180" s="50"/>
      <c r="BE180" s="50"/>
      <c r="BF180" s="51"/>
      <c r="BG180" s="50"/>
      <c r="BH180" s="50"/>
      <c r="BI180" s="50"/>
      <c r="BJ180" s="51"/>
      <c r="BK180" s="50"/>
      <c r="BL180" s="50"/>
      <c r="BM180" s="50"/>
      <c r="BN180" s="51"/>
      <c r="BO180" s="50"/>
      <c r="BP180" s="50"/>
      <c r="BQ180" s="50"/>
      <c r="BR180" s="51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50"/>
    </row>
    <row r="181" spans="1:115" x14ac:dyDescent="0.4">
      <c r="A181" s="69"/>
      <c r="B181" s="167" t="s">
        <v>188</v>
      </c>
      <c r="C181" s="50">
        <f t="shared" ref="C181:R181" si="197">C131</f>
        <v>41.156635700000002</v>
      </c>
      <c r="D181" s="50">
        <f t="shared" si="197"/>
        <v>45.725921909999997</v>
      </c>
      <c r="E181" s="50">
        <f t="shared" si="197"/>
        <v>86.076267950000002</v>
      </c>
      <c r="F181" s="50">
        <f t="shared" si="197"/>
        <v>127.43890106999999</v>
      </c>
      <c r="G181" s="50">
        <f t="shared" si="197"/>
        <v>126.67281855</v>
      </c>
      <c r="H181" s="50">
        <f t="shared" si="197"/>
        <v>131.78237856999999</v>
      </c>
      <c r="I181" s="50">
        <f t="shared" si="197"/>
        <v>187.32612125999998</v>
      </c>
      <c r="J181" s="50">
        <f t="shared" si="197"/>
        <v>183.77129919000001</v>
      </c>
      <c r="K181" s="50">
        <f t="shared" si="197"/>
        <v>1162.1000522500001</v>
      </c>
      <c r="L181" s="50">
        <f t="shared" si="197"/>
        <v>1496.5615973499998</v>
      </c>
      <c r="M181" s="50">
        <f t="shared" si="197"/>
        <v>1949.8601507200001</v>
      </c>
      <c r="N181" s="50">
        <f t="shared" si="197"/>
        <v>2726.1580717399997</v>
      </c>
      <c r="O181" s="50">
        <f t="shared" si="197"/>
        <v>3151.8295595999998</v>
      </c>
      <c r="P181" s="50">
        <f t="shared" si="197"/>
        <v>3216.9903034099998</v>
      </c>
      <c r="Q181" s="50">
        <f t="shared" si="197"/>
        <v>3947.6270247299999</v>
      </c>
      <c r="R181" s="50">
        <f t="shared" si="197"/>
        <v>5819.8817918999994</v>
      </c>
      <c r="S181" s="50">
        <f t="shared" ref="S181:U181" si="198">+S177+S178-S179+S180</f>
        <v>8119.0835811429988</v>
      </c>
      <c r="T181" s="50">
        <f t="shared" si="198"/>
        <v>9821.4342949340698</v>
      </c>
      <c r="U181" s="50">
        <f t="shared" si="198"/>
        <v>10717.436448664761</v>
      </c>
      <c r="V181" s="249"/>
      <c r="W181" s="50"/>
      <c r="X181" s="50"/>
      <c r="Y181" s="50"/>
      <c r="Z181" s="51"/>
      <c r="AA181" s="50"/>
      <c r="AB181" s="50"/>
      <c r="AC181" s="50"/>
      <c r="AD181" s="51"/>
      <c r="AE181" s="50"/>
      <c r="AF181" s="50"/>
      <c r="AG181" s="50"/>
      <c r="AH181" s="51"/>
      <c r="AI181" s="50"/>
      <c r="AJ181" s="50"/>
      <c r="AK181" s="50"/>
      <c r="AL181" s="51"/>
      <c r="AM181" s="50"/>
      <c r="AN181" s="50"/>
      <c r="AO181" s="50"/>
      <c r="AP181" s="51"/>
      <c r="AQ181" s="50"/>
      <c r="AR181" s="50"/>
      <c r="AS181" s="50"/>
      <c r="AT181" s="51"/>
      <c r="AU181" s="50"/>
      <c r="AV181" s="50"/>
      <c r="AW181" s="50"/>
      <c r="AX181" s="51"/>
      <c r="AY181" s="50"/>
      <c r="AZ181" s="50"/>
      <c r="BA181" s="50"/>
      <c r="BB181" s="51"/>
      <c r="BC181" s="50"/>
      <c r="BD181" s="50"/>
      <c r="BE181" s="50"/>
      <c r="BF181" s="51"/>
      <c r="BG181" s="50"/>
      <c r="BH181" s="50"/>
      <c r="BI181" s="50"/>
      <c r="BJ181" s="51"/>
      <c r="BK181" s="50"/>
      <c r="BL181" s="50"/>
      <c r="BM181" s="50"/>
      <c r="BN181" s="51"/>
      <c r="BO181" s="50"/>
      <c r="BP181" s="50"/>
      <c r="BQ181" s="50"/>
      <c r="BR181" s="51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50"/>
    </row>
    <row r="182" spans="1:115" x14ac:dyDescent="0.4">
      <c r="A182" s="69"/>
      <c r="B182" s="167" t="s">
        <v>189</v>
      </c>
      <c r="C182" s="90" t="e">
        <f t="shared" ref="C182:R182" si="199">C179/C177</f>
        <v>#DIV/0!</v>
      </c>
      <c r="D182" s="90">
        <f t="shared" si="199"/>
        <v>9.6029172034583957E-2</v>
      </c>
      <c r="E182" s="90">
        <f t="shared" si="199"/>
        <v>0.13854945478123876</v>
      </c>
      <c r="F182" s="90">
        <f t="shared" si="199"/>
        <v>0.10449229705480047</v>
      </c>
      <c r="G182" s="90">
        <f t="shared" si="199"/>
        <v>9.3145165332835372E-2</v>
      </c>
      <c r="H182" s="90">
        <f t="shared" si="199"/>
        <v>9.8982447327884124E-2</v>
      </c>
      <c r="I182" s="90">
        <f t="shared" si="199"/>
        <v>0.11473059269429456</v>
      </c>
      <c r="J182" s="90">
        <f t="shared" si="199"/>
        <v>0.10040407773080906</v>
      </c>
      <c r="K182" s="90">
        <f t="shared" si="199"/>
        <v>0.32851272503429702</v>
      </c>
      <c r="L182" s="90">
        <f t="shared" si="199"/>
        <v>0.11207362144751164</v>
      </c>
      <c r="M182" s="90">
        <f t="shared" si="199"/>
        <v>0.11525222660759063</v>
      </c>
      <c r="N182" s="90">
        <f t="shared" si="199"/>
        <v>0.12855391821174517</v>
      </c>
      <c r="O182" s="90">
        <f t="shared" si="199"/>
        <v>0.11761946007970923</v>
      </c>
      <c r="P182" s="90">
        <f t="shared" si="199"/>
        <v>0.11463569406204004</v>
      </c>
      <c r="Q182" s="90">
        <f t="shared" si="199"/>
        <v>0.11955176452422892</v>
      </c>
      <c r="R182" s="90">
        <f t="shared" si="199"/>
        <v>0.13809523546801783</v>
      </c>
      <c r="S182" s="250">
        <v>0.11</v>
      </c>
      <c r="T182" s="250">
        <v>0.11</v>
      </c>
      <c r="U182" s="250">
        <v>0.11</v>
      </c>
      <c r="V182" s="8"/>
      <c r="W182" s="90"/>
      <c r="X182" s="90"/>
      <c r="Y182" s="90"/>
      <c r="Z182" s="144"/>
      <c r="AA182" s="90"/>
      <c r="AB182" s="90"/>
      <c r="AC182" s="90"/>
      <c r="AD182" s="144"/>
      <c r="AE182" s="90"/>
      <c r="AF182" s="90"/>
      <c r="AG182" s="90"/>
      <c r="AH182" s="144"/>
      <c r="AI182" s="90"/>
      <c r="AJ182" s="90"/>
      <c r="AK182" s="90"/>
      <c r="AL182" s="144"/>
      <c r="AM182" s="90"/>
      <c r="AN182" s="90"/>
      <c r="AO182" s="90"/>
      <c r="AP182" s="144"/>
      <c r="AQ182" s="90"/>
      <c r="AR182" s="90"/>
      <c r="AS182" s="90"/>
      <c r="AT182" s="144"/>
      <c r="AU182" s="90"/>
      <c r="AV182" s="90"/>
      <c r="AW182" s="90"/>
      <c r="AX182" s="144"/>
      <c r="AY182" s="90"/>
      <c r="AZ182" s="90"/>
      <c r="BA182" s="90"/>
      <c r="BB182" s="144"/>
      <c r="BC182" s="90"/>
      <c r="BD182" s="90"/>
      <c r="BE182" s="90"/>
      <c r="BF182" s="144"/>
      <c r="BG182" s="90"/>
      <c r="BH182" s="90"/>
      <c r="BI182" s="90"/>
      <c r="BJ182" s="144"/>
      <c r="BK182" s="90"/>
      <c r="BL182" s="90"/>
      <c r="BM182" s="90"/>
      <c r="BN182" s="144"/>
      <c r="BO182" s="90"/>
      <c r="BP182" s="90"/>
      <c r="BQ182" s="90"/>
      <c r="BR182" s="144"/>
      <c r="BS182" s="90"/>
      <c r="BT182" s="90"/>
      <c r="BU182" s="90"/>
      <c r="BV182" s="90"/>
      <c r="BW182" s="90"/>
      <c r="BX182" s="90"/>
      <c r="BY182" s="90"/>
      <c r="BZ182" s="90"/>
      <c r="CA182" s="90"/>
      <c r="CB182" s="90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90"/>
    </row>
    <row r="183" spans="1:115" x14ac:dyDescent="0.4">
      <c r="A183" s="69"/>
      <c r="B183" s="167"/>
      <c r="C183" s="90"/>
      <c r="D183" s="90"/>
      <c r="E183" s="90"/>
      <c r="F183" s="90"/>
      <c r="G183" s="90"/>
      <c r="H183" s="90">
        <f>+H178/H7</f>
        <v>0.53429463071103078</v>
      </c>
      <c r="I183" s="90">
        <f t="shared" ref="I183:S183" si="200">+I178/I7</f>
        <v>0.43510435382202906</v>
      </c>
      <c r="J183" s="90">
        <f t="shared" si="200"/>
        <v>0.26914705206357847</v>
      </c>
      <c r="K183" s="90">
        <f t="shared" si="200"/>
        <v>0.17851649465921787</v>
      </c>
      <c r="L183" s="90">
        <f t="shared" si="200"/>
        <v>0.11786228357986697</v>
      </c>
      <c r="M183" s="90">
        <f t="shared" si="200"/>
        <v>0.15959603751440726</v>
      </c>
      <c r="N183" s="90">
        <f>+N178/N7</f>
        <v>0.13562046977735845</v>
      </c>
      <c r="O183" s="90">
        <f>+O178/O7</f>
        <v>0.10910127798984842</v>
      </c>
      <c r="P183" s="90">
        <f t="shared" si="200"/>
        <v>8.212522650924782E-2</v>
      </c>
      <c r="Q183" s="90">
        <f t="shared" si="200"/>
        <v>0.15902769400599825</v>
      </c>
      <c r="R183" s="90">
        <f>+R178/R7</f>
        <v>0.12011307247060549</v>
      </c>
      <c r="S183" s="90">
        <f t="shared" si="200"/>
        <v>9.815059195702476E-2</v>
      </c>
      <c r="T183" s="90">
        <f>+T178/T7</f>
        <v>6.1195928339888524E-2</v>
      </c>
      <c r="U183" s="90">
        <f>+U178/U7</f>
        <v>4.0325431726785432E-2</v>
      </c>
      <c r="V183" s="8"/>
      <c r="W183" s="90"/>
      <c r="X183" s="90"/>
      <c r="Y183" s="90"/>
      <c r="Z183" s="144"/>
      <c r="AA183" s="90"/>
      <c r="AB183" s="90"/>
      <c r="AC183" s="90"/>
      <c r="AD183" s="144"/>
      <c r="AE183" s="90"/>
      <c r="AF183" s="90"/>
      <c r="AG183" s="90"/>
      <c r="AH183" s="144"/>
      <c r="AI183" s="90"/>
      <c r="AJ183" s="90"/>
      <c r="AK183" s="90"/>
      <c r="AL183" s="144"/>
      <c r="AM183" s="90"/>
      <c r="AN183" s="90"/>
      <c r="AO183" s="90"/>
      <c r="AP183" s="144"/>
      <c r="AQ183" s="90"/>
      <c r="AR183" s="90"/>
      <c r="AS183" s="90"/>
      <c r="AT183" s="144"/>
      <c r="AU183" s="90"/>
      <c r="AV183" s="90"/>
      <c r="AW183" s="90"/>
      <c r="AX183" s="144"/>
      <c r="AY183" s="90"/>
      <c r="AZ183" s="90"/>
      <c r="BA183" s="90"/>
      <c r="BB183" s="144"/>
      <c r="BC183" s="90"/>
      <c r="BD183" s="90"/>
      <c r="BE183" s="90"/>
      <c r="BF183" s="144"/>
      <c r="BG183" s="90"/>
      <c r="BH183" s="90"/>
      <c r="BI183" s="90"/>
      <c r="BJ183" s="144"/>
      <c r="BK183" s="90"/>
      <c r="BL183" s="90"/>
      <c r="BM183" s="90"/>
      <c r="BN183" s="144"/>
      <c r="BO183" s="90"/>
      <c r="BP183" s="90"/>
      <c r="BQ183" s="90"/>
      <c r="BR183" s="144"/>
      <c r="BS183" s="90"/>
      <c r="BT183" s="90"/>
      <c r="BU183" s="90"/>
      <c r="BV183" s="90"/>
      <c r="BW183" s="90"/>
      <c r="BX183" s="90"/>
      <c r="BY183" s="90"/>
      <c r="BZ183" s="90"/>
      <c r="CA183" s="90"/>
      <c r="CB183" s="90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90"/>
    </row>
    <row r="184" spans="1:115" x14ac:dyDescent="0.4">
      <c r="A184" s="69"/>
      <c r="B184" s="162" t="s">
        <v>190</v>
      </c>
      <c r="C184" s="251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8"/>
      <c r="W184" s="50"/>
      <c r="X184" s="50"/>
      <c r="Y184" s="50"/>
      <c r="Z184" s="51"/>
      <c r="AA184" s="50"/>
      <c r="AB184" s="50"/>
      <c r="AC184" s="50"/>
      <c r="AD184" s="51"/>
      <c r="AE184" s="50"/>
      <c r="AF184" s="50"/>
      <c r="AG184" s="50"/>
      <c r="AH184" s="51"/>
      <c r="AI184" s="50"/>
      <c r="AJ184" s="50"/>
      <c r="AK184" s="50"/>
      <c r="AL184" s="51"/>
      <c r="AM184" s="50"/>
      <c r="AN184" s="50"/>
      <c r="AO184" s="50"/>
      <c r="AP184" s="7"/>
      <c r="AQ184" s="8"/>
      <c r="AR184" s="8"/>
      <c r="AS184" s="37"/>
      <c r="AT184" s="36"/>
      <c r="AU184" s="37"/>
      <c r="AV184" s="37"/>
      <c r="AW184" s="37"/>
      <c r="AX184" s="36"/>
      <c r="AY184" s="37"/>
      <c r="AZ184" s="37"/>
      <c r="BA184" s="37"/>
      <c r="BB184" s="36"/>
      <c r="BC184" s="37"/>
      <c r="BD184" s="37"/>
      <c r="BE184" s="37"/>
      <c r="BF184" s="36"/>
      <c r="BG184" s="37"/>
      <c r="BH184" s="37"/>
      <c r="BI184" s="37"/>
      <c r="BJ184" s="36"/>
      <c r="BK184" s="37"/>
      <c r="BL184" s="37"/>
      <c r="BM184" s="37"/>
      <c r="BN184" s="36"/>
      <c r="BO184" s="37"/>
      <c r="BP184" s="37"/>
      <c r="BQ184" s="37"/>
      <c r="BR184" s="36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</row>
    <row r="185" spans="1:115" x14ac:dyDescent="0.4">
      <c r="A185" s="69"/>
      <c r="B185" s="167" t="s">
        <v>185</v>
      </c>
      <c r="C185" s="164"/>
      <c r="D185" s="50">
        <f>+C189</f>
        <v>11.54387009</v>
      </c>
      <c r="E185" s="50">
        <f>+D189</f>
        <v>28.890718170000003</v>
      </c>
      <c r="F185" s="50">
        <f>+E189</f>
        <v>28.265589329999997</v>
      </c>
      <c r="G185" s="50">
        <f t="shared" ref="G185:U185" si="201">+F189</f>
        <v>28.229703559999997</v>
      </c>
      <c r="H185" s="50">
        <f t="shared" si="201"/>
        <v>136.76902715</v>
      </c>
      <c r="I185" s="50">
        <f t="shared" si="201"/>
        <v>123.25854748</v>
      </c>
      <c r="J185" s="50">
        <f t="shared" si="201"/>
        <v>111.85535126000001</v>
      </c>
      <c r="K185" s="50">
        <f t="shared" si="201"/>
        <v>96.975056260000002</v>
      </c>
      <c r="L185" s="50">
        <f t="shared" si="201"/>
        <v>454.17780443999999</v>
      </c>
      <c r="M185" s="50">
        <f t="shared" si="201"/>
        <v>383.84678524999998</v>
      </c>
      <c r="N185" s="50">
        <f t="shared" si="201"/>
        <v>311.00182344000001</v>
      </c>
      <c r="O185" s="50">
        <f t="shared" si="201"/>
        <v>360.20347122999999</v>
      </c>
      <c r="P185" s="50">
        <f t="shared" si="201"/>
        <v>382.09204766000005</v>
      </c>
      <c r="Q185" s="50">
        <f t="shared" si="201"/>
        <v>322.14162362000002</v>
      </c>
      <c r="R185" s="50">
        <f t="shared" si="201"/>
        <v>400.51544997000002</v>
      </c>
      <c r="S185" s="50">
        <f t="shared" si="201"/>
        <v>377.72942968000001</v>
      </c>
      <c r="T185" s="50">
        <f t="shared" si="201"/>
        <v>317.07436655679999</v>
      </c>
      <c r="U185" s="50">
        <f t="shared" si="201"/>
        <v>270.976518583168</v>
      </c>
      <c r="V185" s="8"/>
      <c r="W185" s="50"/>
      <c r="X185" s="50"/>
      <c r="Y185" s="50"/>
      <c r="Z185" s="51"/>
      <c r="AA185" s="50"/>
      <c r="AB185" s="50"/>
      <c r="AC185" s="50"/>
      <c r="AD185" s="51"/>
      <c r="AE185" s="50"/>
      <c r="AF185" s="50"/>
      <c r="AG185" s="50"/>
      <c r="AH185" s="51"/>
      <c r="AI185" s="50"/>
      <c r="AJ185" s="50"/>
      <c r="AK185" s="50"/>
      <c r="AL185" s="51"/>
      <c r="AM185" s="50"/>
      <c r="AN185" s="50"/>
      <c r="AO185" s="50"/>
      <c r="AP185" s="51"/>
      <c r="AQ185" s="50"/>
      <c r="AR185" s="50"/>
      <c r="AS185" s="50"/>
      <c r="AT185" s="51"/>
      <c r="AU185" s="50"/>
      <c r="AV185" s="50"/>
      <c r="AW185" s="50"/>
      <c r="AX185" s="51"/>
      <c r="AY185" s="50"/>
      <c r="AZ185" s="50"/>
      <c r="BA185" s="50"/>
      <c r="BB185" s="51"/>
      <c r="BC185" s="50"/>
      <c r="BD185" s="50"/>
      <c r="BE185" s="50"/>
      <c r="BF185" s="51"/>
      <c r="BG185" s="50"/>
      <c r="BH185" s="50"/>
      <c r="BI185" s="50"/>
      <c r="BJ185" s="51"/>
      <c r="BK185" s="50"/>
      <c r="BL185" s="50"/>
      <c r="BM185" s="50"/>
      <c r="BN185" s="51"/>
      <c r="BO185" s="50"/>
      <c r="BP185" s="50"/>
      <c r="BQ185" s="50"/>
      <c r="BR185" s="51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</row>
    <row r="186" spans="1:115" x14ac:dyDescent="0.4">
      <c r="A186" s="69"/>
      <c r="B186" s="167" t="s">
        <v>191</v>
      </c>
      <c r="C186" s="248">
        <v>0</v>
      </c>
      <c r="D186" s="248">
        <v>0</v>
      </c>
      <c r="E186" s="248">
        <v>0</v>
      </c>
      <c r="F186" s="248">
        <v>5.8694763600000002</v>
      </c>
      <c r="G186" s="248">
        <v>8.9758061500000004</v>
      </c>
      <c r="H186" s="248">
        <v>5.15052193</v>
      </c>
      <c r="I186" s="248">
        <v>7.0472472100000001</v>
      </c>
      <c r="J186" s="248">
        <v>0.16115687000000001</v>
      </c>
      <c r="K186" s="248">
        <v>11.251432679999999</v>
      </c>
      <c r="L186" s="248">
        <v>3.7721323300000003</v>
      </c>
      <c r="M186" s="248">
        <v>15.000004300000001</v>
      </c>
      <c r="N186" s="248">
        <v>121.44796465</v>
      </c>
      <c r="O186" s="248">
        <v>2.1681438599999998</v>
      </c>
      <c r="P186" s="248">
        <v>23.5</v>
      </c>
      <c r="Q186" s="248">
        <v>63.8</v>
      </c>
      <c r="R186" s="248">
        <v>30.935550419999956</v>
      </c>
      <c r="S186" s="252">
        <v>30</v>
      </c>
      <c r="T186" s="252">
        <v>30</v>
      </c>
      <c r="U186" s="252">
        <v>30</v>
      </c>
      <c r="V186" s="8"/>
      <c r="W186" s="253"/>
      <c r="X186" s="253"/>
      <c r="Y186" s="253"/>
      <c r="Z186" s="254"/>
      <c r="AA186" s="253"/>
      <c r="AB186" s="253"/>
      <c r="AC186" s="253"/>
      <c r="AD186" s="254"/>
      <c r="AE186" s="253"/>
      <c r="AF186" s="253"/>
      <c r="AG186" s="253"/>
      <c r="AH186" s="254"/>
      <c r="AI186" s="253"/>
      <c r="AJ186" s="253"/>
      <c r="AK186" s="253"/>
      <c r="AL186" s="254"/>
      <c r="AM186" s="253"/>
      <c r="AN186" s="253"/>
      <c r="AO186" s="253"/>
      <c r="AP186" s="51"/>
      <c r="AQ186" s="50"/>
      <c r="AR186" s="50"/>
      <c r="AS186" s="50"/>
      <c r="AT186" s="51"/>
      <c r="AU186" s="50"/>
      <c r="AV186" s="50"/>
      <c r="AW186" s="50"/>
      <c r="AX186" s="51"/>
      <c r="AY186" s="50"/>
      <c r="AZ186" s="50"/>
      <c r="BA186" s="50"/>
      <c r="BB186" s="51"/>
      <c r="BC186" s="50"/>
      <c r="BD186" s="50"/>
      <c r="BE186" s="50"/>
      <c r="BF186" s="51"/>
      <c r="BG186" s="50"/>
      <c r="BH186" s="50"/>
      <c r="BI186" s="50"/>
      <c r="BJ186" s="51"/>
      <c r="BK186" s="50"/>
      <c r="BL186" s="50"/>
      <c r="BM186" s="50"/>
      <c r="BN186" s="51"/>
      <c r="BO186" s="50"/>
      <c r="BP186" s="50"/>
      <c r="BQ186" s="50"/>
      <c r="BR186" s="51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</row>
    <row r="187" spans="1:115" x14ac:dyDescent="0.4">
      <c r="A187" s="69"/>
      <c r="B187" s="167" t="s">
        <v>91</v>
      </c>
      <c r="C187" s="50">
        <v>0.11056381</v>
      </c>
      <c r="D187" s="50">
        <v>0.29378618000000001</v>
      </c>
      <c r="E187" s="50">
        <v>0.62512884000000002</v>
      </c>
      <c r="F187" s="50">
        <v>0.63826525000000001</v>
      </c>
      <c r="G187" s="50">
        <v>8.4850256999999996</v>
      </c>
      <c r="H187" s="50">
        <v>12.38005431</v>
      </c>
      <c r="I187" s="50">
        <v>0</v>
      </c>
      <c r="J187" s="50">
        <v>12.26504933</v>
      </c>
      <c r="K187" s="50">
        <v>40.980841470000001</v>
      </c>
      <c r="L187" s="50">
        <v>71.075269019999993</v>
      </c>
      <c r="M187" s="50">
        <v>68.808505049999994</v>
      </c>
      <c r="N187" s="50">
        <v>80.367938730000006</v>
      </c>
      <c r="O187" s="50">
        <v>85.874896680000006</v>
      </c>
      <c r="P187" s="50">
        <v>83.428533860000002</v>
      </c>
      <c r="Q187" s="50">
        <v>85.462291790000009</v>
      </c>
      <c r="R187" s="50">
        <v>98.327095989999989</v>
      </c>
      <c r="S187" s="50">
        <f t="shared" ref="S187:U187" si="202">+S185*S190</f>
        <v>90.655063123199994</v>
      </c>
      <c r="T187" s="50">
        <f t="shared" si="202"/>
        <v>76.097847973632</v>
      </c>
      <c r="U187" s="50">
        <f t="shared" si="202"/>
        <v>65.034364459960315</v>
      </c>
      <c r="V187" s="8"/>
      <c r="W187" s="50"/>
      <c r="X187" s="50"/>
      <c r="Y187" s="50"/>
      <c r="Z187" s="51"/>
      <c r="AA187" s="50"/>
      <c r="AB187" s="50"/>
      <c r="AC187" s="50"/>
      <c r="AD187" s="51"/>
      <c r="AE187" s="50"/>
      <c r="AF187" s="50"/>
      <c r="AG187" s="50"/>
      <c r="AH187" s="51"/>
      <c r="AI187" s="50"/>
      <c r="AJ187" s="50"/>
      <c r="AK187" s="50"/>
      <c r="AL187" s="51"/>
      <c r="AM187" s="50"/>
      <c r="AN187" s="50"/>
      <c r="AO187" s="50"/>
      <c r="AP187" s="51"/>
      <c r="AQ187" s="50"/>
      <c r="AR187" s="50"/>
      <c r="AS187" s="50"/>
      <c r="AT187" s="51"/>
      <c r="AU187" s="50"/>
      <c r="AV187" s="50"/>
      <c r="AW187" s="50"/>
      <c r="AX187" s="51"/>
      <c r="AY187" s="50"/>
      <c r="AZ187" s="50"/>
      <c r="BA187" s="50"/>
      <c r="BB187" s="51"/>
      <c r="BC187" s="50"/>
      <c r="BD187" s="50"/>
      <c r="BE187" s="50"/>
      <c r="BF187" s="51"/>
      <c r="BG187" s="50"/>
      <c r="BH187" s="50"/>
      <c r="BI187" s="50"/>
      <c r="BJ187" s="51"/>
      <c r="BK187" s="50"/>
      <c r="BL187" s="50"/>
      <c r="BM187" s="50"/>
      <c r="BN187" s="51"/>
      <c r="BO187" s="50"/>
      <c r="BP187" s="50"/>
      <c r="BQ187" s="50"/>
      <c r="BR187" s="51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</row>
    <row r="188" spans="1:115" x14ac:dyDescent="0.4">
      <c r="A188" s="69"/>
      <c r="B188" s="167" t="s">
        <v>187</v>
      </c>
      <c r="C188" s="50">
        <f t="shared" ref="C188:R188" si="203">C189-C185-C186+C187</f>
        <v>11.654433900000001</v>
      </c>
      <c r="D188" s="50">
        <f t="shared" si="203"/>
        <v>17.640634260000002</v>
      </c>
      <c r="E188" s="50">
        <f t="shared" si="203"/>
        <v>-5.6621374255882984E-15</v>
      </c>
      <c r="F188" s="50">
        <f t="shared" si="203"/>
        <v>-5.2670968800000004</v>
      </c>
      <c r="G188" s="50">
        <f t="shared" si="203"/>
        <v>108.04854314000001</v>
      </c>
      <c r="H188" s="50">
        <f t="shared" si="203"/>
        <v>-6.280947289999995</v>
      </c>
      <c r="I188" s="50">
        <f t="shared" si="203"/>
        <v>-18.45044343</v>
      </c>
      <c r="J188" s="50">
        <f t="shared" si="203"/>
        <v>-2.776402540000003</v>
      </c>
      <c r="K188" s="50">
        <f t="shared" si="203"/>
        <v>386.93215696999994</v>
      </c>
      <c r="L188" s="50">
        <f t="shared" si="203"/>
        <v>-3.0278825000000182</v>
      </c>
      <c r="M188" s="50">
        <f t="shared" si="203"/>
        <v>-19.036461059999979</v>
      </c>
      <c r="N188" s="50">
        <f t="shared" si="203"/>
        <v>8.1216218699999843</v>
      </c>
      <c r="O188" s="50">
        <f t="shared" si="203"/>
        <v>105.59532925000006</v>
      </c>
      <c r="P188" s="50">
        <f t="shared" si="203"/>
        <v>-2.1890180000028181E-2</v>
      </c>
      <c r="Q188" s="50">
        <f t="shared" si="203"/>
        <v>100.03611814000001</v>
      </c>
      <c r="R188" s="50">
        <f t="shared" si="203"/>
        <v>44.605525280000023</v>
      </c>
      <c r="S188" s="96">
        <v>0</v>
      </c>
      <c r="T188" s="96">
        <v>0</v>
      </c>
      <c r="U188" s="96">
        <v>0</v>
      </c>
      <c r="V188" s="8"/>
      <c r="W188" s="50"/>
      <c r="X188" s="50"/>
      <c r="Y188" s="50"/>
      <c r="Z188" s="51"/>
      <c r="AA188" s="50"/>
      <c r="AB188" s="50"/>
      <c r="AC188" s="50"/>
      <c r="AD188" s="51"/>
      <c r="AE188" s="50"/>
      <c r="AF188" s="50"/>
      <c r="AG188" s="50"/>
      <c r="AH188" s="51"/>
      <c r="AI188" s="50"/>
      <c r="AJ188" s="50"/>
      <c r="AK188" s="50"/>
      <c r="AL188" s="51"/>
      <c r="AM188" s="50"/>
      <c r="AN188" s="50"/>
      <c r="AO188" s="50"/>
      <c r="AP188" s="51"/>
      <c r="AQ188" s="50"/>
      <c r="AR188" s="50"/>
      <c r="AS188" s="50"/>
      <c r="AT188" s="51"/>
      <c r="AU188" s="50"/>
      <c r="AV188" s="50"/>
      <c r="AW188" s="50"/>
      <c r="AX188" s="51"/>
      <c r="AY188" s="50"/>
      <c r="AZ188" s="50"/>
      <c r="BA188" s="50"/>
      <c r="BB188" s="51"/>
      <c r="BC188" s="50"/>
      <c r="BD188" s="50"/>
      <c r="BE188" s="50"/>
      <c r="BF188" s="51"/>
      <c r="BG188" s="50"/>
      <c r="BH188" s="50"/>
      <c r="BI188" s="50"/>
      <c r="BJ188" s="51"/>
      <c r="BK188" s="50"/>
      <c r="BL188" s="50"/>
      <c r="BM188" s="50"/>
      <c r="BN188" s="51"/>
      <c r="BO188" s="50"/>
      <c r="BP188" s="50"/>
      <c r="BQ188" s="50"/>
      <c r="BR188" s="51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</row>
    <row r="189" spans="1:115" x14ac:dyDescent="0.4">
      <c r="A189" s="69"/>
      <c r="B189" s="167" t="s">
        <v>188</v>
      </c>
      <c r="C189" s="50">
        <f t="shared" ref="C189:R189" si="204">C134</f>
        <v>11.54387009</v>
      </c>
      <c r="D189" s="50">
        <f t="shared" si="204"/>
        <v>28.890718170000003</v>
      </c>
      <c r="E189" s="50">
        <f t="shared" si="204"/>
        <v>28.265589329999997</v>
      </c>
      <c r="F189" s="50">
        <f t="shared" si="204"/>
        <v>28.229703559999997</v>
      </c>
      <c r="G189" s="50">
        <f t="shared" si="204"/>
        <v>136.76902715</v>
      </c>
      <c r="H189" s="50">
        <f t="shared" si="204"/>
        <v>123.25854748</v>
      </c>
      <c r="I189" s="50">
        <f t="shared" si="204"/>
        <v>111.85535126000001</v>
      </c>
      <c r="J189" s="50">
        <f t="shared" si="204"/>
        <v>96.975056260000002</v>
      </c>
      <c r="K189" s="50">
        <f t="shared" si="204"/>
        <v>454.17780443999999</v>
      </c>
      <c r="L189" s="50">
        <f t="shared" si="204"/>
        <v>383.84678524999998</v>
      </c>
      <c r="M189" s="50">
        <f t="shared" si="204"/>
        <v>311.00182344000001</v>
      </c>
      <c r="N189" s="50">
        <f t="shared" si="204"/>
        <v>360.20347122999999</v>
      </c>
      <c r="O189" s="50">
        <f t="shared" si="204"/>
        <v>382.09204766000005</v>
      </c>
      <c r="P189" s="50">
        <f t="shared" si="204"/>
        <v>322.14162362000002</v>
      </c>
      <c r="Q189" s="50">
        <f t="shared" si="204"/>
        <v>400.51544997000002</v>
      </c>
      <c r="R189" s="50">
        <f t="shared" si="204"/>
        <v>377.72942968000001</v>
      </c>
      <c r="S189" s="50">
        <f t="shared" ref="S189:U189" si="205">+S185+S186-S187+S188</f>
        <v>317.07436655679999</v>
      </c>
      <c r="T189" s="50">
        <f t="shared" si="205"/>
        <v>270.976518583168</v>
      </c>
      <c r="U189" s="50">
        <f t="shared" si="205"/>
        <v>235.94215412320767</v>
      </c>
      <c r="V189" s="8"/>
      <c r="W189" s="50"/>
      <c r="X189" s="50"/>
      <c r="Y189" s="50"/>
      <c r="Z189" s="51"/>
      <c r="AA189" s="50"/>
      <c r="AB189" s="50"/>
      <c r="AC189" s="50"/>
      <c r="AD189" s="51"/>
      <c r="AE189" s="50"/>
      <c r="AF189" s="50"/>
      <c r="AG189" s="50"/>
      <c r="AH189" s="51"/>
      <c r="AI189" s="50"/>
      <c r="AJ189" s="50"/>
      <c r="AK189" s="50"/>
      <c r="AL189" s="51"/>
      <c r="AM189" s="50"/>
      <c r="AN189" s="50"/>
      <c r="AO189" s="50"/>
      <c r="AP189" s="51"/>
      <c r="AQ189" s="50"/>
      <c r="AR189" s="50"/>
      <c r="AS189" s="50"/>
      <c r="AT189" s="51"/>
      <c r="AU189" s="50"/>
      <c r="AV189" s="50"/>
      <c r="AW189" s="50"/>
      <c r="AX189" s="51"/>
      <c r="AY189" s="50"/>
      <c r="AZ189" s="50"/>
      <c r="BA189" s="50"/>
      <c r="BB189" s="51"/>
      <c r="BC189" s="50"/>
      <c r="BD189" s="50"/>
      <c r="BE189" s="50"/>
      <c r="BF189" s="51"/>
      <c r="BG189" s="50"/>
      <c r="BH189" s="50"/>
      <c r="BI189" s="50"/>
      <c r="BJ189" s="51"/>
      <c r="BK189" s="50"/>
      <c r="BL189" s="50"/>
      <c r="BM189" s="50"/>
      <c r="BN189" s="51"/>
      <c r="BO189" s="50"/>
      <c r="BP189" s="50"/>
      <c r="BQ189" s="50"/>
      <c r="BR189" s="51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</row>
    <row r="190" spans="1:115" x14ac:dyDescent="0.4">
      <c r="A190" s="69"/>
      <c r="B190" s="167" t="s">
        <v>192</v>
      </c>
      <c r="C190" s="90" t="e">
        <f t="shared" ref="C190:R190" si="206">C187/C185</f>
        <v>#DIV/0!</v>
      </c>
      <c r="D190" s="90">
        <f t="shared" si="206"/>
        <v>2.5449539687257515E-2</v>
      </c>
      <c r="E190" s="90">
        <f t="shared" si="206"/>
        <v>2.1637705103818815E-2</v>
      </c>
      <c r="F190" s="90">
        <f t="shared" si="206"/>
        <v>2.2580999198292678E-2</v>
      </c>
      <c r="G190" s="90">
        <f t="shared" si="206"/>
        <v>0.30057083957561759</v>
      </c>
      <c r="H190" s="90">
        <f t="shared" si="206"/>
        <v>9.0517967174119807E-2</v>
      </c>
      <c r="I190" s="90">
        <f t="shared" si="206"/>
        <v>0</v>
      </c>
      <c r="J190" s="90">
        <f t="shared" si="206"/>
        <v>0.10965098398815756</v>
      </c>
      <c r="K190" s="90">
        <f t="shared" si="206"/>
        <v>0.42259157200307462</v>
      </c>
      <c r="L190" s="90">
        <f t="shared" si="206"/>
        <v>0.15649216744009675</v>
      </c>
      <c r="M190" s="90">
        <f t="shared" si="206"/>
        <v>0.17926033952631623</v>
      </c>
      <c r="N190" s="90">
        <f t="shared" si="206"/>
        <v>0.25841629428743518</v>
      </c>
      <c r="O190" s="90">
        <f t="shared" si="206"/>
        <v>0.23840663274776294</v>
      </c>
      <c r="P190" s="90">
        <f t="shared" si="206"/>
        <v>0.2183466899427278</v>
      </c>
      <c r="Q190" s="90">
        <f t="shared" si="206"/>
        <v>0.26529416108863901</v>
      </c>
      <c r="R190" s="90">
        <f t="shared" si="206"/>
        <v>0.2455013807766093</v>
      </c>
      <c r="S190" s="250">
        <v>0.24</v>
      </c>
      <c r="T190" s="250">
        <v>0.24</v>
      </c>
      <c r="U190" s="250">
        <v>0.24</v>
      </c>
      <c r="V190" s="8"/>
      <c r="W190" s="90"/>
      <c r="X190" s="90"/>
      <c r="Y190" s="90"/>
      <c r="Z190" s="144"/>
      <c r="AA190" s="90"/>
      <c r="AB190" s="90"/>
      <c r="AC190" s="90"/>
      <c r="AD190" s="144"/>
      <c r="AE190" s="90"/>
      <c r="AF190" s="90"/>
      <c r="AG190" s="90"/>
      <c r="AH190" s="144"/>
      <c r="AI190" s="90"/>
      <c r="AJ190" s="90"/>
      <c r="AK190" s="90"/>
      <c r="AL190" s="144"/>
      <c r="AM190" s="90"/>
      <c r="AN190" s="90"/>
      <c r="AO190" s="90"/>
      <c r="AP190" s="144"/>
      <c r="AQ190" s="90"/>
      <c r="AR190" s="90"/>
      <c r="AS190" s="90"/>
      <c r="AT190" s="144"/>
      <c r="AU190" s="90"/>
      <c r="AV190" s="90"/>
      <c r="AW190" s="90"/>
      <c r="AX190" s="144"/>
      <c r="AY190" s="90"/>
      <c r="AZ190" s="90"/>
      <c r="BA190" s="90"/>
      <c r="BB190" s="144"/>
      <c r="BC190" s="90"/>
      <c r="BD190" s="90"/>
      <c r="BE190" s="90"/>
      <c r="BF190" s="144"/>
      <c r="BG190" s="90"/>
      <c r="BH190" s="90"/>
      <c r="BI190" s="90"/>
      <c r="BJ190" s="144"/>
      <c r="BK190" s="90"/>
      <c r="BL190" s="90"/>
      <c r="BM190" s="90"/>
      <c r="BN190" s="144"/>
      <c r="BO190" s="90"/>
      <c r="BP190" s="90"/>
      <c r="BQ190" s="90"/>
      <c r="BR190" s="144"/>
      <c r="BS190" s="90"/>
      <c r="BT190" s="90"/>
      <c r="BU190" s="90"/>
      <c r="BV190" s="90"/>
      <c r="BW190" s="90"/>
      <c r="BX190" s="90"/>
      <c r="BY190" s="90"/>
      <c r="BZ190" s="90"/>
      <c r="CA190" s="90"/>
      <c r="CB190" s="90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</row>
    <row r="191" spans="1:115" x14ac:dyDescent="0.4">
      <c r="A191" s="69"/>
      <c r="B191" s="167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8"/>
      <c r="W191" s="50"/>
      <c r="X191" s="50"/>
      <c r="Y191" s="50"/>
      <c r="Z191" s="51"/>
      <c r="AA191" s="50"/>
      <c r="AB191" s="50"/>
      <c r="AC191" s="50"/>
      <c r="AD191" s="51"/>
      <c r="AE191" s="50"/>
      <c r="AF191" s="50"/>
      <c r="AG191" s="50"/>
      <c r="AH191" s="51"/>
      <c r="AI191" s="50"/>
      <c r="AJ191" s="50"/>
      <c r="AK191" s="50"/>
      <c r="AL191" s="51"/>
      <c r="AM191" s="50"/>
      <c r="AN191" s="50"/>
      <c r="AO191" s="50"/>
      <c r="AP191" s="7"/>
      <c r="AQ191" s="8"/>
      <c r="AR191" s="8"/>
      <c r="AS191" s="37"/>
      <c r="AT191" s="36"/>
      <c r="AU191" s="37"/>
      <c r="AV191" s="37"/>
      <c r="AW191" s="37"/>
      <c r="AX191" s="36"/>
      <c r="AY191" s="37"/>
      <c r="AZ191" s="37"/>
      <c r="BA191" s="37"/>
      <c r="BB191" s="36"/>
      <c r="BC191" s="37"/>
      <c r="BD191" s="37"/>
      <c r="BE191" s="37"/>
      <c r="BF191" s="36"/>
      <c r="BG191" s="37"/>
      <c r="BH191" s="37"/>
      <c r="BI191" s="37"/>
      <c r="BJ191" s="36"/>
      <c r="BK191" s="37"/>
      <c r="BL191" s="37"/>
      <c r="BM191" s="37"/>
      <c r="BN191" s="36"/>
      <c r="BO191" s="37"/>
      <c r="BP191" s="37"/>
      <c r="BQ191" s="37"/>
      <c r="BR191" s="36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</row>
    <row r="192" spans="1:115" x14ac:dyDescent="0.4">
      <c r="A192" s="29"/>
      <c r="B192" s="15" t="s">
        <v>193</v>
      </c>
      <c r="C192" s="23"/>
      <c r="D192" s="23"/>
      <c r="E192" s="23"/>
      <c r="F192" s="23"/>
      <c r="G192" s="23"/>
      <c r="H192" s="23"/>
      <c r="I192" s="23">
        <v>2015</v>
      </c>
      <c r="J192" s="23">
        <v>2016</v>
      </c>
      <c r="K192" s="23">
        <v>2017</v>
      </c>
      <c r="L192" s="23">
        <v>2018</v>
      </c>
      <c r="M192" s="23">
        <f>M4</f>
        <v>2019</v>
      </c>
      <c r="N192" s="23">
        <f>N4</f>
        <v>2020</v>
      </c>
      <c r="O192" s="23">
        <v>2021</v>
      </c>
      <c r="P192" s="23">
        <v>2022</v>
      </c>
      <c r="Q192" s="23">
        <v>2023</v>
      </c>
      <c r="R192" s="19">
        <v>2024</v>
      </c>
      <c r="S192" s="20">
        <v>2025</v>
      </c>
      <c r="T192" s="20">
        <v>2026</v>
      </c>
      <c r="U192" s="20">
        <v>2027</v>
      </c>
      <c r="V192" s="11"/>
      <c r="W192" s="214"/>
      <c r="X192" s="214"/>
      <c r="Y192" s="214"/>
      <c r="Z192" s="215"/>
      <c r="AA192" s="214"/>
      <c r="AB192" s="214"/>
      <c r="AC192" s="214"/>
      <c r="AD192" s="215"/>
      <c r="AE192" s="214"/>
      <c r="AF192" s="214"/>
      <c r="AG192" s="214"/>
      <c r="AH192" s="215"/>
      <c r="AI192" s="214"/>
      <c r="AJ192" s="214"/>
      <c r="AK192" s="214"/>
      <c r="AL192" s="215"/>
      <c r="AM192" s="214"/>
      <c r="AN192" s="214"/>
      <c r="AO192" s="214"/>
      <c r="AP192" s="255"/>
      <c r="AQ192" s="21"/>
      <c r="AR192" s="21"/>
      <c r="AS192" s="21"/>
      <c r="AT192" s="255"/>
      <c r="AU192" s="21"/>
      <c r="AV192" s="21"/>
      <c r="AW192" s="21"/>
      <c r="AX192" s="255"/>
      <c r="AY192" s="21"/>
      <c r="AZ192" s="21"/>
      <c r="BA192" s="21"/>
      <c r="BB192" s="255"/>
      <c r="BC192" s="21"/>
      <c r="BD192" s="21"/>
      <c r="BE192" s="21"/>
      <c r="BF192" s="255"/>
      <c r="BG192" s="21"/>
      <c r="BH192" s="21"/>
      <c r="BI192" s="21"/>
      <c r="BJ192" s="255"/>
      <c r="BK192" s="21"/>
      <c r="BL192" s="21"/>
      <c r="BM192" s="21"/>
      <c r="BN192" s="255"/>
      <c r="BO192" s="21"/>
      <c r="BP192" s="21"/>
      <c r="BQ192" s="21"/>
      <c r="BR192" s="255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</row>
    <row r="193" spans="1:115" x14ac:dyDescent="0.4">
      <c r="A193" s="256"/>
      <c r="B193" s="50" t="s">
        <v>194</v>
      </c>
      <c r="C193" s="257">
        <f t="shared" ref="C193:U193" si="207">C7/AVERAGE(B138:C138)</f>
        <v>0.59276477941692463</v>
      </c>
      <c r="D193" s="257">
        <f t="shared" si="207"/>
        <v>0.66172539881501646</v>
      </c>
      <c r="E193" s="257">
        <f t="shared" si="207"/>
        <v>0.63015208489647256</v>
      </c>
      <c r="F193" s="257">
        <f t="shared" si="207"/>
        <v>0.2783423989903529</v>
      </c>
      <c r="G193" s="257">
        <f t="shared" si="207"/>
        <v>0.14092061720976548</v>
      </c>
      <c r="H193" s="257">
        <f t="shared" si="207"/>
        <v>0.17015283504518966</v>
      </c>
      <c r="I193" s="257">
        <f t="shared" si="207"/>
        <v>0.18720658960613731</v>
      </c>
      <c r="J193" s="257">
        <f t="shared" si="207"/>
        <v>0.20671220999500953</v>
      </c>
      <c r="K193" s="257">
        <f t="shared" si="207"/>
        <v>0.55840660733837244</v>
      </c>
      <c r="L193" s="257">
        <f t="shared" si="207"/>
        <v>0.64899202598682859</v>
      </c>
      <c r="M193" s="257">
        <f t="shared" si="207"/>
        <v>0.51236691429666026</v>
      </c>
      <c r="N193" s="257">
        <f t="shared" si="207"/>
        <v>0.58486081517472255</v>
      </c>
      <c r="O193" s="257">
        <f t="shared" si="207"/>
        <v>0.50996020363698669</v>
      </c>
      <c r="P193" s="257">
        <f t="shared" si="207"/>
        <v>0.58220464451591392</v>
      </c>
      <c r="Q193" s="257">
        <f t="shared" si="207"/>
        <v>0.5862630976475024</v>
      </c>
      <c r="R193" s="257">
        <f t="shared" si="207"/>
        <v>0.9764961435688877</v>
      </c>
      <c r="S193" s="257">
        <f t="shared" si="207"/>
        <v>1.0360519287374037</v>
      </c>
      <c r="T193" s="257">
        <f t="shared" si="207"/>
        <v>1.0687227914256034</v>
      </c>
      <c r="U193" s="257">
        <f t="shared" si="207"/>
        <v>0.92545698675795518</v>
      </c>
      <c r="W193" s="257"/>
      <c r="X193" s="257"/>
      <c r="Y193" s="257"/>
      <c r="Z193" s="258"/>
      <c r="AA193" s="257"/>
      <c r="AB193" s="257"/>
      <c r="AC193" s="257"/>
      <c r="AD193" s="258"/>
      <c r="AE193" s="257"/>
      <c r="AF193" s="257"/>
      <c r="AG193" s="257"/>
      <c r="AH193" s="258"/>
      <c r="AI193" s="257"/>
      <c r="AJ193" s="257"/>
      <c r="AK193" s="257"/>
      <c r="AL193" s="258"/>
      <c r="AM193" s="257"/>
      <c r="AN193" s="257"/>
      <c r="AO193" s="257"/>
      <c r="AP193" s="36"/>
      <c r="AQ193" s="37"/>
      <c r="AR193" s="37"/>
      <c r="AS193" s="37"/>
      <c r="AT193" s="36"/>
      <c r="AU193" s="37"/>
      <c r="AV193" s="37"/>
      <c r="AW193" s="37"/>
      <c r="AX193" s="36"/>
      <c r="AY193" s="37"/>
      <c r="AZ193" s="37"/>
      <c r="BA193" s="37"/>
      <c r="BB193" s="36"/>
      <c r="BC193" s="37"/>
      <c r="BD193" s="37"/>
      <c r="BE193" s="37"/>
      <c r="BF193" s="36"/>
      <c r="BG193" s="37"/>
      <c r="BH193" s="37"/>
      <c r="BI193" s="37"/>
      <c r="BJ193" s="36"/>
      <c r="BK193" s="37"/>
      <c r="BL193" s="37"/>
      <c r="BM193" s="37"/>
      <c r="BN193" s="36"/>
      <c r="BO193" s="37"/>
      <c r="BP193" s="37"/>
      <c r="BQ193" s="37"/>
      <c r="BR193" s="36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</row>
    <row r="194" spans="1:115" x14ac:dyDescent="0.4">
      <c r="A194" s="256"/>
      <c r="B194" s="50" t="s">
        <v>195</v>
      </c>
      <c r="C194" s="257">
        <f t="shared" ref="C194:U194" si="208">AVERAGE(B138:C138)/AVERAGE(B155:C155)</f>
        <v>1.7744356886030748</v>
      </c>
      <c r="D194" s="257">
        <f t="shared" si="208"/>
        <v>1.545482739939342</v>
      </c>
      <c r="E194" s="257">
        <f t="shared" si="208"/>
        <v>1.4186991454535274</v>
      </c>
      <c r="F194" s="257">
        <f t="shared" si="208"/>
        <v>1.1517202144916474</v>
      </c>
      <c r="G194" s="257">
        <f t="shared" si="208"/>
        <v>1.223304477988268</v>
      </c>
      <c r="H194" s="257">
        <f t="shared" si="208"/>
        <v>1.2992328036345313</v>
      </c>
      <c r="I194" s="257">
        <f t="shared" si="208"/>
        <v>1.1865267769965746</v>
      </c>
      <c r="J194" s="257">
        <f t="shared" si="208"/>
        <v>1.1535120189197476</v>
      </c>
      <c r="K194" s="257">
        <f t="shared" si="208"/>
        <v>1.8506886181130495</v>
      </c>
      <c r="L194" s="257">
        <f t="shared" si="208"/>
        <v>1.8093382699510832</v>
      </c>
      <c r="M194" s="257">
        <f t="shared" si="208"/>
        <v>1.586930373852957</v>
      </c>
      <c r="N194" s="257">
        <f t="shared" si="208"/>
        <v>1.6271476001887917</v>
      </c>
      <c r="O194" s="257">
        <f t="shared" si="208"/>
        <v>1.5574439431552103</v>
      </c>
      <c r="P194" s="257">
        <f t="shared" si="208"/>
        <v>1.4133922931228113</v>
      </c>
      <c r="Q194" s="257">
        <f t="shared" si="208"/>
        <v>1.3952303455953852</v>
      </c>
      <c r="R194" s="257">
        <f t="shared" si="208"/>
        <v>1.4634872501332115</v>
      </c>
      <c r="S194" s="257">
        <f t="shared" si="208"/>
        <v>1.4340031161693989</v>
      </c>
      <c r="T194" s="257">
        <f t="shared" si="208"/>
        <v>1.3340989880815786</v>
      </c>
      <c r="U194" s="257">
        <f t="shared" si="208"/>
        <v>1.2727437025339294</v>
      </c>
      <c r="W194" s="259"/>
      <c r="X194" s="259"/>
      <c r="Y194" s="259"/>
      <c r="Z194" s="260"/>
      <c r="AA194" s="259"/>
      <c r="AB194" s="259"/>
      <c r="AC194" s="259"/>
      <c r="AD194" s="260"/>
      <c r="AE194" s="259"/>
      <c r="AF194" s="259"/>
      <c r="AG194" s="259"/>
      <c r="AH194" s="260"/>
      <c r="AI194" s="259"/>
      <c r="AJ194" s="259"/>
      <c r="AK194" s="259"/>
      <c r="AL194" s="260"/>
      <c r="AM194" s="259"/>
      <c r="AN194" s="259"/>
      <c r="AO194" s="259"/>
      <c r="AP194" s="36"/>
      <c r="AQ194" s="37"/>
      <c r="AR194" s="37"/>
      <c r="AS194" s="37"/>
      <c r="AT194" s="36"/>
      <c r="AU194" s="37"/>
      <c r="AV194" s="37"/>
      <c r="AW194" s="37"/>
      <c r="AX194" s="36"/>
      <c r="AY194" s="37"/>
      <c r="AZ194" s="37"/>
      <c r="BA194" s="37"/>
      <c r="BB194" s="36"/>
      <c r="BC194" s="37"/>
      <c r="BD194" s="37"/>
      <c r="BE194" s="37"/>
      <c r="BF194" s="36"/>
      <c r="BG194" s="37"/>
      <c r="BH194" s="37"/>
      <c r="BI194" s="37"/>
      <c r="BJ194" s="36"/>
      <c r="BK194" s="37"/>
      <c r="BL194" s="37"/>
      <c r="BM194" s="37"/>
      <c r="BN194" s="36"/>
      <c r="BO194" s="37"/>
      <c r="BP194" s="37"/>
      <c r="BQ194" s="37"/>
      <c r="BR194" s="36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</row>
    <row r="195" spans="1:115" x14ac:dyDescent="0.4">
      <c r="A195" s="256"/>
      <c r="B195" s="50" t="s">
        <v>196</v>
      </c>
      <c r="C195" s="261">
        <f t="shared" ref="C195:S195" si="209">C90</f>
        <v>0.34602489604509801</v>
      </c>
      <c r="D195" s="261">
        <f t="shared" si="209"/>
        <v>0.33927015027525942</v>
      </c>
      <c r="E195" s="261">
        <f t="shared" si="209"/>
        <v>0.3159592149923503</v>
      </c>
      <c r="F195" s="261">
        <f t="shared" si="209"/>
        <v>0.24666526115615411</v>
      </c>
      <c r="G195" s="261">
        <f t="shared" si="209"/>
        <v>0.15731285376739051</v>
      </c>
      <c r="H195" s="261">
        <f t="shared" si="209"/>
        <v>4.8453394670465028E-2</v>
      </c>
      <c r="I195" s="261">
        <f t="shared" si="209"/>
        <v>4.5666517245070259E-2</v>
      </c>
      <c r="J195" s="261">
        <f t="shared" si="209"/>
        <v>7.6387343395742699E-2</v>
      </c>
      <c r="K195" s="261">
        <f t="shared" si="209"/>
        <v>6.8519175671018992E-2</v>
      </c>
      <c r="L195" s="261">
        <f t="shared" si="209"/>
        <v>0.12084522995675386</v>
      </c>
      <c r="M195" s="261">
        <f t="shared" si="209"/>
        <v>0.1079281334167658</v>
      </c>
      <c r="N195" s="261">
        <f t="shared" si="209"/>
        <v>0.12277076185560235</v>
      </c>
      <c r="O195" s="261">
        <f>O90</f>
        <v>0.11396114284612568</v>
      </c>
      <c r="P195" s="261">
        <f t="shared" si="209"/>
        <v>0.12694637210968451</v>
      </c>
      <c r="Q195" s="261">
        <f>Q90</f>
        <v>0.20279258228493446</v>
      </c>
      <c r="R195" s="261">
        <f t="shared" si="209"/>
        <v>0.21672329850069377</v>
      </c>
      <c r="S195" s="261">
        <f t="shared" si="209"/>
        <v>0.28234377385264109</v>
      </c>
      <c r="T195" s="261">
        <f>T90</f>
        <v>0.32680196889373075</v>
      </c>
      <c r="U195" s="261">
        <f>U90</f>
        <v>0.33364989761020086</v>
      </c>
      <c r="W195" s="262"/>
      <c r="X195" s="262"/>
      <c r="Y195" s="262"/>
      <c r="Z195" s="263"/>
      <c r="AA195" s="262"/>
      <c r="AB195" s="262"/>
      <c r="AC195" s="262"/>
      <c r="AD195" s="263"/>
      <c r="AE195" s="262"/>
      <c r="AF195" s="262"/>
      <c r="AG195" s="262"/>
      <c r="AH195" s="263"/>
      <c r="AI195" s="262"/>
      <c r="AJ195" s="262"/>
      <c r="AK195" s="262"/>
      <c r="AL195" s="263"/>
      <c r="AM195" s="262"/>
      <c r="AN195" s="262"/>
      <c r="AO195" s="262"/>
      <c r="AP195" s="36"/>
      <c r="AQ195" s="37"/>
      <c r="AR195" s="37"/>
      <c r="AS195" s="37"/>
      <c r="AT195" s="36"/>
      <c r="AU195" s="37"/>
      <c r="AV195" s="37"/>
      <c r="AW195" s="37"/>
      <c r="AX195" s="36"/>
      <c r="AY195" s="37"/>
      <c r="AZ195" s="37"/>
      <c r="BA195" s="37"/>
      <c r="BB195" s="36"/>
      <c r="BC195" s="37"/>
      <c r="BD195" s="37"/>
      <c r="BE195" s="37"/>
      <c r="BF195" s="36"/>
      <c r="BG195" s="37"/>
      <c r="BH195" s="37"/>
      <c r="BI195" s="37"/>
      <c r="BJ195" s="36"/>
      <c r="BK195" s="37"/>
      <c r="BL195" s="37"/>
      <c r="BM195" s="37"/>
      <c r="BN195" s="36"/>
      <c r="BO195" s="37"/>
      <c r="BP195" s="37"/>
      <c r="BQ195" s="37"/>
      <c r="BR195" s="36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</row>
    <row r="196" spans="1:115" x14ac:dyDescent="0.4">
      <c r="A196" s="256"/>
      <c r="B196" s="50" t="s">
        <v>197</v>
      </c>
      <c r="C196" s="247">
        <f t="shared" ref="C196:L196" si="210">C193*C194*C195</f>
        <v>0.3639569371546687</v>
      </c>
      <c r="D196" s="247">
        <f t="shared" si="210"/>
        <v>0.34696655553344308</v>
      </c>
      <c r="E196" s="247">
        <f t="shared" si="210"/>
        <v>0.28246634525124054</v>
      </c>
      <c r="F196" s="247">
        <f t="shared" si="210"/>
        <v>7.907411607381766E-2</v>
      </c>
      <c r="G196" s="247">
        <f t="shared" si="210"/>
        <v>2.7118977557993272E-2</v>
      </c>
      <c r="H196" s="247">
        <f t="shared" si="210"/>
        <v>1.0711502074979316E-2</v>
      </c>
      <c r="I196" s="247">
        <f t="shared" si="210"/>
        <v>1.0143703976803888E-2</v>
      </c>
      <c r="J196" s="247">
        <f t="shared" si="210"/>
        <v>1.8214181523425719E-2</v>
      </c>
      <c r="K196" s="247">
        <f t="shared" si="210"/>
        <v>7.0810234388081539E-2</v>
      </c>
      <c r="L196" s="247">
        <f t="shared" si="210"/>
        <v>0.14190204112968724</v>
      </c>
      <c r="M196" s="261">
        <f>M193*M194*M195</f>
        <v>8.7755352791669114E-2</v>
      </c>
      <c r="N196" s="261">
        <f>N193*N194*N195</f>
        <v>0.116835393641358</v>
      </c>
      <c r="O196" s="261">
        <f>O193*O194*O195</f>
        <v>9.0511863376652471E-2</v>
      </c>
      <c r="P196" s="247">
        <f t="shared" ref="P196:U196" si="211">P193*P194*P195</f>
        <v>0.10446208230337728</v>
      </c>
      <c r="Q196" s="247">
        <f>Q193*Q194*Q195</f>
        <v>0.16587866716455785</v>
      </c>
      <c r="R196" s="247">
        <f t="shared" si="211"/>
        <v>0.30971702408362251</v>
      </c>
      <c r="S196" s="247">
        <f t="shared" si="211"/>
        <v>0.41947862319434909</v>
      </c>
      <c r="T196" s="247">
        <f t="shared" si="211"/>
        <v>0.46594836304217641</v>
      </c>
      <c r="U196" s="247">
        <f t="shared" si="211"/>
        <v>0.39299605537700072</v>
      </c>
      <c r="W196" s="38"/>
      <c r="X196" s="38"/>
      <c r="Y196" s="38"/>
      <c r="Z196" s="264"/>
      <c r="AA196" s="38"/>
      <c r="AB196" s="38"/>
      <c r="AC196" s="38"/>
      <c r="AD196" s="264"/>
      <c r="AE196" s="38"/>
      <c r="AF196" s="38"/>
      <c r="AG196" s="38"/>
      <c r="AH196" s="264"/>
      <c r="AI196" s="38"/>
      <c r="AJ196" s="38"/>
      <c r="AK196" s="247"/>
      <c r="AL196" s="265"/>
      <c r="AM196" s="247"/>
      <c r="AN196" s="247"/>
      <c r="AO196" s="247"/>
    </row>
    <row r="197" spans="1:115" x14ac:dyDescent="0.4">
      <c r="A197" s="256"/>
      <c r="B197" s="50" t="s">
        <v>198</v>
      </c>
      <c r="C197" s="247">
        <f t="shared" ref="C197:U197" si="212">C40/AVERAGE(B138:C138)</f>
        <v>0.20511137117693679</v>
      </c>
      <c r="D197" s="247">
        <f t="shared" si="212"/>
        <v>0.2245036754969266</v>
      </c>
      <c r="E197" s="247">
        <f t="shared" si="212"/>
        <v>0.19910235806968238</v>
      </c>
      <c r="F197" s="247">
        <f t="shared" si="212"/>
        <v>6.8657400537785851E-2</v>
      </c>
      <c r="G197" s="247">
        <f t="shared" si="212"/>
        <v>2.2168624447930253E-2</v>
      </c>
      <c r="H197" s="247">
        <f t="shared" si="212"/>
        <v>8.2444824707431068E-3</v>
      </c>
      <c r="I197" s="247">
        <f t="shared" si="212"/>
        <v>8.5490729526394599E-3</v>
      </c>
      <c r="J197" s="247">
        <f t="shared" si="212"/>
        <v>1.5790196568981667E-2</v>
      </c>
      <c r="K197" s="247">
        <f t="shared" si="212"/>
        <v>3.8261560424075663E-2</v>
      </c>
      <c r="L197" s="247">
        <f t="shared" si="212"/>
        <v>7.8427590620477883E-2</v>
      </c>
      <c r="M197" s="261">
        <f t="shared" si="212"/>
        <v>5.5298804684546565E-2</v>
      </c>
      <c r="N197" s="261">
        <f t="shared" si="212"/>
        <v>7.1803807858489319E-2</v>
      </c>
      <c r="O197" s="261">
        <f t="shared" si="212"/>
        <v>5.8115647612513976E-2</v>
      </c>
      <c r="P197" s="247">
        <f t="shared" si="212"/>
        <v>7.3908767446703813E-2</v>
      </c>
      <c r="Q197" s="247">
        <f t="shared" si="212"/>
        <v>0.11888980747030169</v>
      </c>
      <c r="R197" s="247">
        <f t="shared" si="212"/>
        <v>0.21162946520745635</v>
      </c>
      <c r="S197" s="247">
        <f t="shared" si="212"/>
        <v>0.29252281146702613</v>
      </c>
      <c r="T197" s="247">
        <f t="shared" si="212"/>
        <v>0.34926071243949119</v>
      </c>
      <c r="U197" s="247">
        <f t="shared" si="212"/>
        <v>0.30877862887443674</v>
      </c>
      <c r="W197" s="38"/>
      <c r="X197" s="38"/>
      <c r="Y197" s="38"/>
      <c r="Z197" s="264"/>
      <c r="AA197" s="38"/>
      <c r="AB197" s="38"/>
      <c r="AC197" s="38"/>
      <c r="AD197" s="264"/>
      <c r="AE197" s="38"/>
      <c r="AF197" s="38"/>
      <c r="AG197" s="38"/>
      <c r="AH197" s="264"/>
      <c r="AI197" s="38"/>
      <c r="AJ197" s="38"/>
      <c r="AK197" s="247"/>
      <c r="AL197" s="265"/>
      <c r="AM197" s="247"/>
      <c r="AN197" s="247"/>
      <c r="AO197" s="247"/>
    </row>
    <row r="198" spans="1:115" x14ac:dyDescent="0.4">
      <c r="A198" s="256"/>
      <c r="B198" s="50"/>
      <c r="C198" s="247"/>
      <c r="D198" s="247"/>
      <c r="E198" s="247"/>
      <c r="F198" s="247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  <c r="S198" s="247"/>
      <c r="T198" s="247"/>
      <c r="U198" s="247"/>
      <c r="W198" s="38"/>
      <c r="X198" s="38"/>
      <c r="Y198" s="38"/>
      <c r="Z198" s="264"/>
      <c r="AA198" s="38"/>
      <c r="AB198" s="38"/>
      <c r="AC198" s="38"/>
      <c r="AD198" s="264"/>
      <c r="AE198" s="38"/>
      <c r="AF198" s="38"/>
      <c r="AG198" s="38"/>
      <c r="AH198" s="264"/>
      <c r="AI198" s="38"/>
      <c r="AJ198" s="38"/>
      <c r="AK198" s="247"/>
      <c r="AL198" s="265"/>
      <c r="AM198" s="247"/>
      <c r="AN198" s="247"/>
      <c r="AO198" s="247"/>
    </row>
    <row r="199" spans="1:115" x14ac:dyDescent="0.4">
      <c r="A199" s="69"/>
      <c r="B199" s="167" t="s">
        <v>199</v>
      </c>
      <c r="C199" s="90">
        <f t="shared" ref="C199:L199" si="213">-C216/C7</f>
        <v>0.13867881306435625</v>
      </c>
      <c r="D199" s="90">
        <f t="shared" si="213"/>
        <v>0.38206584703253588</v>
      </c>
      <c r="E199" s="90">
        <f t="shared" si="213"/>
        <v>0.30830989362800504</v>
      </c>
      <c r="F199" s="90">
        <f t="shared" si="213"/>
        <v>0.23164323526512948</v>
      </c>
      <c r="G199" s="90">
        <f t="shared" si="213"/>
        <v>1.0571805241593482</v>
      </c>
      <c r="H199" s="90">
        <f t="shared" si="213"/>
        <v>0.53429463071103078</v>
      </c>
      <c r="I199" s="90">
        <f t="shared" si="213"/>
        <v>0.43510435382202906</v>
      </c>
      <c r="J199" s="90">
        <f t="shared" si="213"/>
        <v>0.26914705206357847</v>
      </c>
      <c r="K199" s="90">
        <f t="shared" si="213"/>
        <v>0.17851649465921787</v>
      </c>
      <c r="L199" s="90">
        <f t="shared" si="213"/>
        <v>0.11786228357986697</v>
      </c>
      <c r="M199" s="90">
        <f>-M216/M7</f>
        <v>0.15959603751440726</v>
      </c>
      <c r="N199" s="90">
        <f>-N216/N7</f>
        <v>0.13562046977735845</v>
      </c>
      <c r="O199" s="90">
        <f>-O216/O7</f>
        <v>0.10910127798984842</v>
      </c>
      <c r="P199" s="90">
        <f t="shared" ref="P199:U199" si="214">-P216/P7</f>
        <v>8.212522650924782E-2</v>
      </c>
      <c r="Q199" s="90">
        <f>-Q216/Q7</f>
        <v>0.15902769400599825</v>
      </c>
      <c r="R199" s="90">
        <f t="shared" si="214"/>
        <v>0.12011307247060549</v>
      </c>
      <c r="S199" s="90">
        <f t="shared" si="214"/>
        <v>9.9006708535178137E-2</v>
      </c>
      <c r="T199" s="90">
        <f t="shared" si="214"/>
        <v>6.1789017520760069E-2</v>
      </c>
      <c r="U199" s="90">
        <f t="shared" si="214"/>
        <v>4.0813956411350542E-2</v>
      </c>
      <c r="V199" s="8"/>
      <c r="W199" s="50"/>
      <c r="X199" s="50"/>
      <c r="Y199" s="50"/>
      <c r="Z199" s="51"/>
      <c r="AA199" s="50"/>
      <c r="AB199" s="50"/>
      <c r="AC199" s="50"/>
      <c r="AD199" s="51"/>
      <c r="AE199" s="50"/>
      <c r="AF199" s="50"/>
      <c r="AG199" s="50"/>
      <c r="AH199" s="51"/>
      <c r="AI199" s="50"/>
      <c r="AJ199" s="50"/>
      <c r="AK199" s="50"/>
      <c r="AL199" s="51"/>
      <c r="AM199" s="50"/>
      <c r="AN199" s="50"/>
      <c r="AO199" s="50"/>
      <c r="AP199" s="7"/>
      <c r="AQ199" s="8"/>
      <c r="AR199" s="8"/>
      <c r="AS199" s="37"/>
      <c r="AT199" s="36"/>
      <c r="AU199" s="37"/>
      <c r="AV199" s="37"/>
      <c r="AW199" s="37"/>
      <c r="AX199" s="36"/>
      <c r="AY199" s="37"/>
      <c r="AZ199" s="37"/>
      <c r="BA199" s="37"/>
      <c r="BB199" s="36"/>
      <c r="BC199" s="37"/>
      <c r="BD199" s="37"/>
      <c r="BE199" s="37"/>
      <c r="BF199" s="36"/>
      <c r="BG199" s="37"/>
      <c r="BH199" s="37"/>
      <c r="BI199" s="37"/>
      <c r="BJ199" s="36"/>
      <c r="BK199" s="37"/>
      <c r="BL199" s="37"/>
      <c r="BM199" s="37"/>
      <c r="BN199" s="36"/>
      <c r="BO199" s="37"/>
      <c r="BP199" s="37"/>
      <c r="BQ199" s="37"/>
      <c r="BR199" s="36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</row>
    <row r="200" spans="1:115" x14ac:dyDescent="0.4">
      <c r="A200" s="69"/>
      <c r="B200" s="50" t="s">
        <v>200</v>
      </c>
      <c r="C200" s="50">
        <f>C214+C220</f>
        <v>21.71943023</v>
      </c>
      <c r="D200" s="50">
        <f t="shared" ref="D200:J200" si="215">D214+D220</f>
        <v>-14.85054744</v>
      </c>
      <c r="E200" s="50">
        <f t="shared" si="215"/>
        <v>-16.453094299999997</v>
      </c>
      <c r="F200" s="50">
        <f t="shared" si="215"/>
        <v>-255.48474293999999</v>
      </c>
      <c r="G200" s="50">
        <f t="shared" si="215"/>
        <v>37.551211270000003</v>
      </c>
      <c r="H200" s="50">
        <f t="shared" si="215"/>
        <v>-59.576215609999998</v>
      </c>
      <c r="I200" s="50">
        <f t="shared" si="215"/>
        <v>95.345594759999997</v>
      </c>
      <c r="J200" s="50">
        <f t="shared" si="215"/>
        <v>-46.818038090000002</v>
      </c>
      <c r="K200" s="50">
        <f>K214+K216</f>
        <v>-379.42116648000001</v>
      </c>
      <c r="L200" s="50">
        <f t="shared" ref="L200:T200" si="216">L214+L216</f>
        <v>52.278555290000099</v>
      </c>
      <c r="M200" s="50">
        <f t="shared" si="216"/>
        <v>-189.84870175999993</v>
      </c>
      <c r="N200" s="50">
        <f t="shared" si="216"/>
        <v>-934.38051329999996</v>
      </c>
      <c r="O200" s="50">
        <f t="shared" si="216"/>
        <v>-26.817895810000095</v>
      </c>
      <c r="P200" s="50">
        <f t="shared" si="216"/>
        <v>1657.1062941600003</v>
      </c>
      <c r="Q200" s="50">
        <f t="shared" si="216"/>
        <v>192.67056389000004</v>
      </c>
      <c r="R200" s="50">
        <f t="shared" si="216"/>
        <v>298.42563588999974</v>
      </c>
      <c r="S200" s="50">
        <f t="shared" si="216"/>
        <v>2302.3290549773296</v>
      </c>
      <c r="T200" s="50">
        <f t="shared" si="216"/>
        <v>9142.2752224738651</v>
      </c>
      <c r="U200" s="50">
        <f>U214+U216</f>
        <v>14494.622386844925</v>
      </c>
      <c r="V200" s="8"/>
      <c r="W200" s="50"/>
      <c r="X200" s="50"/>
      <c r="Y200" s="50"/>
      <c r="Z200" s="51"/>
      <c r="AA200" s="50"/>
      <c r="AB200" s="50"/>
      <c r="AC200" s="50"/>
      <c r="AD200" s="51"/>
      <c r="AE200" s="50"/>
      <c r="AF200" s="50"/>
      <c r="AG200" s="50"/>
      <c r="AH200" s="51"/>
      <c r="AI200" s="50"/>
      <c r="AJ200" s="50"/>
      <c r="AK200" s="50"/>
      <c r="AL200" s="51"/>
      <c r="AM200" s="50"/>
      <c r="AN200" s="50"/>
      <c r="AO200" s="50"/>
      <c r="AP200" s="7"/>
      <c r="AQ200" s="8"/>
      <c r="AR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</row>
    <row r="201" spans="1:115" x14ac:dyDescent="0.4">
      <c r="A201" s="69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8"/>
      <c r="W201" s="50"/>
      <c r="X201" s="50"/>
      <c r="Y201" s="50"/>
      <c r="Z201" s="51"/>
      <c r="AA201" s="50"/>
      <c r="AB201" s="50"/>
      <c r="AC201" s="50"/>
      <c r="AD201" s="51"/>
      <c r="AE201" s="50"/>
      <c r="AF201" s="50"/>
      <c r="AG201" s="50"/>
      <c r="AH201" s="51"/>
      <c r="AI201" s="50"/>
      <c r="AJ201" s="50"/>
      <c r="AK201" s="50"/>
      <c r="AL201" s="51"/>
      <c r="AM201" s="50"/>
      <c r="AN201" s="50"/>
      <c r="AO201" s="50"/>
      <c r="AP201" s="7"/>
      <c r="AQ201" s="8"/>
      <c r="AR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</row>
    <row r="202" spans="1:115" x14ac:dyDescent="0.4">
      <c r="A202" s="29"/>
      <c r="B202" s="15" t="s">
        <v>201</v>
      </c>
      <c r="C202" s="23">
        <f t="shared" ref="C202:S202" si="217">C4</f>
        <v>2009</v>
      </c>
      <c r="D202" s="23">
        <f t="shared" si="217"/>
        <v>2010</v>
      </c>
      <c r="E202" s="23">
        <f t="shared" si="217"/>
        <v>2011</v>
      </c>
      <c r="F202" s="23">
        <f t="shared" si="217"/>
        <v>2012</v>
      </c>
      <c r="G202" s="23">
        <f t="shared" si="217"/>
        <v>2013</v>
      </c>
      <c r="H202" s="23">
        <f t="shared" si="217"/>
        <v>2014</v>
      </c>
      <c r="I202" s="23">
        <f t="shared" si="217"/>
        <v>2015</v>
      </c>
      <c r="J202" s="23">
        <f t="shared" si="217"/>
        <v>2016</v>
      </c>
      <c r="K202" s="23">
        <f t="shared" si="217"/>
        <v>2017</v>
      </c>
      <c r="L202" s="23">
        <f t="shared" si="217"/>
        <v>2018</v>
      </c>
      <c r="M202" s="23">
        <f t="shared" si="217"/>
        <v>2019</v>
      </c>
      <c r="N202" s="23">
        <f t="shared" si="217"/>
        <v>2020</v>
      </c>
      <c r="O202" s="23">
        <f t="shared" si="217"/>
        <v>2021</v>
      </c>
      <c r="P202" s="23">
        <f t="shared" si="217"/>
        <v>2022</v>
      </c>
      <c r="Q202" s="23">
        <f t="shared" si="217"/>
        <v>2023</v>
      </c>
      <c r="R202" s="19">
        <f t="shared" si="217"/>
        <v>2024</v>
      </c>
      <c r="S202" s="20">
        <f t="shared" si="217"/>
        <v>2025</v>
      </c>
      <c r="T202" s="20">
        <f>T4</f>
        <v>2026</v>
      </c>
      <c r="U202" s="20">
        <f>U4</f>
        <v>2027</v>
      </c>
      <c r="V202" s="11"/>
      <c r="W202" s="214"/>
      <c r="X202" s="214"/>
      <c r="Y202" s="214"/>
      <c r="Z202" s="215"/>
      <c r="AA202" s="214"/>
      <c r="AB202" s="214"/>
      <c r="AC202" s="214"/>
      <c r="AD202" s="215"/>
      <c r="AE202" s="214"/>
      <c r="AF202" s="214"/>
      <c r="AG202" s="214"/>
      <c r="AH202" s="215"/>
      <c r="AI202" s="214"/>
      <c r="AJ202" s="214"/>
      <c r="AK202" s="214"/>
      <c r="AL202" s="215"/>
      <c r="AM202" s="214"/>
      <c r="AN202" s="214"/>
      <c r="AO202" s="214"/>
      <c r="AP202" s="216"/>
      <c r="AQ202" s="27"/>
      <c r="AR202" s="27"/>
      <c r="AS202" s="27"/>
      <c r="AT202" s="216"/>
      <c r="AU202" s="27"/>
      <c r="AV202" s="27"/>
      <c r="AW202" s="27"/>
      <c r="AX202" s="216"/>
      <c r="AY202" s="27"/>
      <c r="AZ202" s="27"/>
      <c r="BA202" s="27"/>
      <c r="BB202" s="216"/>
      <c r="BC202" s="27"/>
      <c r="BD202" s="27"/>
      <c r="BE202" s="27"/>
      <c r="BF202" s="216"/>
      <c r="BG202" s="27"/>
      <c r="BH202" s="27"/>
      <c r="BI202" s="27"/>
      <c r="BJ202" s="216"/>
      <c r="BK202" s="27"/>
      <c r="BL202" s="27"/>
      <c r="BM202" s="27"/>
      <c r="BN202" s="216"/>
      <c r="BO202" s="27"/>
      <c r="BP202" s="27"/>
      <c r="BQ202" s="27"/>
      <c r="BR202" s="216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214"/>
      <c r="CQ202" s="214"/>
      <c r="CR202" s="214"/>
      <c r="CS202" s="214"/>
      <c r="CT202" s="214"/>
      <c r="CU202" s="214"/>
      <c r="CV202" s="214"/>
      <c r="CW202" s="214"/>
      <c r="CX202" s="214"/>
      <c r="CY202" s="214"/>
      <c r="CZ202" s="214"/>
      <c r="DA202" s="214"/>
      <c r="DB202" s="214"/>
      <c r="DC202" s="214"/>
      <c r="DD202" s="214"/>
      <c r="DE202" s="214"/>
      <c r="DF202" s="214"/>
      <c r="DG202" s="214"/>
      <c r="DH202" s="214"/>
      <c r="DI202" s="214"/>
      <c r="DJ202" s="214"/>
      <c r="DK202" s="214"/>
    </row>
    <row r="203" spans="1:115" x14ac:dyDescent="0.4">
      <c r="A203" s="69"/>
      <c r="B203" s="167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8"/>
      <c r="W203" s="50"/>
      <c r="X203" s="50"/>
      <c r="Y203" s="50"/>
      <c r="Z203" s="51"/>
      <c r="AA203" s="50"/>
      <c r="AB203" s="50"/>
      <c r="AC203" s="50"/>
      <c r="AD203" s="51"/>
      <c r="AE203" s="50"/>
      <c r="AF203" s="50"/>
      <c r="AG203" s="50"/>
      <c r="AH203" s="51"/>
      <c r="AI203" s="50"/>
      <c r="AJ203" s="50"/>
      <c r="AK203" s="50"/>
      <c r="AL203" s="51"/>
      <c r="AM203" s="50"/>
      <c r="AN203" s="50"/>
      <c r="AO203" s="50"/>
      <c r="AP203" s="7"/>
      <c r="AQ203" s="8"/>
      <c r="AR203" s="8"/>
      <c r="AS203" s="37"/>
      <c r="AT203" s="36"/>
      <c r="AU203" s="37"/>
      <c r="AV203" s="37"/>
      <c r="AW203" s="37"/>
      <c r="AX203" s="36"/>
      <c r="AY203" s="37"/>
      <c r="AZ203" s="37"/>
      <c r="BA203" s="37"/>
      <c r="BB203" s="36"/>
      <c r="BC203" s="37"/>
      <c r="BD203" s="37"/>
      <c r="BE203" s="37"/>
      <c r="BF203" s="36"/>
      <c r="BG203" s="37"/>
      <c r="BH203" s="37"/>
      <c r="BI203" s="37"/>
      <c r="BJ203" s="36"/>
      <c r="BK203" s="37"/>
      <c r="BL203" s="37"/>
      <c r="BM203" s="37"/>
      <c r="BN203" s="36"/>
      <c r="BO203" s="37"/>
      <c r="BP203" s="37"/>
      <c r="BQ203" s="37"/>
      <c r="BR203" s="36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</row>
    <row r="204" spans="1:115" x14ac:dyDescent="0.4">
      <c r="A204" s="84"/>
      <c r="B204" s="42" t="s">
        <v>202</v>
      </c>
      <c r="C204" s="42">
        <f t="shared" ref="C204:S204" si="218">+C40-C38</f>
        <v>31.271556390000001</v>
      </c>
      <c r="D204" s="42">
        <f t="shared" si="218"/>
        <v>41.915851770000003</v>
      </c>
      <c r="E204" s="42">
        <f t="shared" si="218"/>
        <v>51.210408649999998</v>
      </c>
      <c r="F204" s="42">
        <f t="shared" si="218"/>
        <v>28.775877569999999</v>
      </c>
      <c r="G204" s="42">
        <f t="shared" si="218"/>
        <v>14.240927060000001</v>
      </c>
      <c r="H204" s="42">
        <f t="shared" si="218"/>
        <v>5.7536568299999997</v>
      </c>
      <c r="I204" s="42">
        <f t="shared" si="218"/>
        <v>5.5443690000000005</v>
      </c>
      <c r="J204" s="42">
        <f t="shared" si="218"/>
        <v>10.054131539999998</v>
      </c>
      <c r="K204" s="42">
        <f t="shared" si="218"/>
        <v>146.80325851784045</v>
      </c>
      <c r="L204" s="42">
        <f t="shared" si="218"/>
        <v>621.88925178625334</v>
      </c>
      <c r="M204" s="42">
        <f t="shared" si="218"/>
        <v>513.56999897870367</v>
      </c>
      <c r="N204" s="42">
        <f t="shared" si="218"/>
        <v>865.48355047000007</v>
      </c>
      <c r="O204" s="42">
        <f t="shared" si="218"/>
        <v>876.97712632000002</v>
      </c>
      <c r="P204" s="42">
        <f t="shared" si="218"/>
        <v>1223.9908661800002</v>
      </c>
      <c r="Q204" s="42">
        <f t="shared" si="218"/>
        <v>2173.527747770001</v>
      </c>
      <c r="R204" s="42">
        <f t="shared" si="218"/>
        <v>5171.4859678499979</v>
      </c>
      <c r="S204" s="42">
        <f t="shared" si="218"/>
        <v>9893.8782774766187</v>
      </c>
      <c r="T204" s="42">
        <f>+T40-T38</f>
        <v>16530.497238888853</v>
      </c>
      <c r="U204" s="42">
        <f>+U40-U38</f>
        <v>20489.234719462649</v>
      </c>
      <c r="V204" s="8"/>
      <c r="W204" s="42"/>
      <c r="X204" s="42"/>
      <c r="Y204" s="42"/>
      <c r="Z204" s="44"/>
      <c r="AA204" s="42"/>
      <c r="AB204" s="42"/>
      <c r="AC204" s="42"/>
      <c r="AD204" s="44"/>
      <c r="AE204" s="42"/>
      <c r="AF204" s="42"/>
      <c r="AG204" s="42"/>
      <c r="AH204" s="44"/>
      <c r="AI204" s="42"/>
      <c r="AJ204" s="42"/>
      <c r="AK204" s="42"/>
      <c r="AL204" s="44"/>
      <c r="AM204" s="42"/>
      <c r="AN204" s="42"/>
      <c r="AO204" s="42"/>
      <c r="AP204" s="44"/>
      <c r="AQ204" s="42"/>
      <c r="AR204" s="42"/>
      <c r="AS204" s="42"/>
      <c r="AT204" s="44"/>
      <c r="AU204" s="42"/>
      <c r="AV204" s="42"/>
      <c r="AW204" s="42"/>
      <c r="AX204" s="44"/>
      <c r="AY204" s="42"/>
      <c r="AZ204" s="42"/>
      <c r="BA204" s="42"/>
      <c r="BB204" s="44"/>
      <c r="BC204" s="42"/>
      <c r="BD204" s="42"/>
      <c r="BE204" s="42"/>
      <c r="BF204" s="44"/>
      <c r="BG204" s="42"/>
      <c r="BH204" s="42"/>
      <c r="BI204" s="42"/>
      <c r="BJ204" s="44"/>
      <c r="BK204" s="42"/>
      <c r="BL204" s="42"/>
      <c r="BM204" s="42"/>
      <c r="BN204" s="44"/>
      <c r="BO204" s="42"/>
      <c r="BP204" s="42"/>
      <c r="BQ204" s="42"/>
      <c r="BR204" s="44"/>
      <c r="BS204" s="42"/>
      <c r="BT204" s="42"/>
      <c r="BU204" s="42"/>
      <c r="BV204" s="42"/>
      <c r="BW204" s="42"/>
      <c r="BX204" s="42"/>
      <c r="BY204" s="42"/>
      <c r="BZ204" s="42"/>
      <c r="CA204" s="42"/>
      <c r="CB204" s="42"/>
      <c r="CC204" s="42"/>
      <c r="CD204" s="42"/>
      <c r="CE204" s="42"/>
      <c r="CF204" s="42"/>
      <c r="CG204" s="42"/>
      <c r="CH204" s="42"/>
      <c r="CI204" s="42"/>
      <c r="CJ204" s="42"/>
      <c r="CK204" s="42"/>
      <c r="CL204" s="42"/>
      <c r="CM204" s="42"/>
      <c r="CN204" s="42"/>
      <c r="CO204" s="42"/>
      <c r="CP204" s="42"/>
      <c r="CQ204" s="42"/>
      <c r="CR204" s="42"/>
      <c r="CS204" s="42"/>
      <c r="CT204" s="42"/>
      <c r="CU204" s="42"/>
      <c r="CV204" s="42"/>
      <c r="CW204" s="42"/>
      <c r="CX204" s="42"/>
      <c r="CY204" s="42"/>
      <c r="CZ204" s="42"/>
      <c r="DA204" s="42"/>
      <c r="DB204" s="42"/>
      <c r="DC204" s="42"/>
      <c r="DD204" s="42"/>
      <c r="DE204" s="42"/>
      <c r="DF204" s="42"/>
      <c r="DG204" s="42"/>
      <c r="DH204" s="42"/>
      <c r="DI204" s="42"/>
      <c r="DJ204" s="42"/>
      <c r="DK204" s="42"/>
    </row>
    <row r="205" spans="1:115" x14ac:dyDescent="0.4">
      <c r="A205" s="84"/>
      <c r="B205" s="50" t="s">
        <v>203</v>
      </c>
      <c r="C205" s="50">
        <f t="shared" ref="C205:S205" si="219">C37</f>
        <v>0</v>
      </c>
      <c r="D205" s="50">
        <f t="shared" si="219"/>
        <v>0</v>
      </c>
      <c r="E205" s="50">
        <f t="shared" si="219"/>
        <v>0</v>
      </c>
      <c r="F205" s="50">
        <f t="shared" si="219"/>
        <v>0</v>
      </c>
      <c r="G205" s="50">
        <f t="shared" si="219"/>
        <v>0</v>
      </c>
      <c r="H205" s="50">
        <f t="shared" si="219"/>
        <v>0.10265951999999867</v>
      </c>
      <c r="I205" s="50">
        <f t="shared" si="219"/>
        <v>0</v>
      </c>
      <c r="J205" s="50">
        <f t="shared" si="219"/>
        <v>0</v>
      </c>
      <c r="K205" s="50">
        <f t="shared" si="219"/>
        <v>0</v>
      </c>
      <c r="L205" s="50">
        <f t="shared" si="219"/>
        <v>0</v>
      </c>
      <c r="M205" s="50">
        <f t="shared" si="219"/>
        <v>0</v>
      </c>
      <c r="N205" s="50">
        <f t="shared" si="219"/>
        <v>10.940697179999916</v>
      </c>
      <c r="O205" s="50">
        <f t="shared" si="219"/>
        <v>9.5195193900000277</v>
      </c>
      <c r="P205" s="50">
        <f t="shared" si="219"/>
        <v>9.698376699999983</v>
      </c>
      <c r="Q205" s="50">
        <f t="shared" si="219"/>
        <v>34.122408630000109</v>
      </c>
      <c r="R205" s="50">
        <f t="shared" si="219"/>
        <v>200.28917107999951</v>
      </c>
      <c r="S205" s="50">
        <f t="shared" si="219"/>
        <v>623.85888600999613</v>
      </c>
      <c r="T205" s="50">
        <f>T37</f>
        <v>889.90631472600012</v>
      </c>
      <c r="U205" s="50">
        <f>U37</f>
        <v>1052.5870414038891</v>
      </c>
      <c r="V205" s="8"/>
      <c r="W205" s="50"/>
      <c r="X205" s="50"/>
      <c r="Y205" s="50"/>
      <c r="Z205" s="51"/>
      <c r="AA205" s="50"/>
      <c r="AB205" s="50"/>
      <c r="AC205" s="50"/>
      <c r="AD205" s="51"/>
      <c r="AE205" s="50"/>
      <c r="AF205" s="50"/>
      <c r="AG205" s="50"/>
      <c r="AH205" s="51"/>
      <c r="AI205" s="50"/>
      <c r="AJ205" s="50"/>
      <c r="AK205" s="50"/>
      <c r="AL205" s="51"/>
      <c r="AM205" s="50"/>
      <c r="AN205" s="50"/>
      <c r="AO205" s="50"/>
      <c r="AP205" s="51"/>
      <c r="AQ205" s="50"/>
      <c r="AR205" s="50"/>
      <c r="AS205" s="50"/>
      <c r="AT205" s="51"/>
      <c r="AU205" s="50"/>
      <c r="AV205" s="50"/>
      <c r="AW205" s="50"/>
      <c r="AX205" s="51"/>
      <c r="AY205" s="50"/>
      <c r="AZ205" s="50"/>
      <c r="BA205" s="50"/>
      <c r="BB205" s="51"/>
      <c r="BC205" s="50"/>
      <c r="BD205" s="50"/>
      <c r="BE205" s="50"/>
      <c r="BF205" s="51"/>
      <c r="BG205" s="50"/>
      <c r="BH205" s="50"/>
      <c r="BI205" s="50"/>
      <c r="BJ205" s="51"/>
      <c r="BK205" s="50"/>
      <c r="BL205" s="50"/>
      <c r="BM205" s="50"/>
      <c r="BN205" s="51"/>
      <c r="BO205" s="50"/>
      <c r="BP205" s="50"/>
      <c r="BQ205" s="50"/>
      <c r="BR205" s="51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  <c r="CL205" s="50"/>
      <c r="CM205" s="50"/>
      <c r="CN205" s="50"/>
      <c r="CO205" s="50"/>
      <c r="CP205" s="50"/>
      <c r="CQ205" s="50"/>
      <c r="CR205" s="50"/>
      <c r="CS205" s="50"/>
      <c r="CT205" s="50"/>
      <c r="CU205" s="50"/>
      <c r="CV205" s="50"/>
      <c r="CW205" s="50"/>
      <c r="CX205" s="50"/>
      <c r="CY205" s="50"/>
      <c r="CZ205" s="50"/>
      <c r="DA205" s="50"/>
      <c r="DB205" s="50"/>
      <c r="DC205" s="50"/>
      <c r="DD205" s="50"/>
      <c r="DE205" s="50"/>
      <c r="DF205" s="50"/>
      <c r="DG205" s="50"/>
      <c r="DH205" s="50"/>
      <c r="DI205" s="50"/>
      <c r="DJ205" s="50"/>
      <c r="DK205" s="50"/>
    </row>
    <row r="206" spans="1:115" x14ac:dyDescent="0.4">
      <c r="A206" s="41"/>
      <c r="B206" s="50" t="s">
        <v>204</v>
      </c>
      <c r="C206" s="50">
        <f t="shared" ref="C206:R206" si="220">+C46+C47</f>
        <v>2.0514475600000002</v>
      </c>
      <c r="D206" s="50">
        <f t="shared" si="220"/>
        <v>4.2460238299999995</v>
      </c>
      <c r="E206" s="50">
        <f t="shared" si="220"/>
        <v>6.96043039</v>
      </c>
      <c r="F206" s="50">
        <f t="shared" si="220"/>
        <v>9.6325722100000011</v>
      </c>
      <c r="G206" s="50">
        <f t="shared" si="220"/>
        <v>20.355343210000001</v>
      </c>
      <c r="H206" s="50">
        <f t="shared" si="220"/>
        <v>24.918439899999999</v>
      </c>
      <c r="I206" s="50">
        <f t="shared" si="220"/>
        <v>27.383185009999998</v>
      </c>
      <c r="J206" s="50">
        <f t="shared" si="220"/>
        <v>31.073355770000003</v>
      </c>
      <c r="K206" s="50">
        <f t="shared" si="220"/>
        <v>101.35205175</v>
      </c>
      <c r="L206" s="50">
        <f t="shared" si="220"/>
        <v>201.31603036000001</v>
      </c>
      <c r="M206" s="50">
        <f t="shared" si="220"/>
        <v>241.2905614</v>
      </c>
      <c r="N206" s="50">
        <f t="shared" si="220"/>
        <v>331.03010107</v>
      </c>
      <c r="O206" s="50">
        <f t="shared" si="220"/>
        <v>406.52413717000002</v>
      </c>
      <c r="P206" s="50">
        <f t="shared" si="220"/>
        <v>444.74070298999999</v>
      </c>
      <c r="Q206" s="50">
        <f t="shared" si="220"/>
        <v>470.05915902000004</v>
      </c>
      <c r="R206" s="50">
        <f t="shared" si="220"/>
        <v>643.47557950999999</v>
      </c>
      <c r="S206" s="50">
        <f t="shared" ref="S206:U206" si="221">S46+S47</f>
        <v>730.84206023219986</v>
      </c>
      <c r="T206" s="50">
        <f t="shared" si="221"/>
        <v>969.19704189936192</v>
      </c>
      <c r="U206" s="50">
        <f t="shared" si="221"/>
        <v>1145.392136902708</v>
      </c>
      <c r="V206" s="8"/>
      <c r="W206" s="50"/>
      <c r="X206" s="50"/>
      <c r="Y206" s="50"/>
      <c r="Z206" s="51"/>
      <c r="AA206" s="50"/>
      <c r="AB206" s="50"/>
      <c r="AC206" s="50"/>
      <c r="AD206" s="51"/>
      <c r="AE206" s="50"/>
      <c r="AF206" s="50"/>
      <c r="AG206" s="50"/>
      <c r="AH206" s="51"/>
      <c r="AI206" s="50"/>
      <c r="AJ206" s="50"/>
      <c r="AK206" s="50"/>
      <c r="AL206" s="51"/>
      <c r="AM206" s="50"/>
      <c r="AN206" s="50"/>
      <c r="AO206" s="50"/>
      <c r="AP206" s="51"/>
      <c r="AQ206" s="50"/>
      <c r="AR206" s="50"/>
      <c r="AS206" s="50"/>
      <c r="AT206" s="51"/>
      <c r="AU206" s="50"/>
      <c r="AV206" s="50"/>
      <c r="AW206" s="50"/>
      <c r="AX206" s="51"/>
      <c r="AY206" s="50"/>
      <c r="AZ206" s="50"/>
      <c r="BA206" s="50"/>
      <c r="BB206" s="51"/>
      <c r="BC206" s="50"/>
      <c r="BD206" s="50"/>
      <c r="BE206" s="50"/>
      <c r="BF206" s="51"/>
      <c r="BG206" s="50"/>
      <c r="BH206" s="50"/>
      <c r="BI206" s="50"/>
      <c r="BJ206" s="51"/>
      <c r="BK206" s="50"/>
      <c r="BL206" s="50"/>
      <c r="BM206" s="50"/>
      <c r="BN206" s="51"/>
      <c r="BO206" s="50"/>
      <c r="BP206" s="50"/>
      <c r="BQ206" s="50"/>
      <c r="BR206" s="51"/>
      <c r="BS206" s="50"/>
      <c r="BT206" s="50"/>
      <c r="BU206" s="50"/>
      <c r="BV206" s="50"/>
      <c r="BW206" s="50"/>
      <c r="BX206" s="50"/>
      <c r="BY206" s="50"/>
      <c r="BZ206" s="50"/>
      <c r="CA206" s="50"/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  <c r="CL206" s="50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C206" s="50"/>
      <c r="DD206" s="50"/>
      <c r="DE206" s="50"/>
      <c r="DF206" s="50"/>
      <c r="DG206" s="50"/>
      <c r="DH206" s="50"/>
      <c r="DI206" s="50"/>
      <c r="DJ206" s="50"/>
      <c r="DK206" s="50"/>
    </row>
    <row r="207" spans="1:115" x14ac:dyDescent="0.4">
      <c r="A207" s="41"/>
      <c r="B207" s="266" t="s">
        <v>205</v>
      </c>
      <c r="C207" s="50">
        <f>-(C29+C30)</f>
        <v>0</v>
      </c>
      <c r="D207" s="50">
        <f t="shared" ref="D207:J207" si="222">+D29+D30</f>
        <v>0</v>
      </c>
      <c r="E207" s="50">
        <f t="shared" si="222"/>
        <v>0</v>
      </c>
      <c r="F207" s="50">
        <f t="shared" si="222"/>
        <v>0</v>
      </c>
      <c r="G207" s="50">
        <f t="shared" si="222"/>
        <v>0</v>
      </c>
      <c r="H207" s="50">
        <f t="shared" si="222"/>
        <v>0</v>
      </c>
      <c r="I207" s="50">
        <f t="shared" si="222"/>
        <v>0</v>
      </c>
      <c r="J207" s="50">
        <f t="shared" si="222"/>
        <v>0</v>
      </c>
      <c r="K207" s="50">
        <f t="shared" ref="K207:P207" si="223">+K29+K30+K9</f>
        <v>0</v>
      </c>
      <c r="L207" s="50">
        <f t="shared" si="223"/>
        <v>5.0666752000000006</v>
      </c>
      <c r="M207" s="50">
        <f t="shared" si="223"/>
        <v>53.448619370000003</v>
      </c>
      <c r="N207" s="50">
        <f t="shared" si="223"/>
        <v>209.35381644</v>
      </c>
      <c r="O207" s="50">
        <f t="shared" si="223"/>
        <v>62.776311250000006</v>
      </c>
      <c r="P207" s="50">
        <f t="shared" si="223"/>
        <v>72.51898525</v>
      </c>
      <c r="Q207" s="50">
        <f>+Q29+Q30+Q9</f>
        <v>296.23790658999997</v>
      </c>
      <c r="R207" s="50">
        <f>+R29+R30+R9</f>
        <v>-36.685118239999994</v>
      </c>
      <c r="S207" s="96">
        <v>0</v>
      </c>
      <c r="T207" s="96">
        <v>0</v>
      </c>
      <c r="U207" s="96">
        <v>0</v>
      </c>
      <c r="V207" s="8"/>
      <c r="W207" s="50"/>
      <c r="X207" s="50"/>
      <c r="Y207" s="50"/>
      <c r="Z207" s="51"/>
      <c r="AA207" s="50"/>
      <c r="AB207" s="50"/>
      <c r="AC207" s="50"/>
      <c r="AD207" s="51"/>
      <c r="AE207" s="50"/>
      <c r="AF207" s="50"/>
      <c r="AG207" s="50"/>
      <c r="AH207" s="51"/>
      <c r="AI207" s="50"/>
      <c r="AJ207" s="50"/>
      <c r="AK207" s="50"/>
      <c r="AL207" s="51"/>
      <c r="AM207" s="50"/>
      <c r="AN207" s="50"/>
      <c r="AO207" s="50"/>
      <c r="AP207" s="51"/>
      <c r="AQ207" s="50"/>
      <c r="AR207" s="50"/>
      <c r="AS207" s="50"/>
      <c r="AT207" s="51"/>
      <c r="AU207" s="50"/>
      <c r="AV207" s="50"/>
      <c r="AW207" s="50"/>
      <c r="AX207" s="51"/>
      <c r="AY207" s="50"/>
      <c r="AZ207" s="50"/>
      <c r="BA207" s="50"/>
      <c r="BB207" s="51"/>
      <c r="BC207" s="50"/>
      <c r="BD207" s="50"/>
      <c r="BE207" s="50"/>
      <c r="BF207" s="51"/>
      <c r="BG207" s="50"/>
      <c r="BH207" s="50"/>
      <c r="BI207" s="50"/>
      <c r="BJ207" s="51"/>
      <c r="BK207" s="50"/>
      <c r="BL207" s="50"/>
      <c r="BM207" s="50"/>
      <c r="BN207" s="51"/>
      <c r="BO207" s="50"/>
      <c r="BP207" s="50"/>
      <c r="BQ207" s="50"/>
      <c r="BR207" s="51"/>
      <c r="BS207" s="50"/>
      <c r="BT207" s="50"/>
      <c r="BU207" s="50"/>
      <c r="BV207" s="50"/>
      <c r="BW207" s="50"/>
      <c r="BX207" s="50"/>
      <c r="BY207" s="50"/>
      <c r="BZ207" s="50"/>
      <c r="CA207" s="50"/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C207" s="50"/>
      <c r="DD207" s="50"/>
      <c r="DE207" s="50"/>
      <c r="DF207" s="50"/>
      <c r="DG207" s="50"/>
      <c r="DH207" s="50"/>
      <c r="DI207" s="50"/>
      <c r="DJ207" s="50"/>
      <c r="DK207" s="50"/>
    </row>
    <row r="208" spans="1:115" x14ac:dyDescent="0.4">
      <c r="A208" s="41"/>
      <c r="B208" s="266" t="s">
        <v>206</v>
      </c>
      <c r="C208" s="50">
        <f t="shared" ref="C208:U208" si="224">+C27</f>
        <v>0</v>
      </c>
      <c r="D208" s="50">
        <f t="shared" si="224"/>
        <v>0</v>
      </c>
      <c r="E208" s="50">
        <f t="shared" si="224"/>
        <v>0</v>
      </c>
      <c r="F208" s="50">
        <f t="shared" si="224"/>
        <v>0</v>
      </c>
      <c r="G208" s="50">
        <f t="shared" si="224"/>
        <v>0</v>
      </c>
      <c r="H208" s="50">
        <f t="shared" si="224"/>
        <v>0</v>
      </c>
      <c r="I208" s="50">
        <f t="shared" si="224"/>
        <v>0</v>
      </c>
      <c r="J208" s="50">
        <f t="shared" si="224"/>
        <v>0</v>
      </c>
      <c r="K208" s="50">
        <f t="shared" si="224"/>
        <v>-1.7673325200000001</v>
      </c>
      <c r="L208" s="50">
        <f t="shared" si="224"/>
        <v>-2.4577700000000002E-3</v>
      </c>
      <c r="M208" s="50">
        <f t="shared" si="224"/>
        <v>-0.13168537999999999</v>
      </c>
      <c r="N208" s="50">
        <f t="shared" si="224"/>
        <v>-4.2560442900000002</v>
      </c>
      <c r="O208" s="50">
        <f t="shared" si="224"/>
        <v>2.5290906400000002</v>
      </c>
      <c r="P208" s="50">
        <f t="shared" si="224"/>
        <v>0.19344325000000004</v>
      </c>
      <c r="Q208" s="50">
        <f>+Q27</f>
        <v>-5.7458165499999998</v>
      </c>
      <c r="R208" s="50">
        <f>+R27</f>
        <v>-8.8821037700000005</v>
      </c>
      <c r="S208" s="50">
        <f t="shared" si="224"/>
        <v>-6.3379681100000003</v>
      </c>
      <c r="T208" s="50">
        <f t="shared" si="224"/>
        <v>0</v>
      </c>
      <c r="U208" s="50">
        <f t="shared" si="224"/>
        <v>0</v>
      </c>
      <c r="V208" s="8"/>
      <c r="W208" s="50"/>
      <c r="X208" s="50"/>
      <c r="Y208" s="50"/>
      <c r="Z208" s="51"/>
      <c r="AA208" s="50"/>
      <c r="AB208" s="50"/>
      <c r="AC208" s="50"/>
      <c r="AD208" s="51"/>
      <c r="AE208" s="50"/>
      <c r="AF208" s="50"/>
      <c r="AG208" s="50"/>
      <c r="AH208" s="51"/>
      <c r="AI208" s="50"/>
      <c r="AJ208" s="50"/>
      <c r="AK208" s="50"/>
      <c r="AL208" s="51"/>
      <c r="AM208" s="50"/>
      <c r="AN208" s="50"/>
      <c r="AO208" s="50"/>
      <c r="AP208" s="51"/>
      <c r="AQ208" s="50"/>
      <c r="AR208" s="50"/>
      <c r="AS208" s="50"/>
      <c r="AT208" s="51"/>
      <c r="AU208" s="50"/>
      <c r="AV208" s="50"/>
      <c r="AW208" s="50"/>
      <c r="AX208" s="51"/>
      <c r="AY208" s="50"/>
      <c r="AZ208" s="50"/>
      <c r="BA208" s="50"/>
      <c r="BB208" s="51"/>
      <c r="BC208" s="50"/>
      <c r="BD208" s="50"/>
      <c r="BE208" s="50"/>
      <c r="BF208" s="51"/>
      <c r="BG208" s="50"/>
      <c r="BH208" s="50"/>
      <c r="BI208" s="50"/>
      <c r="BJ208" s="51"/>
      <c r="BK208" s="50"/>
      <c r="BL208" s="50"/>
      <c r="BM208" s="50"/>
      <c r="BN208" s="51"/>
      <c r="BO208" s="50"/>
      <c r="BP208" s="50"/>
      <c r="BQ208" s="50"/>
      <c r="BR208" s="51"/>
      <c r="BS208" s="50"/>
      <c r="BT208" s="50"/>
      <c r="BU208" s="50"/>
      <c r="BV208" s="50"/>
      <c r="BW208" s="50"/>
      <c r="BX208" s="50"/>
      <c r="BY208" s="50"/>
      <c r="BZ208" s="50"/>
      <c r="CA208" s="50"/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  <c r="CL208" s="50"/>
      <c r="CM208" s="50"/>
      <c r="CN208" s="50"/>
      <c r="CO208" s="50"/>
      <c r="CP208" s="50"/>
      <c r="CQ208" s="50"/>
      <c r="CR208" s="50"/>
      <c r="CS208" s="50"/>
      <c r="CT208" s="50"/>
      <c r="CU208" s="50"/>
      <c r="CV208" s="50"/>
      <c r="CW208" s="50"/>
      <c r="CX208" s="50"/>
      <c r="CY208" s="50"/>
      <c r="CZ208" s="50"/>
      <c r="DA208" s="50"/>
      <c r="DB208" s="50"/>
      <c r="DC208" s="50"/>
      <c r="DD208" s="50"/>
      <c r="DE208" s="50"/>
      <c r="DF208" s="50"/>
      <c r="DG208" s="50"/>
      <c r="DH208" s="50"/>
      <c r="DI208" s="50"/>
      <c r="DJ208" s="50"/>
      <c r="DK208" s="50"/>
    </row>
    <row r="209" spans="1:115" x14ac:dyDescent="0.4">
      <c r="A209" s="41"/>
      <c r="B209" s="42" t="s">
        <v>207</v>
      </c>
      <c r="C209" s="50">
        <f>C210+C211+C212</f>
        <v>2.3257598899999987</v>
      </c>
      <c r="D209" s="50">
        <f t="shared" ref="D209:U209" si="225">D210+D211+D212</f>
        <v>-14.901826110000005</v>
      </c>
      <c r="E209" s="50">
        <f t="shared" si="225"/>
        <v>-23.343706389999991</v>
      </c>
      <c r="F209" s="50">
        <f t="shared" si="225"/>
        <v>-33.0736931</v>
      </c>
      <c r="G209" s="50">
        <f t="shared" si="225"/>
        <v>4.3588867999999756</v>
      </c>
      <c r="H209" s="50">
        <f t="shared" si="225"/>
        <v>-20.695999999999977</v>
      </c>
      <c r="I209" s="50">
        <f t="shared" si="225"/>
        <v>-11.128091839999996</v>
      </c>
      <c r="J209" s="50">
        <f t="shared" si="225"/>
        <v>27.574658319999998</v>
      </c>
      <c r="K209" s="50">
        <f t="shared" si="225"/>
        <v>-1270.3559408899996</v>
      </c>
      <c r="L209" s="50">
        <f t="shared" si="225"/>
        <v>-661.85877772999982</v>
      </c>
      <c r="M209" s="50">
        <f t="shared" si="225"/>
        <v>-147.17912943000044</v>
      </c>
      <c r="N209" s="50">
        <f t="shared" si="225"/>
        <v>-1483.0478543299994</v>
      </c>
      <c r="O209" s="50">
        <f t="shared" si="225"/>
        <v>-797.31238310000072</v>
      </c>
      <c r="P209" s="50">
        <f t="shared" si="225"/>
        <v>410.31182499000056</v>
      </c>
      <c r="Q209" s="50">
        <f t="shared" si="225"/>
        <v>-961.22377931000051</v>
      </c>
      <c r="R209" s="50">
        <f t="shared" si="225"/>
        <v>-3178.1548670399989</v>
      </c>
      <c r="S209" s="50">
        <f t="shared" si="225"/>
        <v>-5470.5234142794852</v>
      </c>
      <c r="T209" s="50">
        <f t="shared" si="225"/>
        <v>-6121.8754653235474</v>
      </c>
      <c r="U209" s="50">
        <f t="shared" si="225"/>
        <v>-5686.2315847508817</v>
      </c>
      <c r="V209" s="8"/>
      <c r="W209" s="50"/>
      <c r="X209" s="50"/>
      <c r="Y209" s="50"/>
      <c r="Z209" s="51"/>
      <c r="AA209" s="50"/>
      <c r="AB209" s="50"/>
      <c r="AC209" s="50"/>
      <c r="AD209" s="51"/>
      <c r="AE209" s="50"/>
      <c r="AF209" s="50"/>
      <c r="AG209" s="50"/>
      <c r="AH209" s="51"/>
      <c r="AI209" s="50"/>
      <c r="AJ209" s="50"/>
      <c r="AK209" s="50"/>
      <c r="AL209" s="51"/>
      <c r="AM209" s="50"/>
      <c r="AN209" s="50"/>
      <c r="AO209" s="50"/>
      <c r="AP209" s="51"/>
      <c r="AQ209" s="50"/>
      <c r="AR209" s="50"/>
      <c r="AS209" s="50"/>
      <c r="AT209" s="51"/>
      <c r="AU209" s="50"/>
      <c r="AV209" s="50"/>
      <c r="AW209" s="50"/>
      <c r="AX209" s="51"/>
      <c r="AY209" s="50"/>
      <c r="AZ209" s="50"/>
      <c r="BA209" s="50"/>
      <c r="BB209" s="51"/>
      <c r="BC209" s="50"/>
      <c r="BD209" s="50"/>
      <c r="BE209" s="50"/>
      <c r="BF209" s="51"/>
      <c r="BG209" s="50"/>
      <c r="BH209" s="50"/>
      <c r="BI209" s="50"/>
      <c r="BJ209" s="51"/>
      <c r="BK209" s="50"/>
      <c r="BL209" s="50"/>
      <c r="BM209" s="50"/>
      <c r="BN209" s="51"/>
      <c r="BO209" s="50"/>
      <c r="BP209" s="50"/>
      <c r="BQ209" s="50"/>
      <c r="BR209" s="51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  <c r="CL209" s="50"/>
      <c r="CM209" s="50"/>
      <c r="CN209" s="50"/>
      <c r="CO209" s="50"/>
      <c r="CP209" s="50"/>
      <c r="CQ209" s="50"/>
      <c r="CR209" s="50"/>
      <c r="CS209" s="50"/>
      <c r="CT209" s="50"/>
      <c r="CU209" s="50"/>
      <c r="CV209" s="50"/>
      <c r="CW209" s="50"/>
      <c r="CX209" s="50"/>
      <c r="CY209" s="50"/>
      <c r="CZ209" s="50"/>
      <c r="DA209" s="50"/>
      <c r="DB209" s="50"/>
      <c r="DC209" s="50"/>
      <c r="DD209" s="50"/>
      <c r="DE209" s="50"/>
      <c r="DF209" s="50"/>
      <c r="DG209" s="50"/>
      <c r="DH209" s="50"/>
      <c r="DI209" s="50"/>
      <c r="DJ209" s="50"/>
      <c r="DK209" s="50"/>
    </row>
    <row r="210" spans="1:115" x14ac:dyDescent="0.4">
      <c r="A210" s="41"/>
      <c r="B210" s="267" t="s">
        <v>208</v>
      </c>
      <c r="C210" s="132">
        <v>-3.68552357</v>
      </c>
      <c r="D210" s="132">
        <f t="shared" ref="D210:U211" si="226">C124-D124</f>
        <v>-14.176004470000009</v>
      </c>
      <c r="E210" s="132">
        <f t="shared" si="226"/>
        <v>-6.4552354999999864</v>
      </c>
      <c r="F210" s="132">
        <f t="shared" si="226"/>
        <v>-23.095807059999999</v>
      </c>
      <c r="G210" s="132">
        <f t="shared" si="226"/>
        <v>0.5853052699999779</v>
      </c>
      <c r="H210" s="132">
        <f t="shared" si="226"/>
        <v>-16.23450957999998</v>
      </c>
      <c r="I210" s="132">
        <f t="shared" si="226"/>
        <v>-4.5431284000000005</v>
      </c>
      <c r="J210" s="132">
        <f t="shared" si="226"/>
        <v>11.60283007999999</v>
      </c>
      <c r="K210" s="132">
        <f t="shared" si="226"/>
        <v>-1019.4248687899999</v>
      </c>
      <c r="L210" s="132">
        <f t="shared" si="226"/>
        <v>220.16179372999989</v>
      </c>
      <c r="M210" s="132">
        <f t="shared" si="226"/>
        <v>-252.06285429000002</v>
      </c>
      <c r="N210" s="132">
        <f t="shared" si="226"/>
        <v>-451.30254052999976</v>
      </c>
      <c r="O210" s="132">
        <f t="shared" si="226"/>
        <v>-542.98065130000032</v>
      </c>
      <c r="P210" s="132">
        <f t="shared" si="226"/>
        <v>561.8089300500003</v>
      </c>
      <c r="Q210" s="132">
        <f t="shared" si="226"/>
        <v>-1339.77615932</v>
      </c>
      <c r="R210" s="132">
        <f t="shared" si="226"/>
        <v>-1765.8345534299997</v>
      </c>
      <c r="S210" s="132">
        <f t="shared" si="226"/>
        <v>-3139.4425854780311</v>
      </c>
      <c r="T210" s="132">
        <f t="shared" si="226"/>
        <v>-2672.7504029143138</v>
      </c>
      <c r="U210" s="132">
        <f t="shared" si="226"/>
        <v>-3261.6235942569874</v>
      </c>
      <c r="V210" s="8"/>
      <c r="W210" s="50"/>
      <c r="X210" s="50"/>
      <c r="Y210" s="50"/>
      <c r="Z210" s="51"/>
      <c r="AA210" s="50"/>
      <c r="AB210" s="50"/>
      <c r="AC210" s="50"/>
      <c r="AD210" s="51"/>
      <c r="AE210" s="50"/>
      <c r="AF210" s="50"/>
      <c r="AG210" s="50"/>
      <c r="AH210" s="51"/>
      <c r="AI210" s="50"/>
      <c r="AJ210" s="50"/>
      <c r="AK210" s="50"/>
      <c r="AL210" s="51"/>
      <c r="AM210" s="50"/>
      <c r="AN210" s="50"/>
      <c r="AO210" s="50"/>
      <c r="AP210" s="51"/>
      <c r="AQ210" s="50"/>
      <c r="AR210" s="50"/>
      <c r="AS210" s="50"/>
      <c r="AT210" s="51"/>
      <c r="AU210" s="50"/>
      <c r="AV210" s="50"/>
      <c r="AW210" s="50"/>
      <c r="AX210" s="51"/>
      <c r="AY210" s="50"/>
      <c r="AZ210" s="50"/>
      <c r="BA210" s="50"/>
      <c r="BB210" s="51"/>
      <c r="BC210" s="50"/>
      <c r="BD210" s="50"/>
      <c r="BE210" s="50"/>
      <c r="BF210" s="51"/>
      <c r="BG210" s="50"/>
      <c r="BH210" s="50"/>
      <c r="BI210" s="50"/>
      <c r="BJ210" s="51"/>
      <c r="BK210" s="50"/>
      <c r="BL210" s="50"/>
      <c r="BM210" s="50"/>
      <c r="BN210" s="51"/>
      <c r="BO210" s="50"/>
      <c r="BP210" s="50"/>
      <c r="BQ210" s="50"/>
      <c r="BR210" s="51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  <c r="CL210" s="50"/>
      <c r="CM210" s="50"/>
      <c r="CN210" s="50"/>
      <c r="CO210" s="50"/>
      <c r="CP210" s="50"/>
      <c r="CQ210" s="50"/>
      <c r="CR210" s="50"/>
      <c r="CS210" s="50"/>
      <c r="CT210" s="50"/>
      <c r="CU210" s="50"/>
      <c r="CV210" s="50"/>
      <c r="CW210" s="50"/>
      <c r="CX210" s="50"/>
      <c r="CY210" s="50"/>
      <c r="CZ210" s="50"/>
      <c r="DA210" s="50"/>
      <c r="DB210" s="50"/>
      <c r="DC210" s="50"/>
      <c r="DD210" s="50"/>
      <c r="DE210" s="50"/>
      <c r="DF210" s="50"/>
      <c r="DG210" s="50"/>
      <c r="DH210" s="50"/>
      <c r="DI210" s="50"/>
      <c r="DJ210" s="50"/>
      <c r="DK210" s="50"/>
    </row>
    <row r="211" spans="1:115" x14ac:dyDescent="0.4">
      <c r="A211" s="41"/>
      <c r="B211" s="49" t="s">
        <v>209</v>
      </c>
      <c r="C211" s="50">
        <v>12.77417878</v>
      </c>
      <c r="D211" s="50">
        <f t="shared" si="226"/>
        <v>-7.7067909099999952</v>
      </c>
      <c r="E211" s="50">
        <f t="shared" si="226"/>
        <v>-13.066878760000002</v>
      </c>
      <c r="F211" s="50">
        <f t="shared" si="226"/>
        <v>1.1516870199999971</v>
      </c>
      <c r="G211" s="50">
        <f t="shared" si="226"/>
        <v>-22.980182200000002</v>
      </c>
      <c r="H211" s="50">
        <f t="shared" si="226"/>
        <v>8.2713019400000007</v>
      </c>
      <c r="I211" s="50">
        <f t="shared" si="226"/>
        <v>-6.8493216899999965</v>
      </c>
      <c r="J211" s="50">
        <f t="shared" si="226"/>
        <v>10.622073170000007</v>
      </c>
      <c r="K211" s="50">
        <f t="shared" si="226"/>
        <v>-1897.3850553499999</v>
      </c>
      <c r="L211" s="50">
        <f t="shared" si="226"/>
        <v>-149.97915660999979</v>
      </c>
      <c r="M211" s="50">
        <f t="shared" si="226"/>
        <v>-384.64695343000039</v>
      </c>
      <c r="N211" s="50">
        <f t="shared" si="226"/>
        <v>-1270.6724282699997</v>
      </c>
      <c r="O211" s="50">
        <f t="shared" si="226"/>
        <v>-24.923103840000294</v>
      </c>
      <c r="P211" s="50">
        <f t="shared" si="226"/>
        <v>-88.735237249999955</v>
      </c>
      <c r="Q211" s="50">
        <f t="shared" si="226"/>
        <v>-406.70783187000006</v>
      </c>
      <c r="R211" s="50">
        <f t="shared" si="226"/>
        <v>-2756.6600000399994</v>
      </c>
      <c r="S211" s="50">
        <f t="shared" si="226"/>
        <v>-2715.3526365297403</v>
      </c>
      <c r="T211" s="50">
        <f t="shared" si="226"/>
        <v>-4783.9055102719431</v>
      </c>
      <c r="U211" s="50">
        <f t="shared" si="226"/>
        <v>-3881.1277200240147</v>
      </c>
      <c r="V211" s="8"/>
      <c r="W211" s="50"/>
      <c r="X211" s="50"/>
      <c r="Y211" s="50"/>
      <c r="Z211" s="51"/>
      <c r="AA211" s="50"/>
      <c r="AB211" s="50"/>
      <c r="AC211" s="50"/>
      <c r="AD211" s="51"/>
      <c r="AE211" s="50"/>
      <c r="AF211" s="50"/>
      <c r="AG211" s="50"/>
      <c r="AH211" s="51"/>
      <c r="AI211" s="50"/>
      <c r="AJ211" s="50"/>
      <c r="AK211" s="50"/>
      <c r="AL211" s="51"/>
      <c r="AM211" s="50"/>
      <c r="AN211" s="50"/>
      <c r="AO211" s="50"/>
      <c r="AP211" s="51"/>
      <c r="AQ211" s="50"/>
      <c r="AR211" s="50"/>
      <c r="AS211" s="50"/>
      <c r="AT211" s="51"/>
      <c r="AU211" s="50"/>
      <c r="AV211" s="50"/>
      <c r="AW211" s="50"/>
      <c r="AX211" s="51"/>
      <c r="AY211" s="50"/>
      <c r="AZ211" s="50"/>
      <c r="BA211" s="50"/>
      <c r="BB211" s="51"/>
      <c r="BC211" s="50"/>
      <c r="BD211" s="50"/>
      <c r="BE211" s="50"/>
      <c r="BF211" s="51"/>
      <c r="BG211" s="50"/>
      <c r="BH211" s="50"/>
      <c r="BI211" s="50"/>
      <c r="BJ211" s="51"/>
      <c r="BK211" s="50"/>
      <c r="BL211" s="50"/>
      <c r="BM211" s="50"/>
      <c r="BN211" s="51"/>
      <c r="BO211" s="50"/>
      <c r="BP211" s="50"/>
      <c r="BQ211" s="50"/>
      <c r="BR211" s="51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C211" s="50"/>
      <c r="DD211" s="50"/>
      <c r="DE211" s="50"/>
      <c r="DF211" s="50"/>
      <c r="DG211" s="50"/>
      <c r="DH211" s="50"/>
      <c r="DI211" s="50"/>
      <c r="DJ211" s="50"/>
      <c r="DK211" s="50"/>
    </row>
    <row r="212" spans="1:115" x14ac:dyDescent="0.4">
      <c r="A212" s="41"/>
      <c r="B212" s="53" t="s">
        <v>154</v>
      </c>
      <c r="C212" s="50">
        <v>-6.7628953200000002</v>
      </c>
      <c r="D212" s="50">
        <f t="shared" ref="D212:U212" si="227">D140-C140</f>
        <v>6.9809692699999992</v>
      </c>
      <c r="E212" s="50">
        <f t="shared" si="227"/>
        <v>-3.8215921300000026</v>
      </c>
      <c r="F212" s="50">
        <f t="shared" si="227"/>
        <v>-11.129573059999998</v>
      </c>
      <c r="G212" s="50">
        <f t="shared" si="227"/>
        <v>26.753763729999999</v>
      </c>
      <c r="H212" s="50">
        <f t="shared" si="227"/>
        <v>-12.732792359999998</v>
      </c>
      <c r="I212" s="50">
        <f t="shared" si="227"/>
        <v>0.26435825000000079</v>
      </c>
      <c r="J212" s="50">
        <f t="shared" si="227"/>
        <v>5.3497550700000005</v>
      </c>
      <c r="K212" s="50">
        <f t="shared" si="227"/>
        <v>1646.45398325</v>
      </c>
      <c r="L212" s="50">
        <f t="shared" si="227"/>
        <v>-732.04141484999991</v>
      </c>
      <c r="M212" s="50">
        <f t="shared" si="227"/>
        <v>489.53067828999997</v>
      </c>
      <c r="N212" s="50">
        <f t="shared" si="227"/>
        <v>238.92711447000011</v>
      </c>
      <c r="O212" s="50">
        <f t="shared" si="227"/>
        <v>-229.4086279600001</v>
      </c>
      <c r="P212" s="50">
        <f t="shared" si="227"/>
        <v>-62.761867809999785</v>
      </c>
      <c r="Q212" s="50">
        <f t="shared" si="227"/>
        <v>785.26021187999959</v>
      </c>
      <c r="R212" s="50">
        <f t="shared" si="227"/>
        <v>1344.3396864300003</v>
      </c>
      <c r="S212" s="50">
        <f t="shared" si="227"/>
        <v>384.27180772828615</v>
      </c>
      <c r="T212" s="50">
        <f t="shared" si="227"/>
        <v>1334.7804478627095</v>
      </c>
      <c r="U212" s="50">
        <f t="shared" si="227"/>
        <v>1456.5197295301205</v>
      </c>
      <c r="V212" s="8"/>
      <c r="W212" s="50"/>
      <c r="X212" s="50"/>
      <c r="Y212" s="50"/>
      <c r="Z212" s="51"/>
      <c r="AA212" s="50"/>
      <c r="AB212" s="50"/>
      <c r="AC212" s="50"/>
      <c r="AD212" s="51"/>
      <c r="AE212" s="50"/>
      <c r="AF212" s="50"/>
      <c r="AG212" s="50"/>
      <c r="AH212" s="51"/>
      <c r="AI212" s="50"/>
      <c r="AJ212" s="50"/>
      <c r="AK212" s="50"/>
      <c r="AL212" s="51"/>
      <c r="AM212" s="50"/>
      <c r="AN212" s="50"/>
      <c r="AO212" s="50"/>
      <c r="AP212" s="51"/>
      <c r="AQ212" s="50"/>
      <c r="AR212" s="50"/>
      <c r="AS212" s="50"/>
      <c r="AT212" s="51"/>
      <c r="AU212" s="50"/>
      <c r="AV212" s="50"/>
      <c r="AW212" s="50"/>
      <c r="AX212" s="51"/>
      <c r="AY212" s="50"/>
      <c r="AZ212" s="50"/>
      <c r="BA212" s="50"/>
      <c r="BB212" s="51"/>
      <c r="BC212" s="50"/>
      <c r="BD212" s="50"/>
      <c r="BE212" s="50"/>
      <c r="BF212" s="51"/>
      <c r="BG212" s="50"/>
      <c r="BH212" s="50"/>
      <c r="BI212" s="50"/>
      <c r="BJ212" s="51"/>
      <c r="BK212" s="50"/>
      <c r="BL212" s="50"/>
      <c r="BM212" s="50"/>
      <c r="BN212" s="51"/>
      <c r="BO212" s="50"/>
      <c r="BP212" s="50"/>
      <c r="BQ212" s="50"/>
      <c r="BR212" s="51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  <c r="CL212" s="50"/>
      <c r="CM212" s="50"/>
      <c r="CN212" s="50"/>
      <c r="CO212" s="50"/>
      <c r="CP212" s="50"/>
      <c r="CQ212" s="50"/>
      <c r="CR212" s="50"/>
      <c r="CS212" s="50"/>
      <c r="CT212" s="50"/>
      <c r="CU212" s="50"/>
      <c r="CV212" s="50"/>
      <c r="CW212" s="50"/>
      <c r="CX212" s="50"/>
      <c r="CY212" s="50"/>
      <c r="CZ212" s="50"/>
      <c r="DA212" s="50"/>
      <c r="DB212" s="50"/>
      <c r="DC212" s="50"/>
      <c r="DD212" s="50"/>
      <c r="DE212" s="50"/>
      <c r="DF212" s="50"/>
      <c r="DG212" s="50"/>
      <c r="DH212" s="50"/>
      <c r="DI212" s="50"/>
      <c r="DJ212" s="50"/>
      <c r="DK212" s="50"/>
    </row>
    <row r="213" spans="1:115" x14ac:dyDescent="0.4">
      <c r="A213" s="41"/>
      <c r="B213" s="50" t="s">
        <v>210</v>
      </c>
      <c r="C213" s="60">
        <f t="shared" ref="C213:I213" si="228">C214-SUM(C204:C209)</f>
        <v>-1.3964136600000003</v>
      </c>
      <c r="D213" s="60">
        <f t="shared" si="228"/>
        <v>1.0425401500000042</v>
      </c>
      <c r="E213" s="60">
        <f t="shared" si="228"/>
        <v>-1.8076139900000072</v>
      </c>
      <c r="F213" s="60">
        <f t="shared" si="228"/>
        <v>-18.609076699999996</v>
      </c>
      <c r="G213" s="60">
        <f t="shared" si="228"/>
        <v>-2.8153520999999841</v>
      </c>
      <c r="H213" s="60">
        <f t="shared" si="228"/>
        <v>-0.9641260000000198</v>
      </c>
      <c r="I213" s="60">
        <f t="shared" si="228"/>
        <v>5.1687423299999935</v>
      </c>
      <c r="J213" s="60">
        <f t="shared" ref="J213:O213" si="229">J214-SUM(J204:J209)</f>
        <v>-34.868545119999993</v>
      </c>
      <c r="K213" s="60">
        <f t="shared" si="229"/>
        <v>1065.3250753921593</v>
      </c>
      <c r="L213" s="60">
        <f t="shared" si="229"/>
        <v>493.60280461374657</v>
      </c>
      <c r="M213" s="60">
        <f t="shared" si="229"/>
        <v>-91.540665998703048</v>
      </c>
      <c r="N213" s="60">
        <f t="shared" si="229"/>
        <v>92.183944709999651</v>
      </c>
      <c r="O213" s="60">
        <f t="shared" si="229"/>
        <v>251.74680147000061</v>
      </c>
      <c r="P213" s="60">
        <f>P214-SUM(P204:P209)</f>
        <v>287.4866739199997</v>
      </c>
      <c r="Q213" s="60">
        <f>Q214-SUM(Q204:Q209)</f>
        <v>-109.85070744000041</v>
      </c>
      <c r="R213" s="60">
        <f>R214-SUM(R204:R209)</f>
        <v>373.05432846000076</v>
      </c>
      <c r="S213" s="60">
        <v>0</v>
      </c>
      <c r="T213" s="60">
        <v>0</v>
      </c>
      <c r="U213" s="60">
        <v>0</v>
      </c>
      <c r="V213" s="8"/>
      <c r="W213" s="50"/>
      <c r="X213" s="50"/>
      <c r="Y213" s="50"/>
      <c r="Z213" s="51"/>
      <c r="AA213" s="50"/>
      <c r="AB213" s="50"/>
      <c r="AC213" s="50"/>
      <c r="AD213" s="51"/>
      <c r="AE213" s="50"/>
      <c r="AF213" s="50"/>
      <c r="AG213" s="50"/>
      <c r="AH213" s="51"/>
      <c r="AI213" s="50"/>
      <c r="AJ213" s="50"/>
      <c r="AK213" s="50"/>
      <c r="AL213" s="51"/>
      <c r="AM213" s="50"/>
      <c r="AN213" s="50"/>
      <c r="AO213" s="50"/>
      <c r="AP213" s="51"/>
      <c r="AQ213" s="50"/>
      <c r="AR213" s="50"/>
      <c r="AS213" s="50"/>
      <c r="AT213" s="51"/>
      <c r="AU213" s="50"/>
      <c r="AV213" s="50"/>
      <c r="AW213" s="50"/>
      <c r="AX213" s="51"/>
      <c r="AY213" s="50"/>
      <c r="AZ213" s="50"/>
      <c r="BA213" s="50"/>
      <c r="BB213" s="51"/>
      <c r="BC213" s="50"/>
      <c r="BD213" s="50"/>
      <c r="BE213" s="50"/>
      <c r="BF213" s="51"/>
      <c r="BG213" s="50"/>
      <c r="BH213" s="50"/>
      <c r="BI213" s="50"/>
      <c r="BJ213" s="51"/>
      <c r="BK213" s="50"/>
      <c r="BL213" s="50"/>
      <c r="BM213" s="50"/>
      <c r="BN213" s="51"/>
      <c r="BO213" s="50"/>
      <c r="BP213" s="50"/>
      <c r="BQ213" s="50"/>
      <c r="BR213" s="51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  <c r="DD213" s="50"/>
      <c r="DE213" s="50"/>
      <c r="DF213" s="50"/>
      <c r="DG213" s="50"/>
      <c r="DH213" s="50"/>
      <c r="DI213" s="50"/>
      <c r="DJ213" s="50"/>
      <c r="DK213" s="50"/>
    </row>
    <row r="214" spans="1:115" x14ac:dyDescent="0.4">
      <c r="A214" s="84"/>
      <c r="B214" s="63" t="s">
        <v>211</v>
      </c>
      <c r="C214" s="42">
        <v>34.252350180000001</v>
      </c>
      <c r="D214" s="42">
        <v>32.302589640000001</v>
      </c>
      <c r="E214" s="42">
        <v>33.019518660000003</v>
      </c>
      <c r="F214" s="42">
        <v>-13.274320019999999</v>
      </c>
      <c r="G214" s="42">
        <v>36.13980497</v>
      </c>
      <c r="H214" s="42">
        <v>9.1146302499999994</v>
      </c>
      <c r="I214" s="42">
        <v>26.968204499999999</v>
      </c>
      <c r="J214" s="42">
        <v>33.833600509999997</v>
      </c>
      <c r="K214" s="42">
        <v>41.35711225</v>
      </c>
      <c r="L214" s="42">
        <v>660.01352646000009</v>
      </c>
      <c r="M214" s="42">
        <v>569.45769894000011</v>
      </c>
      <c r="N214" s="42">
        <v>21.688211249999998</v>
      </c>
      <c r="O214" s="42">
        <v>812.76060313999994</v>
      </c>
      <c r="P214" s="42">
        <v>2448.9408732800002</v>
      </c>
      <c r="Q214" s="42">
        <v>1897.1269187099999</v>
      </c>
      <c r="R214" s="42">
        <v>3164.5829578499997</v>
      </c>
      <c r="S214" s="63">
        <f t="shared" ref="S214:U214" si="230">SUM(S204:S209)+S213</f>
        <v>5771.7178413293295</v>
      </c>
      <c r="T214" s="63">
        <f t="shared" si="230"/>
        <v>12267.725130190665</v>
      </c>
      <c r="U214" s="63">
        <f t="shared" si="230"/>
        <v>17000.982313018365</v>
      </c>
      <c r="V214" s="8"/>
      <c r="W214" s="42"/>
      <c r="X214" s="42"/>
      <c r="Y214" s="42"/>
      <c r="Z214" s="44"/>
      <c r="AA214" s="42"/>
      <c r="AB214" s="42"/>
      <c r="AC214" s="42"/>
      <c r="AD214" s="44"/>
      <c r="AE214" s="42"/>
      <c r="AF214" s="42"/>
      <c r="AG214" s="42"/>
      <c r="AH214" s="44"/>
      <c r="AI214" s="42"/>
      <c r="AJ214" s="42"/>
      <c r="AK214" s="42"/>
      <c r="AL214" s="44"/>
      <c r="AM214" s="42"/>
      <c r="AN214" s="42"/>
      <c r="AO214" s="42"/>
      <c r="AP214" s="44"/>
      <c r="AQ214" s="42"/>
      <c r="AR214" s="42"/>
      <c r="AS214" s="42"/>
      <c r="AT214" s="44"/>
      <c r="AU214" s="42"/>
      <c r="AV214" s="42"/>
      <c r="AW214" s="42"/>
      <c r="AX214" s="44"/>
      <c r="AY214" s="42"/>
      <c r="AZ214" s="42"/>
      <c r="BA214" s="42"/>
      <c r="BB214" s="44"/>
      <c r="BC214" s="42"/>
      <c r="BD214" s="42"/>
      <c r="BE214" s="42"/>
      <c r="BF214" s="44"/>
      <c r="BG214" s="42"/>
      <c r="BH214" s="42"/>
      <c r="BI214" s="42"/>
      <c r="BJ214" s="44"/>
      <c r="BK214" s="42"/>
      <c r="BL214" s="42"/>
      <c r="BM214" s="42"/>
      <c r="BN214" s="44"/>
      <c r="BO214" s="42"/>
      <c r="BP214" s="42"/>
      <c r="BQ214" s="42"/>
      <c r="BR214" s="44"/>
      <c r="BS214" s="42"/>
      <c r="BT214" s="42"/>
      <c r="BU214" s="42"/>
      <c r="BV214" s="42"/>
      <c r="BW214" s="42"/>
      <c r="BX214" s="42"/>
      <c r="BY214" s="42"/>
      <c r="BZ214" s="42"/>
      <c r="CA214" s="42"/>
      <c r="CB214" s="42"/>
      <c r="CC214" s="42"/>
      <c r="CD214" s="42"/>
      <c r="CE214" s="42"/>
      <c r="CF214" s="42"/>
      <c r="CG214" s="42"/>
      <c r="CH214" s="42"/>
      <c r="CI214" s="42"/>
      <c r="CJ214" s="42"/>
      <c r="CK214" s="42"/>
      <c r="CL214" s="42"/>
      <c r="CM214" s="42"/>
      <c r="CN214" s="42"/>
      <c r="CO214" s="42"/>
      <c r="CP214" s="48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  <c r="DD214" s="48"/>
      <c r="DE214" s="48"/>
      <c r="DF214" s="48"/>
      <c r="DG214" s="48"/>
      <c r="DH214" s="48"/>
      <c r="DI214" s="48"/>
      <c r="DJ214" s="48"/>
      <c r="DK214" s="48"/>
    </row>
    <row r="215" spans="1:115" x14ac:dyDescent="0.4">
      <c r="A215" s="41"/>
      <c r="B215" s="59" t="s">
        <v>153</v>
      </c>
      <c r="C215" s="268"/>
      <c r="D215" s="268"/>
      <c r="E215" s="268"/>
      <c r="F215" s="268"/>
      <c r="G215" s="268"/>
      <c r="H215" s="268"/>
      <c r="I215" s="268"/>
      <c r="J215" s="146"/>
      <c r="K215" s="268"/>
      <c r="L215" s="268"/>
      <c r="M215" s="269"/>
      <c r="N215" s="269"/>
      <c r="O215" s="269"/>
      <c r="P215" s="269"/>
      <c r="Q215" s="269"/>
      <c r="R215" s="269"/>
      <c r="S215" s="43"/>
      <c r="T215" s="43"/>
      <c r="U215" s="43"/>
      <c r="V215" s="8"/>
      <c r="W215" s="40"/>
      <c r="X215" s="40"/>
      <c r="Y215" s="40"/>
      <c r="Z215" s="270"/>
      <c r="AA215" s="40"/>
      <c r="AB215" s="40"/>
      <c r="AC215" s="40"/>
      <c r="AD215" s="270"/>
      <c r="AE215" s="40"/>
      <c r="AF215" s="40"/>
      <c r="AG215" s="40"/>
      <c r="AH215" s="270"/>
      <c r="AI215" s="40"/>
      <c r="AJ215" s="40"/>
      <c r="AK215" s="40"/>
      <c r="AL215" s="270"/>
      <c r="AM215" s="40"/>
      <c r="AN215" s="40"/>
      <c r="AO215" s="40"/>
      <c r="AP215" s="270"/>
      <c r="AQ215" s="40"/>
      <c r="AR215" s="40"/>
      <c r="AS215" s="40"/>
      <c r="AT215" s="270"/>
      <c r="AU215" s="40"/>
      <c r="AV215" s="40"/>
      <c r="AW215" s="40"/>
      <c r="AX215" s="270"/>
      <c r="AY215" s="40"/>
      <c r="AZ215" s="40"/>
      <c r="BA215" s="40"/>
      <c r="BB215" s="270"/>
      <c r="BC215" s="40"/>
      <c r="BD215" s="40"/>
      <c r="BE215" s="40"/>
      <c r="BF215" s="270"/>
      <c r="BG215" s="40"/>
      <c r="BH215" s="40"/>
      <c r="BI215" s="40"/>
      <c r="BJ215" s="270"/>
      <c r="BK215" s="40"/>
      <c r="BL215" s="40"/>
      <c r="BM215" s="40"/>
      <c r="BN215" s="270"/>
      <c r="BO215" s="40"/>
      <c r="BP215" s="40"/>
      <c r="BQ215" s="40"/>
      <c r="BR215" s="27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  <c r="CW215" s="40"/>
      <c r="CX215" s="40"/>
      <c r="CY215" s="40"/>
      <c r="CZ215" s="40"/>
      <c r="DA215" s="40"/>
      <c r="DB215" s="40"/>
      <c r="DC215" s="40"/>
      <c r="DD215" s="40"/>
      <c r="DE215" s="40"/>
      <c r="DF215" s="40"/>
      <c r="DG215" s="40"/>
      <c r="DH215" s="40"/>
      <c r="DI215" s="40"/>
      <c r="DJ215" s="40"/>
      <c r="DK215" s="40"/>
    </row>
    <row r="216" spans="1:115" x14ac:dyDescent="0.4">
      <c r="A216" s="41"/>
      <c r="B216" s="50" t="s">
        <v>212</v>
      </c>
      <c r="C216" s="50">
        <v>-12.53291995</v>
      </c>
      <c r="D216" s="50">
        <v>-47.203137079999998</v>
      </c>
      <c r="E216" s="50">
        <v>-49.970612960000004</v>
      </c>
      <c r="F216" s="50">
        <v>-27.023413619999999</v>
      </c>
      <c r="G216" s="50">
        <v>-95.70248312999999</v>
      </c>
      <c r="H216" s="50">
        <v>-63.445460779999998</v>
      </c>
      <c r="I216" s="50">
        <v>-52.825992360000001</v>
      </c>
      <c r="J216" s="50">
        <v>-35.425238590000006</v>
      </c>
      <c r="K216" s="50">
        <v>-420.77827873000001</v>
      </c>
      <c r="L216" s="50">
        <v>-607.73497116999999</v>
      </c>
      <c r="M216" s="50">
        <v>-759.30640070000004</v>
      </c>
      <c r="N216" s="50">
        <v>-956.06872454999996</v>
      </c>
      <c r="O216" s="50">
        <v>-839.57849895000004</v>
      </c>
      <c r="P216" s="50">
        <v>-791.83457912000006</v>
      </c>
      <c r="Q216" s="50">
        <v>-1704.4563548199999</v>
      </c>
      <c r="R216" s="50">
        <v>-2866.15732196</v>
      </c>
      <c r="S216" s="50">
        <f t="shared" ref="S216:U216" si="231">-(S178+S186)</f>
        <v>-3469.3887863519999</v>
      </c>
      <c r="T216" s="50">
        <f t="shared" si="231"/>
        <v>-3125.4499077167998</v>
      </c>
      <c r="U216" s="50">
        <f t="shared" si="231"/>
        <v>-2506.3599261734398</v>
      </c>
      <c r="V216" s="8"/>
      <c r="W216" s="52"/>
      <c r="X216" s="52"/>
      <c r="Y216" s="52"/>
      <c r="Z216" s="54"/>
      <c r="AA216" s="52"/>
      <c r="AB216" s="52"/>
      <c r="AC216" s="52"/>
      <c r="AD216" s="54"/>
      <c r="AE216" s="52"/>
      <c r="AF216" s="52"/>
      <c r="AG216" s="52"/>
      <c r="AH216" s="54"/>
      <c r="AI216" s="52"/>
      <c r="AJ216" s="52"/>
      <c r="AK216" s="52"/>
      <c r="AL216" s="54"/>
      <c r="AM216" s="52"/>
      <c r="AN216" s="52"/>
      <c r="AO216" s="52"/>
      <c r="AP216" s="51"/>
      <c r="AQ216" s="50"/>
      <c r="AR216" s="50"/>
      <c r="AS216" s="50"/>
      <c r="AT216" s="51"/>
      <c r="AU216" s="50"/>
      <c r="AV216" s="50"/>
      <c r="AW216" s="50"/>
      <c r="AX216" s="51"/>
      <c r="AY216" s="50"/>
      <c r="AZ216" s="50"/>
      <c r="BA216" s="50"/>
      <c r="BB216" s="51"/>
      <c r="BC216" s="50"/>
      <c r="BD216" s="50"/>
      <c r="BE216" s="50"/>
      <c r="BF216" s="51"/>
      <c r="BG216" s="50"/>
      <c r="BH216" s="50"/>
      <c r="BI216" s="50"/>
      <c r="BJ216" s="51"/>
      <c r="BK216" s="50"/>
      <c r="BL216" s="50"/>
      <c r="BM216" s="50"/>
      <c r="BN216" s="51"/>
      <c r="BO216" s="50"/>
      <c r="BP216" s="50"/>
      <c r="BQ216" s="50"/>
      <c r="BR216" s="51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  <c r="CP216" s="52"/>
      <c r="CQ216" s="52"/>
      <c r="CR216" s="52"/>
      <c r="CS216" s="52"/>
      <c r="CT216" s="52"/>
      <c r="CU216" s="52"/>
      <c r="CV216" s="52"/>
      <c r="CW216" s="52"/>
      <c r="CX216" s="52"/>
      <c r="CY216" s="52"/>
      <c r="CZ216" s="52"/>
      <c r="DA216" s="52"/>
      <c r="DB216" s="52"/>
      <c r="DC216" s="52"/>
      <c r="DD216" s="52"/>
      <c r="DE216" s="52"/>
      <c r="DF216" s="52"/>
      <c r="DG216" s="52"/>
      <c r="DH216" s="52"/>
      <c r="DI216" s="52"/>
      <c r="DJ216" s="52"/>
      <c r="DK216" s="52"/>
    </row>
    <row r="217" spans="1:115" x14ac:dyDescent="0.4">
      <c r="A217" s="41"/>
      <c r="B217" s="50" t="s">
        <v>213</v>
      </c>
      <c r="C217" s="50">
        <v>0</v>
      </c>
      <c r="D217" s="50">
        <v>0</v>
      </c>
      <c r="E217" s="50">
        <v>0</v>
      </c>
      <c r="F217" s="50">
        <v>0</v>
      </c>
      <c r="G217" s="50">
        <v>0</v>
      </c>
      <c r="H217" s="50">
        <v>0</v>
      </c>
      <c r="I217" s="50">
        <v>0</v>
      </c>
      <c r="J217" s="50">
        <v>0</v>
      </c>
      <c r="K217" s="50">
        <v>0</v>
      </c>
      <c r="L217" s="50">
        <v>0</v>
      </c>
      <c r="M217" s="50">
        <v>0</v>
      </c>
      <c r="N217" s="50">
        <v>-163.52379336999999</v>
      </c>
      <c r="O217" s="50">
        <v>-541.91440225999997</v>
      </c>
      <c r="P217" s="50">
        <v>302.3</v>
      </c>
      <c r="Q217" s="50">
        <v>-37.849381549999997</v>
      </c>
      <c r="R217" s="50">
        <v>0</v>
      </c>
      <c r="S217" s="96">
        <v>0</v>
      </c>
      <c r="T217" s="96">
        <v>0</v>
      </c>
      <c r="U217" s="96">
        <v>0</v>
      </c>
      <c r="V217" s="8"/>
      <c r="W217" s="52"/>
      <c r="X217" s="52"/>
      <c r="Y217" s="52"/>
      <c r="Z217" s="54"/>
      <c r="AA217" s="52"/>
      <c r="AB217" s="52"/>
      <c r="AC217" s="52"/>
      <c r="AD217" s="54"/>
      <c r="AE217" s="52"/>
      <c r="AF217" s="52"/>
      <c r="AG217" s="52"/>
      <c r="AH217" s="54"/>
      <c r="AI217" s="52"/>
      <c r="AJ217" s="52"/>
      <c r="AK217" s="52"/>
      <c r="AL217" s="54"/>
      <c r="AM217" s="52"/>
      <c r="AN217" s="52"/>
      <c r="AO217" s="52"/>
      <c r="AP217" s="56"/>
      <c r="AQ217" s="55"/>
      <c r="AR217" s="55"/>
      <c r="AS217" s="55"/>
      <c r="AT217" s="56"/>
      <c r="AU217" s="55"/>
      <c r="AV217" s="55"/>
      <c r="AW217" s="55"/>
      <c r="AX217" s="56"/>
      <c r="AY217" s="55"/>
      <c r="AZ217" s="55"/>
      <c r="BA217" s="55"/>
      <c r="BB217" s="56"/>
      <c r="BC217" s="55"/>
      <c r="BD217" s="55"/>
      <c r="BE217" s="55"/>
      <c r="BF217" s="56"/>
      <c r="BG217" s="55"/>
      <c r="BH217" s="55"/>
      <c r="BI217" s="55"/>
      <c r="BJ217" s="56"/>
      <c r="BK217" s="55"/>
      <c r="BL217" s="55"/>
      <c r="BM217" s="55"/>
      <c r="BN217" s="56"/>
      <c r="BO217" s="55"/>
      <c r="BP217" s="55"/>
      <c r="BQ217" s="55"/>
      <c r="BR217" s="56"/>
      <c r="BS217" s="55"/>
      <c r="BT217" s="55"/>
      <c r="BU217" s="55"/>
      <c r="BV217" s="55"/>
      <c r="BW217" s="55"/>
      <c r="BX217" s="55"/>
      <c r="BY217" s="55"/>
      <c r="BZ217" s="55"/>
      <c r="CA217" s="55"/>
      <c r="CB217" s="55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  <c r="CP217" s="52"/>
      <c r="CQ217" s="52"/>
      <c r="CR217" s="52"/>
      <c r="CS217" s="52"/>
      <c r="CT217" s="52"/>
      <c r="CU217" s="52"/>
      <c r="CV217" s="52"/>
      <c r="CW217" s="52"/>
      <c r="CX217" s="52"/>
      <c r="CY217" s="52"/>
      <c r="CZ217" s="52"/>
      <c r="DA217" s="52"/>
      <c r="DB217" s="52"/>
      <c r="DC217" s="52"/>
      <c r="DD217" s="52"/>
      <c r="DE217" s="52"/>
      <c r="DF217" s="52"/>
      <c r="DG217" s="52"/>
      <c r="DH217" s="52"/>
      <c r="DI217" s="52"/>
      <c r="DJ217" s="52"/>
      <c r="DK217" s="52"/>
    </row>
    <row r="218" spans="1:115" x14ac:dyDescent="0.4">
      <c r="A218" s="41"/>
      <c r="B218" s="50" t="s">
        <v>214</v>
      </c>
      <c r="C218" s="50">
        <v>0</v>
      </c>
      <c r="D218" s="50">
        <v>0</v>
      </c>
      <c r="E218" s="50">
        <v>0</v>
      </c>
      <c r="F218" s="50">
        <v>0</v>
      </c>
      <c r="G218" s="50">
        <v>0</v>
      </c>
      <c r="H218" s="50">
        <v>-26.987437</v>
      </c>
      <c r="I218" s="50">
        <v>30.5</v>
      </c>
      <c r="J218" s="50">
        <v>6</v>
      </c>
      <c r="K218" s="50">
        <v>23.13054</v>
      </c>
      <c r="L218" s="50">
        <v>-72.05</v>
      </c>
      <c r="M218" s="50">
        <v>-699.6</v>
      </c>
      <c r="N218" s="50">
        <v>222.41159999999999</v>
      </c>
      <c r="O218" s="50">
        <v>121.02</v>
      </c>
      <c r="P218" s="50">
        <v>-1103.1122200500001</v>
      </c>
      <c r="Q218" s="50">
        <v>501.254977</v>
      </c>
      <c r="R218" s="50">
        <v>-105.60115999999999</v>
      </c>
      <c r="S218" s="50">
        <f t="shared" ref="S218:U218" si="232">+S135-R135</f>
        <v>0</v>
      </c>
      <c r="T218" s="50">
        <f t="shared" si="232"/>
        <v>0</v>
      </c>
      <c r="U218" s="50">
        <f t="shared" si="232"/>
        <v>0</v>
      </c>
      <c r="V218" s="8"/>
      <c r="W218" s="52"/>
      <c r="X218" s="52"/>
      <c r="Y218" s="52"/>
      <c r="Z218" s="54"/>
      <c r="AA218" s="52"/>
      <c r="AB218" s="52"/>
      <c r="AC218" s="52"/>
      <c r="AD218" s="54"/>
      <c r="AE218" s="52"/>
      <c r="AF218" s="52"/>
      <c r="AG218" s="52"/>
      <c r="AH218" s="54"/>
      <c r="AI218" s="52"/>
      <c r="AJ218" s="52"/>
      <c r="AK218" s="52"/>
      <c r="AL218" s="54"/>
      <c r="AM218" s="52"/>
      <c r="AN218" s="52"/>
      <c r="AO218" s="52"/>
      <c r="AP218" s="242"/>
      <c r="AQ218" s="243"/>
      <c r="AR218" s="243"/>
      <c r="AS218" s="243"/>
      <c r="AT218" s="242"/>
      <c r="AU218" s="243"/>
      <c r="AV218" s="243"/>
      <c r="AW218" s="243"/>
      <c r="AX218" s="242"/>
      <c r="AY218" s="243"/>
      <c r="AZ218" s="243"/>
      <c r="BA218" s="243"/>
      <c r="BB218" s="242"/>
      <c r="BC218" s="243"/>
      <c r="BD218" s="243"/>
      <c r="BE218" s="243"/>
      <c r="BF218" s="242"/>
      <c r="BG218" s="243"/>
      <c r="BH218" s="243"/>
      <c r="BI218" s="243"/>
      <c r="BJ218" s="242"/>
      <c r="BK218" s="243"/>
      <c r="BL218" s="243"/>
      <c r="BM218" s="243"/>
      <c r="BN218" s="242"/>
      <c r="BO218" s="243"/>
      <c r="BP218" s="243"/>
      <c r="BQ218" s="243"/>
      <c r="BR218" s="242"/>
      <c r="BS218" s="243"/>
      <c r="BT218" s="243"/>
      <c r="BU218" s="243"/>
      <c r="BV218" s="243"/>
      <c r="BW218" s="243"/>
      <c r="BX218" s="243"/>
      <c r="BY218" s="243"/>
      <c r="BZ218" s="243"/>
      <c r="CA218" s="243"/>
      <c r="CB218" s="243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  <c r="CP218" s="52"/>
      <c r="CQ218" s="52"/>
      <c r="CR218" s="52"/>
      <c r="CS218" s="52"/>
      <c r="CT218" s="52"/>
      <c r="CU218" s="52"/>
      <c r="CV218" s="52"/>
      <c r="CW218" s="52"/>
      <c r="CX218" s="52"/>
      <c r="CY218" s="52"/>
      <c r="CZ218" s="52"/>
      <c r="DA218" s="52"/>
      <c r="DB218" s="52"/>
      <c r="DC218" s="52"/>
      <c r="DD218" s="52"/>
      <c r="DE218" s="52"/>
      <c r="DF218" s="52"/>
      <c r="DG218" s="52"/>
      <c r="DH218" s="52"/>
      <c r="DI218" s="52"/>
      <c r="DJ218" s="52"/>
      <c r="DK218" s="52"/>
    </row>
    <row r="219" spans="1:115" x14ac:dyDescent="0.4">
      <c r="A219" s="41"/>
      <c r="B219" s="50" t="s">
        <v>215</v>
      </c>
      <c r="C219" s="60">
        <f>+C220-C216-C217-C218</f>
        <v>0</v>
      </c>
      <c r="D219" s="60">
        <f t="shared" ref="D219:Q219" si="233">+D220-D216-D217-D218</f>
        <v>4.9999999999997158E-2</v>
      </c>
      <c r="E219" s="60">
        <f t="shared" si="233"/>
        <v>0.49800000000000466</v>
      </c>
      <c r="F219" s="60">
        <f t="shared" si="233"/>
        <v>-215.1870093</v>
      </c>
      <c r="G219" s="60">
        <f t="shared" si="233"/>
        <v>97.113889429999986</v>
      </c>
      <c r="H219" s="60">
        <f t="shared" si="233"/>
        <v>21.742051920000002</v>
      </c>
      <c r="I219" s="60">
        <f t="shared" si="233"/>
        <v>90.703382619999999</v>
      </c>
      <c r="J219" s="60">
        <f t="shared" si="233"/>
        <v>-51.226400009999992</v>
      </c>
      <c r="K219" s="60">
        <f t="shared" si="233"/>
        <v>251.29763247000005</v>
      </c>
      <c r="L219" s="60">
        <f t="shared" si="233"/>
        <v>6.7068326500000666</v>
      </c>
      <c r="M219" s="60">
        <f t="shared" si="233"/>
        <v>-480.4637236599998</v>
      </c>
      <c r="N219" s="60">
        <f t="shared" si="233"/>
        <v>24.362957469999856</v>
      </c>
      <c r="O219" s="60">
        <f t="shared" si="233"/>
        <v>41.87884399000005</v>
      </c>
      <c r="P219" s="60">
        <f t="shared" si="233"/>
        <v>39.763735010000119</v>
      </c>
      <c r="Q219" s="60">
        <f t="shared" si="233"/>
        <v>64.880098189999842</v>
      </c>
      <c r="R219" s="60">
        <f>+R220-R216-R217-R218</f>
        <v>29.754952439999954</v>
      </c>
      <c r="S219" s="96">
        <v>0</v>
      </c>
      <c r="T219" s="96">
        <v>0</v>
      </c>
      <c r="U219" s="96">
        <v>0</v>
      </c>
      <c r="V219" s="8"/>
      <c r="W219" s="50"/>
      <c r="X219" s="50"/>
      <c r="Y219" s="50"/>
      <c r="Z219" s="51"/>
      <c r="AA219" s="50"/>
      <c r="AB219" s="50"/>
      <c r="AC219" s="50"/>
      <c r="AD219" s="51"/>
      <c r="AE219" s="50"/>
      <c r="AF219" s="50"/>
      <c r="AG219" s="50"/>
      <c r="AH219" s="51"/>
      <c r="AI219" s="50"/>
      <c r="AJ219" s="50"/>
      <c r="AK219" s="50"/>
      <c r="AL219" s="51"/>
      <c r="AM219" s="50"/>
      <c r="AN219" s="50"/>
      <c r="AO219" s="50"/>
      <c r="AP219" s="51"/>
      <c r="AQ219" s="50"/>
      <c r="AR219" s="50"/>
      <c r="AS219" s="50"/>
      <c r="AT219" s="51"/>
      <c r="AU219" s="50"/>
      <c r="AV219" s="50"/>
      <c r="AW219" s="50"/>
      <c r="AX219" s="51"/>
      <c r="AY219" s="50"/>
      <c r="AZ219" s="50"/>
      <c r="BA219" s="50"/>
      <c r="BB219" s="51"/>
      <c r="BC219" s="50"/>
      <c r="BD219" s="50"/>
      <c r="BE219" s="50"/>
      <c r="BF219" s="51"/>
      <c r="BG219" s="50"/>
      <c r="BH219" s="50"/>
      <c r="BI219" s="50"/>
      <c r="BJ219" s="51"/>
      <c r="BK219" s="50"/>
      <c r="BL219" s="50"/>
      <c r="BM219" s="50"/>
      <c r="BN219" s="51"/>
      <c r="BO219" s="50"/>
      <c r="BP219" s="50"/>
      <c r="BQ219" s="50"/>
      <c r="BR219" s="51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50"/>
      <c r="DC219" s="50"/>
      <c r="DD219" s="50"/>
      <c r="DE219" s="50"/>
      <c r="DF219" s="50"/>
      <c r="DG219" s="50"/>
      <c r="DH219" s="50"/>
      <c r="DI219" s="50"/>
      <c r="DJ219" s="50"/>
      <c r="DK219" s="50"/>
    </row>
    <row r="220" spans="1:115" x14ac:dyDescent="0.4">
      <c r="A220" s="41"/>
      <c r="B220" s="63" t="s">
        <v>216</v>
      </c>
      <c r="C220" s="42">
        <v>-12.53291995</v>
      </c>
      <c r="D220" s="42">
        <v>-47.15313708</v>
      </c>
      <c r="E220" s="42">
        <v>-49.472612959999999</v>
      </c>
      <c r="F220" s="42">
        <v>-242.21042291999998</v>
      </c>
      <c r="G220" s="42">
        <v>1.4114063000000001</v>
      </c>
      <c r="H220" s="42">
        <v>-68.690845859999996</v>
      </c>
      <c r="I220" s="42">
        <v>68.377390259999999</v>
      </c>
      <c r="J220" s="42">
        <v>-80.651638599999998</v>
      </c>
      <c r="K220" s="42">
        <v>-146.35010625999999</v>
      </c>
      <c r="L220" s="42">
        <v>-673.07813851999992</v>
      </c>
      <c r="M220" s="42">
        <v>-1939.3701243599999</v>
      </c>
      <c r="N220" s="42">
        <v>-872.8179604500001</v>
      </c>
      <c r="O220" s="42">
        <v>-1218.59405722</v>
      </c>
      <c r="P220" s="42">
        <v>-1552.88306416</v>
      </c>
      <c r="Q220" s="42">
        <v>-1176.17066118</v>
      </c>
      <c r="R220" s="42">
        <v>-2942.00352952</v>
      </c>
      <c r="S220" s="63">
        <f t="shared" ref="S220:U220" si="234">SUM(S216:S219)</f>
        <v>-3469.3887863519999</v>
      </c>
      <c r="T220" s="63">
        <f t="shared" si="234"/>
        <v>-3125.4499077167998</v>
      </c>
      <c r="U220" s="63">
        <f t="shared" si="234"/>
        <v>-2506.3599261734398</v>
      </c>
      <c r="V220" s="8"/>
      <c r="W220" s="48"/>
      <c r="X220" s="48"/>
      <c r="Y220" s="48"/>
      <c r="Z220" s="207"/>
      <c r="AA220" s="48"/>
      <c r="AB220" s="48"/>
      <c r="AC220" s="48"/>
      <c r="AD220" s="207"/>
      <c r="AE220" s="48"/>
      <c r="AF220" s="48"/>
      <c r="AG220" s="48"/>
      <c r="AH220" s="207"/>
      <c r="AI220" s="48"/>
      <c r="AJ220" s="48"/>
      <c r="AK220" s="48"/>
      <c r="AL220" s="207"/>
      <c r="AM220" s="48"/>
      <c r="AN220" s="48"/>
      <c r="AO220" s="48"/>
      <c r="AP220" s="44"/>
      <c r="AQ220" s="42"/>
      <c r="AR220" s="42"/>
      <c r="AS220" s="42"/>
      <c r="AT220" s="44"/>
      <c r="AU220" s="42"/>
      <c r="AV220" s="42"/>
      <c r="AW220" s="42"/>
      <c r="AX220" s="44"/>
      <c r="AY220" s="42"/>
      <c r="AZ220" s="42"/>
      <c r="BA220" s="42"/>
      <c r="BB220" s="44"/>
      <c r="BC220" s="42"/>
      <c r="BD220" s="42"/>
      <c r="BE220" s="42"/>
      <c r="BF220" s="44"/>
      <c r="BG220" s="42"/>
      <c r="BH220" s="42"/>
      <c r="BI220" s="42"/>
      <c r="BJ220" s="44"/>
      <c r="BK220" s="42"/>
      <c r="BL220" s="42"/>
      <c r="BM220" s="42"/>
      <c r="BN220" s="44"/>
      <c r="BO220" s="42"/>
      <c r="BP220" s="42"/>
      <c r="BQ220" s="42"/>
      <c r="BR220" s="44"/>
      <c r="BS220" s="42"/>
      <c r="BT220" s="42"/>
      <c r="BU220" s="42"/>
      <c r="BV220" s="42"/>
      <c r="BW220" s="42"/>
      <c r="BX220" s="42"/>
      <c r="BY220" s="42"/>
      <c r="BZ220" s="42"/>
      <c r="CA220" s="42"/>
      <c r="CB220" s="42"/>
      <c r="CC220" s="42"/>
      <c r="CD220" s="42"/>
      <c r="CE220" s="42"/>
      <c r="CF220" s="42"/>
      <c r="CG220" s="42"/>
      <c r="CH220" s="42"/>
      <c r="CI220" s="42"/>
      <c r="CJ220" s="42"/>
      <c r="CK220" s="42"/>
      <c r="CL220" s="42"/>
      <c r="CM220" s="42"/>
      <c r="CN220" s="42"/>
      <c r="CO220" s="42"/>
      <c r="CP220" s="48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  <c r="DD220" s="48"/>
      <c r="DE220" s="48"/>
      <c r="DF220" s="48"/>
      <c r="DG220" s="48"/>
      <c r="DH220" s="48"/>
      <c r="DI220" s="48"/>
      <c r="DJ220" s="48"/>
      <c r="DK220" s="48"/>
    </row>
    <row r="221" spans="1:115" x14ac:dyDescent="0.4">
      <c r="A221" s="41"/>
      <c r="B221" s="59"/>
      <c r="C221" s="50"/>
      <c r="D221" s="50"/>
      <c r="E221" s="50"/>
      <c r="F221" s="50"/>
      <c r="G221" s="50"/>
      <c r="H221" s="50"/>
      <c r="I221" s="50"/>
      <c r="J221" s="14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8"/>
      <c r="W221" s="50"/>
      <c r="X221" s="50"/>
      <c r="Y221" s="50"/>
      <c r="Z221" s="51"/>
      <c r="AA221" s="50"/>
      <c r="AB221" s="50"/>
      <c r="AC221" s="50"/>
      <c r="AD221" s="51"/>
      <c r="AE221" s="50"/>
      <c r="AF221" s="50"/>
      <c r="AG221" s="50"/>
      <c r="AH221" s="51"/>
      <c r="AI221" s="50"/>
      <c r="AJ221" s="50"/>
      <c r="AK221" s="50"/>
      <c r="AL221" s="51"/>
      <c r="AM221" s="50"/>
      <c r="AN221" s="50"/>
      <c r="AO221" s="50"/>
      <c r="AP221" s="51"/>
      <c r="AQ221" s="50"/>
      <c r="AR221" s="50"/>
      <c r="AS221" s="50"/>
      <c r="AT221" s="51"/>
      <c r="AU221" s="50"/>
      <c r="AV221" s="50"/>
      <c r="AW221" s="50"/>
      <c r="AX221" s="51"/>
      <c r="AY221" s="50"/>
      <c r="AZ221" s="50"/>
      <c r="BA221" s="50"/>
      <c r="BB221" s="51"/>
      <c r="BC221" s="50"/>
      <c r="BD221" s="50"/>
      <c r="BE221" s="50"/>
      <c r="BF221" s="51"/>
      <c r="BG221" s="50"/>
      <c r="BH221" s="50"/>
      <c r="BI221" s="50"/>
      <c r="BJ221" s="51"/>
      <c r="BK221" s="50"/>
      <c r="BL221" s="50"/>
      <c r="BM221" s="50"/>
      <c r="BN221" s="51"/>
      <c r="BO221" s="50"/>
      <c r="BP221" s="50"/>
      <c r="BQ221" s="50"/>
      <c r="BR221" s="51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  <c r="CP221" s="50"/>
      <c r="CQ221" s="50"/>
      <c r="CR221" s="50"/>
      <c r="CS221" s="50"/>
      <c r="CT221" s="50"/>
      <c r="CU221" s="50"/>
      <c r="CV221" s="50"/>
      <c r="CW221" s="50"/>
      <c r="CX221" s="50"/>
      <c r="CY221" s="50"/>
      <c r="CZ221" s="50"/>
      <c r="DA221" s="50"/>
      <c r="DB221" s="50"/>
      <c r="DC221" s="50"/>
      <c r="DD221" s="50"/>
      <c r="DE221" s="50"/>
      <c r="DF221" s="50"/>
      <c r="DG221" s="50"/>
      <c r="DH221" s="50"/>
      <c r="DI221" s="50"/>
      <c r="DJ221" s="50"/>
      <c r="DK221" s="50"/>
    </row>
    <row r="222" spans="1:115" x14ac:dyDescent="0.4">
      <c r="A222" s="84"/>
      <c r="B222" s="50" t="s">
        <v>217</v>
      </c>
      <c r="C222" s="50">
        <v>0</v>
      </c>
      <c r="D222" s="50">
        <v>-40.955800000000004</v>
      </c>
      <c r="E222" s="50">
        <v>-2.3670333500000003</v>
      </c>
      <c r="F222" s="50">
        <v>-14.51023337</v>
      </c>
      <c r="G222" s="50">
        <v>-6.7712495199999996</v>
      </c>
      <c r="H222" s="50">
        <v>-3.3776091800000003</v>
      </c>
      <c r="I222" s="50">
        <v>-3.20211245</v>
      </c>
      <c r="J222" s="50">
        <v>-2.1625481</v>
      </c>
      <c r="K222" s="50">
        <v>-20.84544266</v>
      </c>
      <c r="L222" s="50">
        <v>-65.273616200000006</v>
      </c>
      <c r="M222" s="50">
        <v>-115.58974986</v>
      </c>
      <c r="N222" s="50">
        <v>-121.15697245</v>
      </c>
      <c r="O222" s="50">
        <v>-167.59765472999999</v>
      </c>
      <c r="P222" s="50">
        <v>-232.76912769</v>
      </c>
      <c r="Q222" s="50">
        <v>-206.58837840999999</v>
      </c>
      <c r="R222" s="50">
        <v>-398.79883124999998</v>
      </c>
      <c r="S222" s="50">
        <f t="shared" ref="S222:U222" si="235">-(S64+S38)</f>
        <v>-989.38782774766196</v>
      </c>
      <c r="T222" s="50">
        <f t="shared" si="235"/>
        <v>-1653.0497238888854</v>
      </c>
      <c r="U222" s="50">
        <f t="shared" si="235"/>
        <v>-2048.9234719462652</v>
      </c>
      <c r="V222" s="8"/>
      <c r="W222" s="50"/>
      <c r="X222" s="50"/>
      <c r="Y222" s="50"/>
      <c r="Z222" s="51"/>
      <c r="AA222" s="50"/>
      <c r="AB222" s="50"/>
      <c r="AC222" s="50"/>
      <c r="AD222" s="51"/>
      <c r="AE222" s="50"/>
      <c r="AF222" s="50"/>
      <c r="AG222" s="50"/>
      <c r="AH222" s="51"/>
      <c r="AI222" s="50"/>
      <c r="AJ222" s="50"/>
      <c r="AK222" s="50"/>
      <c r="AL222" s="51"/>
      <c r="AM222" s="50"/>
      <c r="AN222" s="50"/>
      <c r="AO222" s="50"/>
      <c r="AP222" s="51"/>
      <c r="AQ222" s="50"/>
      <c r="AR222" s="50"/>
      <c r="AS222" s="50"/>
      <c r="AT222" s="51"/>
      <c r="AU222" s="50"/>
      <c r="AV222" s="50"/>
      <c r="AW222" s="50"/>
      <c r="AX222" s="51"/>
      <c r="AY222" s="50"/>
      <c r="AZ222" s="50"/>
      <c r="BA222" s="50"/>
      <c r="BB222" s="51"/>
      <c r="BC222" s="50"/>
      <c r="BD222" s="50"/>
      <c r="BE222" s="50"/>
      <c r="BF222" s="51"/>
      <c r="BG222" s="50"/>
      <c r="BH222" s="50"/>
      <c r="BI222" s="50"/>
      <c r="BJ222" s="51"/>
      <c r="BK222" s="50"/>
      <c r="BL222" s="50"/>
      <c r="BM222" s="50"/>
      <c r="BN222" s="51"/>
      <c r="BO222" s="50"/>
      <c r="BP222" s="50"/>
      <c r="BQ222" s="50"/>
      <c r="BR222" s="51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  <c r="CP222" s="50"/>
      <c r="CQ222" s="50"/>
      <c r="CR222" s="50"/>
      <c r="CS222" s="50"/>
      <c r="CT222" s="50"/>
      <c r="CU222" s="50"/>
      <c r="CV222" s="50"/>
      <c r="CW222" s="50"/>
      <c r="CX222" s="50"/>
      <c r="CY222" s="50"/>
      <c r="CZ222" s="50"/>
      <c r="DA222" s="50"/>
      <c r="DB222" s="50"/>
      <c r="DC222" s="50"/>
      <c r="DD222" s="50"/>
      <c r="DE222" s="50"/>
      <c r="DF222" s="50"/>
      <c r="DG222" s="50"/>
      <c r="DH222" s="50"/>
      <c r="DI222" s="50"/>
      <c r="DJ222" s="50"/>
      <c r="DK222" s="50"/>
    </row>
    <row r="223" spans="1:115" x14ac:dyDescent="0.4">
      <c r="A223" s="41"/>
      <c r="B223" s="50" t="s">
        <v>218</v>
      </c>
      <c r="C223" s="50">
        <v>0</v>
      </c>
      <c r="D223" s="50">
        <f t="shared" ref="D223:T223" si="236">+D151-C151</f>
        <v>39.5672</v>
      </c>
      <c r="E223" s="50">
        <f t="shared" si="236"/>
        <v>0</v>
      </c>
      <c r="F223" s="50">
        <f t="shared" si="236"/>
        <v>16.670000000000002</v>
      </c>
      <c r="G223" s="50">
        <f t="shared" si="236"/>
        <v>53.335999999999999</v>
      </c>
      <c r="H223" s="50">
        <f t="shared" si="236"/>
        <v>96.004799999999989</v>
      </c>
      <c r="I223" s="50">
        <f t="shared" si="236"/>
        <v>0</v>
      </c>
      <c r="J223" s="50">
        <f t="shared" si="236"/>
        <v>0</v>
      </c>
      <c r="K223" s="50">
        <f t="shared" si="236"/>
        <v>257.84625600000004</v>
      </c>
      <c r="L223" s="50">
        <f t="shared" si="236"/>
        <v>1.5987499999999955</v>
      </c>
      <c r="M223" s="50">
        <f t="shared" si="236"/>
        <v>237.70932999999997</v>
      </c>
      <c r="N223" s="50">
        <f t="shared" si="236"/>
        <v>0</v>
      </c>
      <c r="O223" s="50">
        <f t="shared" si="236"/>
        <v>86.931145000000015</v>
      </c>
      <c r="P223" s="50">
        <f t="shared" si="236"/>
        <v>0.8655069999999796</v>
      </c>
      <c r="Q223" s="50">
        <f t="shared" si="236"/>
        <v>1.8644500000000335</v>
      </c>
      <c r="R223" s="50">
        <f t="shared" si="236"/>
        <v>318.34027099999992</v>
      </c>
      <c r="S223" s="50">
        <f t="shared" si="236"/>
        <v>0</v>
      </c>
      <c r="T223" s="50">
        <f t="shared" si="236"/>
        <v>0</v>
      </c>
      <c r="U223" s="50">
        <f>+U151-T151</f>
        <v>0</v>
      </c>
      <c r="V223" s="8"/>
      <c r="W223" s="52"/>
      <c r="X223" s="52"/>
      <c r="Y223" s="52"/>
      <c r="Z223" s="54"/>
      <c r="AA223" s="52"/>
      <c r="AB223" s="52"/>
      <c r="AC223" s="52"/>
      <c r="AD223" s="54"/>
      <c r="AE223" s="52"/>
      <c r="AF223" s="52"/>
      <c r="AG223" s="52"/>
      <c r="AH223" s="54"/>
      <c r="AI223" s="52"/>
      <c r="AJ223" s="52"/>
      <c r="AK223" s="52"/>
      <c r="AL223" s="54"/>
      <c r="AM223" s="52"/>
      <c r="AN223" s="52"/>
      <c r="AO223" s="52"/>
      <c r="AP223" s="54"/>
      <c r="AQ223" s="52"/>
      <c r="AR223" s="52"/>
      <c r="AS223" s="52"/>
      <c r="AT223" s="54"/>
      <c r="AU223" s="52"/>
      <c r="AV223" s="52"/>
      <c r="AW223" s="52"/>
      <c r="AX223" s="54"/>
      <c r="AY223" s="52"/>
      <c r="AZ223" s="52"/>
      <c r="BA223" s="52"/>
      <c r="BB223" s="54"/>
      <c r="BC223" s="52"/>
      <c r="BD223" s="52"/>
      <c r="BE223" s="52"/>
      <c r="BF223" s="54"/>
      <c r="BG223" s="52"/>
      <c r="BH223" s="52"/>
      <c r="BI223" s="52"/>
      <c r="BJ223" s="54"/>
      <c r="BK223" s="52"/>
      <c r="BL223" s="52"/>
      <c r="BM223" s="52"/>
      <c r="BN223" s="54"/>
      <c r="BO223" s="52"/>
      <c r="BP223" s="52"/>
      <c r="BQ223" s="52"/>
      <c r="BR223" s="54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  <c r="CP223" s="52"/>
      <c r="CQ223" s="52"/>
      <c r="CR223" s="52"/>
      <c r="CS223" s="52"/>
      <c r="CT223" s="52"/>
      <c r="CU223" s="52"/>
      <c r="CV223" s="52"/>
      <c r="CW223" s="52"/>
      <c r="CX223" s="52"/>
      <c r="CY223" s="52"/>
      <c r="CZ223" s="52"/>
      <c r="DA223" s="52"/>
      <c r="DB223" s="52"/>
      <c r="DC223" s="52"/>
      <c r="DD223" s="52"/>
      <c r="DE223" s="52"/>
      <c r="DF223" s="52"/>
      <c r="DG223" s="52"/>
      <c r="DH223" s="52"/>
      <c r="DI223" s="52"/>
      <c r="DJ223" s="52"/>
      <c r="DK223" s="52"/>
    </row>
    <row r="224" spans="1:115" x14ac:dyDescent="0.4">
      <c r="A224" s="41"/>
      <c r="B224" s="50" t="s">
        <v>219</v>
      </c>
      <c r="C224" s="50">
        <v>0</v>
      </c>
      <c r="D224" s="50">
        <f t="shared" ref="D224:R224" si="237">+D141+D145-C141-C145</f>
        <v>20</v>
      </c>
      <c r="E224" s="50">
        <f t="shared" si="237"/>
        <v>20</v>
      </c>
      <c r="F224" s="50">
        <f t="shared" si="237"/>
        <v>-40</v>
      </c>
      <c r="G224" s="50">
        <f t="shared" si="237"/>
        <v>19.48264275</v>
      </c>
      <c r="H224" s="50">
        <f t="shared" si="237"/>
        <v>10.51735725</v>
      </c>
      <c r="I224" s="50">
        <f t="shared" si="237"/>
        <v>-30</v>
      </c>
      <c r="J224" s="50">
        <f t="shared" si="237"/>
        <v>7.2771731399999995</v>
      </c>
      <c r="K224" s="50">
        <f t="shared" si="237"/>
        <v>1014.62297338</v>
      </c>
      <c r="L224" s="50">
        <f t="shared" si="237"/>
        <v>699.84683973000028</v>
      </c>
      <c r="M224" s="50">
        <f t="shared" si="237"/>
        <v>-323.09675588000039</v>
      </c>
      <c r="N224" s="50">
        <f t="shared" si="237"/>
        <v>1428.2770649399999</v>
      </c>
      <c r="O224" s="50">
        <f t="shared" si="237"/>
        <v>-250.4005177199997</v>
      </c>
      <c r="P224" s="50">
        <f t="shared" si="237"/>
        <v>-607.4176720800001</v>
      </c>
      <c r="Q224" s="50">
        <f t="shared" si="237"/>
        <v>-1029.2276286399999</v>
      </c>
      <c r="R224" s="50">
        <f t="shared" si="237"/>
        <v>1736.49699319</v>
      </c>
      <c r="S224" s="50">
        <f t="shared" ref="S224:U224" si="238">+S145+S141-R141-R145</f>
        <v>0</v>
      </c>
      <c r="T224" s="50">
        <f t="shared" si="238"/>
        <v>0</v>
      </c>
      <c r="U224" s="50">
        <f t="shared" si="238"/>
        <v>0</v>
      </c>
      <c r="V224" s="8"/>
      <c r="W224" s="52"/>
      <c r="X224" s="52"/>
      <c r="Y224" s="52"/>
      <c r="Z224" s="54"/>
      <c r="AA224" s="52"/>
      <c r="AB224" s="52"/>
      <c r="AC224" s="52"/>
      <c r="AD224" s="54"/>
      <c r="AE224" s="52"/>
      <c r="AF224" s="52"/>
      <c r="AG224" s="52"/>
      <c r="AH224" s="54"/>
      <c r="AI224" s="52"/>
      <c r="AJ224" s="52"/>
      <c r="AK224" s="52"/>
      <c r="AL224" s="54"/>
      <c r="AM224" s="52"/>
      <c r="AN224" s="52"/>
      <c r="AO224" s="52"/>
      <c r="AP224" s="51"/>
      <c r="AQ224" s="50"/>
      <c r="AR224" s="50"/>
      <c r="AS224" s="50"/>
      <c r="AT224" s="51"/>
      <c r="AU224" s="50"/>
      <c r="AV224" s="50"/>
      <c r="AW224" s="50"/>
      <c r="AX224" s="51"/>
      <c r="AY224" s="50"/>
      <c r="AZ224" s="50"/>
      <c r="BA224" s="50"/>
      <c r="BB224" s="51"/>
      <c r="BC224" s="50"/>
      <c r="BD224" s="50"/>
      <c r="BE224" s="50"/>
      <c r="BF224" s="51"/>
      <c r="BG224" s="50"/>
      <c r="BH224" s="50"/>
      <c r="BI224" s="50"/>
      <c r="BJ224" s="51"/>
      <c r="BK224" s="50"/>
      <c r="BL224" s="50"/>
      <c r="BM224" s="50"/>
      <c r="BN224" s="51"/>
      <c r="BO224" s="50"/>
      <c r="BP224" s="50"/>
      <c r="BQ224" s="50"/>
      <c r="BR224" s="51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  <c r="CP224" s="52"/>
      <c r="CQ224" s="52"/>
      <c r="CR224" s="52"/>
      <c r="CS224" s="52"/>
      <c r="CT224" s="52"/>
      <c r="CU224" s="52"/>
      <c r="CV224" s="52"/>
      <c r="CW224" s="52"/>
      <c r="CX224" s="52"/>
      <c r="CY224" s="52"/>
      <c r="CZ224" s="52"/>
      <c r="DA224" s="52"/>
      <c r="DB224" s="52"/>
      <c r="DC224" s="52"/>
      <c r="DD224" s="52"/>
      <c r="DE224" s="52"/>
      <c r="DF224" s="52"/>
      <c r="DG224" s="52"/>
      <c r="DH224" s="52"/>
      <c r="DI224" s="52"/>
      <c r="DJ224" s="52"/>
      <c r="DK224" s="52"/>
    </row>
    <row r="225" spans="1:115" x14ac:dyDescent="0.4">
      <c r="A225" s="41"/>
      <c r="B225" s="50" t="s">
        <v>220</v>
      </c>
      <c r="C225" s="50">
        <v>0</v>
      </c>
      <c r="D225" s="50">
        <f t="shared" ref="D225:T225" si="239">+D150-C150</f>
        <v>0</v>
      </c>
      <c r="E225" s="50">
        <f t="shared" si="239"/>
        <v>0</v>
      </c>
      <c r="F225" s="50">
        <f t="shared" si="239"/>
        <v>0</v>
      </c>
      <c r="G225" s="50">
        <f t="shared" si="239"/>
        <v>0</v>
      </c>
      <c r="H225" s="50">
        <f t="shared" si="239"/>
        <v>0</v>
      </c>
      <c r="I225" s="50">
        <f t="shared" si="239"/>
        <v>0</v>
      </c>
      <c r="J225" s="50">
        <f t="shared" si="239"/>
        <v>0</v>
      </c>
      <c r="K225" s="50">
        <f t="shared" si="239"/>
        <v>0</v>
      </c>
      <c r="L225" s="50">
        <f t="shared" si="239"/>
        <v>0</v>
      </c>
      <c r="M225" s="50">
        <f t="shared" si="239"/>
        <v>0</v>
      </c>
      <c r="N225" s="50">
        <f t="shared" si="239"/>
        <v>0</v>
      </c>
      <c r="O225" s="50">
        <f t="shared" si="239"/>
        <v>0</v>
      </c>
      <c r="P225" s="50">
        <f t="shared" si="239"/>
        <v>0</v>
      </c>
      <c r="Q225" s="50">
        <f t="shared" si="239"/>
        <v>0</v>
      </c>
      <c r="R225" s="50">
        <f t="shared" si="239"/>
        <v>0</v>
      </c>
      <c r="S225" s="50">
        <f t="shared" si="239"/>
        <v>0</v>
      </c>
      <c r="T225" s="50">
        <f t="shared" si="239"/>
        <v>0</v>
      </c>
      <c r="U225" s="50">
        <f>+U150-T150</f>
        <v>0</v>
      </c>
      <c r="V225" s="8"/>
      <c r="W225" s="52"/>
      <c r="X225" s="52"/>
      <c r="Y225" s="52"/>
      <c r="Z225" s="54"/>
      <c r="AA225" s="52"/>
      <c r="AB225" s="52"/>
      <c r="AC225" s="52"/>
      <c r="AD225" s="54"/>
      <c r="AE225" s="52"/>
      <c r="AF225" s="52"/>
      <c r="AG225" s="52"/>
      <c r="AH225" s="54"/>
      <c r="AI225" s="52"/>
      <c r="AJ225" s="52"/>
      <c r="AK225" s="52"/>
      <c r="AL225" s="54"/>
      <c r="AM225" s="52"/>
      <c r="AN225" s="52"/>
      <c r="AO225" s="52"/>
      <c r="AP225" s="54"/>
      <c r="AQ225" s="52"/>
      <c r="AR225" s="52"/>
      <c r="AS225" s="52"/>
      <c r="AT225" s="54"/>
      <c r="AU225" s="52"/>
      <c r="AV225" s="52"/>
      <c r="AW225" s="52"/>
      <c r="AX225" s="54"/>
      <c r="AY225" s="52"/>
      <c r="AZ225" s="52"/>
      <c r="BA225" s="52"/>
      <c r="BB225" s="54"/>
      <c r="BC225" s="52"/>
      <c r="BD225" s="52"/>
      <c r="BE225" s="52"/>
      <c r="BF225" s="54"/>
      <c r="BG225" s="52"/>
      <c r="BH225" s="52"/>
      <c r="BI225" s="52"/>
      <c r="BJ225" s="54"/>
      <c r="BK225" s="52"/>
      <c r="BL225" s="52"/>
      <c r="BM225" s="52"/>
      <c r="BN225" s="54"/>
      <c r="BO225" s="52"/>
      <c r="BP225" s="52"/>
      <c r="BQ225" s="52"/>
      <c r="BR225" s="54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  <c r="CP225" s="52"/>
      <c r="CQ225" s="52"/>
      <c r="CR225" s="52"/>
      <c r="CS225" s="52"/>
      <c r="CT225" s="52"/>
      <c r="CU225" s="52"/>
      <c r="CV225" s="52"/>
      <c r="CW225" s="52"/>
      <c r="CX225" s="52"/>
      <c r="CY225" s="52"/>
      <c r="CZ225" s="52"/>
      <c r="DA225" s="52"/>
      <c r="DB225" s="52"/>
      <c r="DC225" s="52"/>
      <c r="DD225" s="52"/>
      <c r="DE225" s="52"/>
      <c r="DF225" s="52"/>
      <c r="DG225" s="52"/>
      <c r="DH225" s="52"/>
      <c r="DI225" s="52"/>
      <c r="DJ225" s="52"/>
      <c r="DK225" s="52"/>
    </row>
    <row r="226" spans="1:115" x14ac:dyDescent="0.4">
      <c r="A226" s="41"/>
      <c r="B226" s="50" t="s">
        <v>221</v>
      </c>
      <c r="C226" s="50">
        <v>0</v>
      </c>
      <c r="D226" s="50">
        <f t="shared" ref="D226:R226" si="240">+D156-C156</f>
        <v>0</v>
      </c>
      <c r="E226" s="50">
        <f t="shared" si="240"/>
        <v>0</v>
      </c>
      <c r="F226" s="50">
        <f t="shared" si="240"/>
        <v>0</v>
      </c>
      <c r="G226" s="50">
        <f t="shared" si="240"/>
        <v>0</v>
      </c>
      <c r="H226" s="50">
        <f t="shared" si="240"/>
        <v>0</v>
      </c>
      <c r="I226" s="50">
        <f t="shared" si="240"/>
        <v>0</v>
      </c>
      <c r="J226" s="50">
        <f t="shared" si="240"/>
        <v>0</v>
      </c>
      <c r="K226" s="50">
        <f t="shared" si="240"/>
        <v>0</v>
      </c>
      <c r="L226" s="50">
        <f t="shared" si="240"/>
        <v>0</v>
      </c>
      <c r="M226" s="50">
        <f t="shared" si="240"/>
        <v>0</v>
      </c>
      <c r="N226" s="50">
        <f t="shared" si="240"/>
        <v>104.26888609000001</v>
      </c>
      <c r="O226" s="50">
        <f t="shared" si="240"/>
        <v>9.8195193899999964</v>
      </c>
      <c r="P226" s="50">
        <f t="shared" si="240"/>
        <v>9.6983766999999972</v>
      </c>
      <c r="Q226" s="50">
        <f t="shared" si="240"/>
        <v>389.68998925</v>
      </c>
      <c r="R226" s="50">
        <f t="shared" si="240"/>
        <v>645.47739513999989</v>
      </c>
      <c r="S226" s="96">
        <v>0</v>
      </c>
      <c r="T226" s="96">
        <v>0</v>
      </c>
      <c r="U226" s="96">
        <v>0</v>
      </c>
      <c r="V226" s="8"/>
      <c r="W226" s="52"/>
      <c r="X226" s="52"/>
      <c r="Y226" s="52"/>
      <c r="Z226" s="54"/>
      <c r="AA226" s="52"/>
      <c r="AB226" s="52"/>
      <c r="AC226" s="52"/>
      <c r="AD226" s="54"/>
      <c r="AE226" s="52"/>
      <c r="AF226" s="52"/>
      <c r="AG226" s="52"/>
      <c r="AH226" s="54"/>
      <c r="AI226" s="52"/>
      <c r="AJ226" s="52"/>
      <c r="AK226" s="52"/>
      <c r="AL226" s="54"/>
      <c r="AM226" s="52"/>
      <c r="AN226" s="52"/>
      <c r="AO226" s="52"/>
      <c r="AP226" s="56"/>
      <c r="AQ226" s="55"/>
      <c r="AR226" s="55"/>
      <c r="AS226" s="55"/>
      <c r="AT226" s="56"/>
      <c r="AU226" s="55"/>
      <c r="AV226" s="55"/>
      <c r="AW226" s="55"/>
      <c r="AX226" s="56"/>
      <c r="AY226" s="55"/>
      <c r="AZ226" s="55"/>
      <c r="BA226" s="55"/>
      <c r="BB226" s="56"/>
      <c r="BC226" s="55"/>
      <c r="BD226" s="55"/>
      <c r="BE226" s="55"/>
      <c r="BF226" s="56"/>
      <c r="BG226" s="55"/>
      <c r="BH226" s="55"/>
      <c r="BI226" s="55"/>
      <c r="BJ226" s="56"/>
      <c r="BK226" s="55"/>
      <c r="BL226" s="55"/>
      <c r="BM226" s="55"/>
      <c r="BN226" s="56"/>
      <c r="BO226" s="55"/>
      <c r="BP226" s="55"/>
      <c r="BQ226" s="55"/>
      <c r="BR226" s="56"/>
      <c r="BS226" s="55"/>
      <c r="BT226" s="55"/>
      <c r="BU226" s="55"/>
      <c r="BV226" s="55"/>
      <c r="BW226" s="55"/>
      <c r="BX226" s="55"/>
      <c r="BY226" s="55"/>
      <c r="BZ226" s="55"/>
      <c r="CA226" s="55"/>
      <c r="CB226" s="55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2"/>
      <c r="CQ226" s="52"/>
      <c r="CR226" s="52"/>
      <c r="CS226" s="52"/>
      <c r="CT226" s="52"/>
      <c r="CU226" s="52"/>
      <c r="CV226" s="52"/>
      <c r="CW226" s="52"/>
      <c r="CX226" s="52"/>
      <c r="CY226" s="52"/>
      <c r="CZ226" s="52"/>
      <c r="DA226" s="52"/>
      <c r="DB226" s="52"/>
      <c r="DC226" s="52"/>
      <c r="DD226" s="52"/>
      <c r="DE226" s="52"/>
      <c r="DF226" s="52"/>
      <c r="DG226" s="52"/>
      <c r="DH226" s="52"/>
      <c r="DI226" s="52"/>
      <c r="DJ226" s="52"/>
      <c r="DK226" s="52"/>
    </row>
    <row r="227" spans="1:115" x14ac:dyDescent="0.4">
      <c r="A227" s="41"/>
      <c r="B227" s="50" t="s">
        <v>222</v>
      </c>
      <c r="C227" s="60">
        <f>+C228-C222-C223-C224-C225-C226</f>
        <v>0</v>
      </c>
      <c r="D227" s="60">
        <f t="shared" ref="D227:Q227" si="241">+D228-D222-D223-D224-D225-D226</f>
        <v>7.4780909800000046</v>
      </c>
      <c r="E227" s="60">
        <f t="shared" si="241"/>
        <v>-0.84328995999999989</v>
      </c>
      <c r="F227" s="60">
        <f t="shared" si="241"/>
        <v>282.63115796999995</v>
      </c>
      <c r="G227" s="60">
        <f t="shared" si="241"/>
        <v>-57.463487029999996</v>
      </c>
      <c r="H227" s="60">
        <f t="shared" si="241"/>
        <v>-96.004799999999989</v>
      </c>
      <c r="I227" s="60">
        <f t="shared" si="241"/>
        <v>0</v>
      </c>
      <c r="J227" s="60">
        <f t="shared" si="241"/>
        <v>-7.2771731399999995</v>
      </c>
      <c r="K227" s="60">
        <f t="shared" si="241"/>
        <v>-270.99963897999999</v>
      </c>
      <c r="L227" s="60">
        <f t="shared" si="241"/>
        <v>-499.19311776000023</v>
      </c>
      <c r="M227" s="60">
        <f t="shared" si="241"/>
        <v>1758.1254651000004</v>
      </c>
      <c r="N227" s="60">
        <f t="shared" si="241"/>
        <v>-111.6477817100001</v>
      </c>
      <c r="O227" s="60">
        <f>+O228-O222-O223-O224-O225-O226</f>
        <v>2585.7322408599998</v>
      </c>
      <c r="P227" s="60">
        <f t="shared" si="241"/>
        <v>-811.6893715299999</v>
      </c>
      <c r="Q227" s="60">
        <f t="shared" si="241"/>
        <v>528.37065566999991</v>
      </c>
      <c r="R227" s="60">
        <f>+R228-R222-R223-R224-R225-R226</f>
        <v>-809.03654792999998</v>
      </c>
      <c r="S227" s="96">
        <v>0</v>
      </c>
      <c r="T227" s="96">
        <v>0</v>
      </c>
      <c r="U227" s="96">
        <v>0</v>
      </c>
      <c r="V227" s="8"/>
      <c r="W227" s="50"/>
      <c r="X227" s="50"/>
      <c r="Y227" s="50"/>
      <c r="Z227" s="51"/>
      <c r="AA227" s="50"/>
      <c r="AB227" s="50"/>
      <c r="AC227" s="50"/>
      <c r="AD227" s="51"/>
      <c r="AE227" s="50"/>
      <c r="AF227" s="50"/>
      <c r="AG227" s="50"/>
      <c r="AH227" s="51"/>
      <c r="AI227" s="50"/>
      <c r="AJ227" s="50"/>
      <c r="AK227" s="50"/>
      <c r="AL227" s="51"/>
      <c r="AM227" s="50"/>
      <c r="AN227" s="50"/>
      <c r="AO227" s="50"/>
      <c r="AP227" s="51"/>
      <c r="AQ227" s="50"/>
      <c r="AR227" s="50"/>
      <c r="AS227" s="50"/>
      <c r="AT227" s="51"/>
      <c r="AU227" s="50"/>
      <c r="AV227" s="50"/>
      <c r="AW227" s="50"/>
      <c r="AX227" s="51"/>
      <c r="AY227" s="50"/>
      <c r="AZ227" s="50"/>
      <c r="BA227" s="50"/>
      <c r="BB227" s="51"/>
      <c r="BC227" s="50"/>
      <c r="BD227" s="50"/>
      <c r="BE227" s="50"/>
      <c r="BF227" s="51"/>
      <c r="BG227" s="50"/>
      <c r="BH227" s="50"/>
      <c r="BI227" s="50"/>
      <c r="BJ227" s="51"/>
      <c r="BK227" s="50"/>
      <c r="BL227" s="50"/>
      <c r="BM227" s="50"/>
      <c r="BN227" s="51"/>
      <c r="BO227" s="50"/>
      <c r="BP227" s="50"/>
      <c r="BQ227" s="50"/>
      <c r="BR227" s="51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  <c r="CP227" s="50"/>
      <c r="CQ227" s="50"/>
      <c r="CR227" s="50"/>
      <c r="CS227" s="50"/>
      <c r="CT227" s="50"/>
      <c r="CU227" s="50"/>
      <c r="CV227" s="50"/>
      <c r="CW227" s="50"/>
      <c r="CX227" s="50"/>
      <c r="CY227" s="50"/>
      <c r="CZ227" s="50"/>
      <c r="DA227" s="50"/>
      <c r="DB227" s="50"/>
      <c r="DC227" s="50"/>
      <c r="DD227" s="50"/>
      <c r="DE227" s="50"/>
      <c r="DF227" s="50"/>
      <c r="DG227" s="50"/>
      <c r="DH227" s="50"/>
      <c r="DI227" s="50"/>
      <c r="DJ227" s="50"/>
      <c r="DK227" s="50"/>
    </row>
    <row r="228" spans="1:115" x14ac:dyDescent="0.4">
      <c r="A228" s="41"/>
      <c r="B228" s="63" t="s">
        <v>223</v>
      </c>
      <c r="C228" s="42">
        <v>0</v>
      </c>
      <c r="D228" s="42">
        <v>26.089490980000001</v>
      </c>
      <c r="E228" s="42">
        <v>16.78967669</v>
      </c>
      <c r="F228" s="42">
        <v>244.79092459999998</v>
      </c>
      <c r="G228" s="42">
        <v>8.5839061999999995</v>
      </c>
      <c r="H228" s="42">
        <v>7.1397480700000004</v>
      </c>
      <c r="I228" s="42">
        <v>-33.202112450000001</v>
      </c>
      <c r="J228" s="42">
        <v>-2.1625481</v>
      </c>
      <c r="K228" s="42">
        <v>980.62414774000001</v>
      </c>
      <c r="L228" s="42">
        <v>136.97885577000002</v>
      </c>
      <c r="M228" s="42">
        <v>1557.1482893599998</v>
      </c>
      <c r="N228" s="42">
        <v>1299.7411968699998</v>
      </c>
      <c r="O228" s="42">
        <v>2264.4847328000001</v>
      </c>
      <c r="P228" s="42">
        <v>-1641.3122876</v>
      </c>
      <c r="Q228" s="42">
        <v>-315.89091213</v>
      </c>
      <c r="R228" s="42">
        <v>1492.47928015</v>
      </c>
      <c r="S228" s="63">
        <f t="shared" ref="S228:U228" si="242">SUM(S222:S227)</f>
        <v>-989.38782774766196</v>
      </c>
      <c r="T228" s="63">
        <f t="shared" si="242"/>
        <v>-1653.0497238888854</v>
      </c>
      <c r="U228" s="63">
        <f t="shared" si="242"/>
        <v>-2048.9234719462652</v>
      </c>
      <c r="V228" s="8"/>
      <c r="W228" s="48"/>
      <c r="X228" s="48"/>
      <c r="Y228" s="48"/>
      <c r="Z228" s="207"/>
      <c r="AA228" s="48"/>
      <c r="AB228" s="48"/>
      <c r="AC228" s="48"/>
      <c r="AD228" s="207"/>
      <c r="AE228" s="48"/>
      <c r="AF228" s="48"/>
      <c r="AG228" s="48"/>
      <c r="AH228" s="207"/>
      <c r="AI228" s="48"/>
      <c r="AJ228" s="48"/>
      <c r="AK228" s="48"/>
      <c r="AL228" s="207"/>
      <c r="AM228" s="48"/>
      <c r="AN228" s="48"/>
      <c r="AO228" s="48"/>
      <c r="AP228" s="44"/>
      <c r="AQ228" s="42"/>
      <c r="AR228" s="42"/>
      <c r="AS228" s="42"/>
      <c r="AT228" s="44"/>
      <c r="AU228" s="42"/>
      <c r="AV228" s="42"/>
      <c r="AW228" s="42"/>
      <c r="AX228" s="44"/>
      <c r="AY228" s="42"/>
      <c r="AZ228" s="42"/>
      <c r="BA228" s="42"/>
      <c r="BB228" s="44"/>
      <c r="BC228" s="42"/>
      <c r="BD228" s="42"/>
      <c r="BE228" s="42"/>
      <c r="BF228" s="44"/>
      <c r="BG228" s="42"/>
      <c r="BH228" s="42"/>
      <c r="BI228" s="42"/>
      <c r="BJ228" s="44"/>
      <c r="BK228" s="42"/>
      <c r="BL228" s="42"/>
      <c r="BM228" s="42"/>
      <c r="BN228" s="44"/>
      <c r="BO228" s="42"/>
      <c r="BP228" s="42"/>
      <c r="BQ228" s="42"/>
      <c r="BR228" s="44"/>
      <c r="BS228" s="42"/>
      <c r="BT228" s="42"/>
      <c r="BU228" s="42"/>
      <c r="BV228" s="42"/>
      <c r="BW228" s="42"/>
      <c r="BX228" s="42"/>
      <c r="BY228" s="42"/>
      <c r="BZ228" s="42"/>
      <c r="CA228" s="42"/>
      <c r="CB228" s="42"/>
      <c r="CC228" s="42"/>
      <c r="CD228" s="42"/>
      <c r="CE228" s="42"/>
      <c r="CF228" s="42"/>
      <c r="CG228" s="42"/>
      <c r="CH228" s="42"/>
      <c r="CI228" s="42"/>
      <c r="CJ228" s="42"/>
      <c r="CK228" s="42"/>
      <c r="CL228" s="42"/>
      <c r="CM228" s="42"/>
      <c r="CN228" s="42"/>
      <c r="CO228" s="42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  <c r="DF228" s="48"/>
      <c r="DG228" s="48"/>
      <c r="DH228" s="48"/>
      <c r="DI228" s="48"/>
      <c r="DJ228" s="48"/>
      <c r="DK228" s="48"/>
    </row>
    <row r="229" spans="1:115" x14ac:dyDescent="0.4">
      <c r="A229" s="41"/>
      <c r="B229" s="59" t="s">
        <v>153</v>
      </c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8"/>
      <c r="W229" s="50"/>
      <c r="X229" s="50"/>
      <c r="Y229" s="50"/>
      <c r="Z229" s="51"/>
      <c r="AA229" s="50"/>
      <c r="AB229" s="50"/>
      <c r="AC229" s="50"/>
      <c r="AD229" s="51"/>
      <c r="AE229" s="50"/>
      <c r="AF229" s="50"/>
      <c r="AG229" s="50"/>
      <c r="AH229" s="51"/>
      <c r="AI229" s="50"/>
      <c r="AJ229" s="50"/>
      <c r="AK229" s="50"/>
      <c r="AL229" s="51"/>
      <c r="AM229" s="50"/>
      <c r="AN229" s="50"/>
      <c r="AO229" s="50"/>
      <c r="AP229" s="51"/>
      <c r="AQ229" s="50"/>
      <c r="AR229" s="50"/>
      <c r="AS229" s="50"/>
      <c r="AT229" s="51"/>
      <c r="AU229" s="50"/>
      <c r="AV229" s="50"/>
      <c r="AW229" s="50"/>
      <c r="AX229" s="51"/>
      <c r="AY229" s="50"/>
      <c r="AZ229" s="50"/>
      <c r="BA229" s="50"/>
      <c r="BB229" s="51"/>
      <c r="BC229" s="50"/>
      <c r="BD229" s="50"/>
      <c r="BE229" s="50"/>
      <c r="BF229" s="51"/>
      <c r="BG229" s="50"/>
      <c r="BH229" s="50"/>
      <c r="BI229" s="50"/>
      <c r="BJ229" s="51"/>
      <c r="BK229" s="50"/>
      <c r="BL229" s="50"/>
      <c r="BM229" s="50"/>
      <c r="BN229" s="51"/>
      <c r="BO229" s="50"/>
      <c r="BP229" s="50"/>
      <c r="BQ229" s="50"/>
      <c r="BR229" s="51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  <c r="DF229" s="50"/>
      <c r="DG229" s="50"/>
      <c r="DH229" s="50"/>
      <c r="DI229" s="50"/>
      <c r="DJ229" s="50"/>
      <c r="DK229" s="50"/>
    </row>
    <row r="230" spans="1:115" x14ac:dyDescent="0.4">
      <c r="A230" s="271"/>
      <c r="B230" s="229" t="s">
        <v>224</v>
      </c>
      <c r="C230" s="42">
        <v>0</v>
      </c>
      <c r="D230" s="42">
        <v>0</v>
      </c>
      <c r="E230" s="42">
        <v>0</v>
      </c>
      <c r="F230" s="42">
        <v>0</v>
      </c>
      <c r="G230" s="42">
        <v>6.1602999999999994E-4</v>
      </c>
      <c r="H230" s="42">
        <v>1.1498900000000002E-3</v>
      </c>
      <c r="I230" s="42">
        <v>2.4659830000000001E-2</v>
      </c>
      <c r="J230" s="42">
        <v>3.8135080000000002E-2</v>
      </c>
      <c r="K230" s="42">
        <v>-6.7250974900000005</v>
      </c>
      <c r="L230" s="42">
        <v>14.79858254</v>
      </c>
      <c r="M230" s="42">
        <v>7.7750054800000008</v>
      </c>
      <c r="N230" s="42">
        <v>-36.719228899999997</v>
      </c>
      <c r="O230" s="42">
        <v>-17.336519729999999</v>
      </c>
      <c r="P230" s="42">
        <v>64.391120240000006</v>
      </c>
      <c r="Q230" s="42">
        <v>20.301082090000001</v>
      </c>
      <c r="R230" s="42">
        <v>38.83080348</v>
      </c>
      <c r="S230" s="96">
        <v>0</v>
      </c>
      <c r="T230" s="96">
        <v>0</v>
      </c>
      <c r="U230" s="96">
        <v>0</v>
      </c>
      <c r="V230" s="8"/>
      <c r="W230" s="48"/>
      <c r="X230" s="48"/>
      <c r="Y230" s="48"/>
      <c r="Z230" s="207"/>
      <c r="AA230" s="48"/>
      <c r="AB230" s="48"/>
      <c r="AC230" s="48"/>
      <c r="AD230" s="207"/>
      <c r="AE230" s="48"/>
      <c r="AF230" s="48"/>
      <c r="AG230" s="48"/>
      <c r="AH230" s="207"/>
      <c r="AI230" s="48"/>
      <c r="AJ230" s="48"/>
      <c r="AK230" s="48"/>
      <c r="AL230" s="207"/>
      <c r="AM230" s="48"/>
      <c r="AN230" s="48"/>
      <c r="AO230" s="48"/>
      <c r="AP230" s="242"/>
      <c r="AQ230" s="243"/>
      <c r="AR230" s="243"/>
      <c r="AS230" s="243"/>
      <c r="AT230" s="242"/>
      <c r="AU230" s="243"/>
      <c r="AV230" s="243"/>
      <c r="AW230" s="243"/>
      <c r="AX230" s="242"/>
      <c r="AY230" s="243"/>
      <c r="AZ230" s="243"/>
      <c r="BA230" s="243"/>
      <c r="BB230" s="242"/>
      <c r="BC230" s="243"/>
      <c r="BD230" s="243"/>
      <c r="BE230" s="243"/>
      <c r="BF230" s="242"/>
      <c r="BG230" s="243"/>
      <c r="BH230" s="243"/>
      <c r="BI230" s="243"/>
      <c r="BJ230" s="242"/>
      <c r="BK230" s="243"/>
      <c r="BL230" s="243"/>
      <c r="BM230" s="243"/>
      <c r="BN230" s="242"/>
      <c r="BO230" s="243"/>
      <c r="BP230" s="243"/>
      <c r="BQ230" s="243"/>
      <c r="BR230" s="242"/>
      <c r="BS230" s="243"/>
      <c r="BT230" s="243"/>
      <c r="BU230" s="243"/>
      <c r="BV230" s="243"/>
      <c r="BW230" s="243"/>
      <c r="BX230" s="243"/>
      <c r="BY230" s="243"/>
      <c r="BZ230" s="243"/>
      <c r="CA230" s="243"/>
      <c r="CB230" s="243"/>
      <c r="CC230" s="42"/>
      <c r="CD230" s="42"/>
      <c r="CE230" s="42"/>
      <c r="CF230" s="42"/>
      <c r="CG230" s="42"/>
      <c r="CH230" s="42"/>
      <c r="CI230" s="42"/>
      <c r="CJ230" s="42"/>
      <c r="CK230" s="42"/>
      <c r="CL230" s="42"/>
      <c r="CM230" s="42"/>
      <c r="CN230" s="42"/>
      <c r="CO230" s="42"/>
      <c r="CP230" s="48"/>
      <c r="CQ230" s="48"/>
      <c r="CR230" s="48"/>
      <c r="CS230" s="48"/>
      <c r="CT230" s="48"/>
      <c r="CU230" s="48"/>
      <c r="CV230" s="48"/>
      <c r="CW230" s="48"/>
      <c r="CX230" s="48"/>
      <c r="CY230" s="48"/>
      <c r="CZ230" s="48"/>
      <c r="DA230" s="48"/>
      <c r="DB230" s="48"/>
      <c r="DC230" s="48"/>
      <c r="DD230" s="48"/>
      <c r="DE230" s="48"/>
      <c r="DF230" s="48"/>
      <c r="DG230" s="48"/>
      <c r="DH230" s="48"/>
      <c r="DI230" s="48"/>
      <c r="DJ230" s="48"/>
      <c r="DK230" s="48"/>
    </row>
    <row r="231" spans="1:115" x14ac:dyDescent="0.4">
      <c r="A231" s="41"/>
      <c r="B231" s="272" t="s">
        <v>225</v>
      </c>
      <c r="C231" s="201"/>
      <c r="D231" s="201">
        <v>-2.5999999999999943</v>
      </c>
      <c r="E231" s="201">
        <v>-7.1054273576010019E-15</v>
      </c>
      <c r="F231" s="201">
        <v>216</v>
      </c>
      <c r="G231" s="201">
        <v>-78.176852240000017</v>
      </c>
      <c r="H231" s="201">
        <v>-21.750488389999994</v>
      </c>
      <c r="I231" s="201">
        <v>-86.262749159999998</v>
      </c>
      <c r="J231" s="201">
        <v>5.8915440099999969</v>
      </c>
      <c r="K231" s="201">
        <v>19.063134950000062</v>
      </c>
      <c r="L231" s="201">
        <v>-54.764589170000193</v>
      </c>
      <c r="M231" s="201">
        <v>-3.4106051316484809E-13</v>
      </c>
      <c r="N231" s="201">
        <v>31.399648970000328</v>
      </c>
      <c r="O231" s="201">
        <v>-6.1844771199998831</v>
      </c>
      <c r="P231" s="201">
        <v>-2.7270120600001064</v>
      </c>
      <c r="Q231" s="201">
        <v>60.889353920000133</v>
      </c>
      <c r="R231" s="201">
        <v>-17.362920280000253</v>
      </c>
      <c r="S231" s="201"/>
      <c r="T231" s="201">
        <v>0</v>
      </c>
      <c r="U231" s="201">
        <v>0</v>
      </c>
      <c r="V231" s="8"/>
      <c r="W231" s="50"/>
      <c r="X231" s="50"/>
      <c r="Y231" s="50"/>
      <c r="Z231" s="51"/>
      <c r="AA231" s="50"/>
      <c r="AB231" s="50"/>
      <c r="AC231" s="50"/>
      <c r="AD231" s="51"/>
      <c r="AE231" s="50"/>
      <c r="AF231" s="50"/>
      <c r="AG231" s="50"/>
      <c r="AH231" s="51"/>
      <c r="AI231" s="50"/>
      <c r="AJ231" s="50"/>
      <c r="AK231" s="50"/>
      <c r="AL231" s="51"/>
      <c r="AM231" s="50"/>
      <c r="AN231" s="50"/>
      <c r="AO231" s="50"/>
      <c r="AP231" s="51"/>
      <c r="AQ231" s="50"/>
      <c r="AR231" s="50"/>
      <c r="AS231" s="50"/>
      <c r="AT231" s="51"/>
      <c r="AU231" s="50"/>
      <c r="AV231" s="50"/>
      <c r="AW231" s="50"/>
      <c r="AX231" s="51"/>
      <c r="AY231" s="50"/>
      <c r="AZ231" s="50"/>
      <c r="BA231" s="50"/>
      <c r="BB231" s="51"/>
      <c r="BC231" s="50"/>
      <c r="BD231" s="50"/>
      <c r="BE231" s="50"/>
      <c r="BF231" s="51"/>
      <c r="BG231" s="50"/>
      <c r="BH231" s="50"/>
      <c r="BI231" s="50"/>
      <c r="BJ231" s="51"/>
      <c r="BK231" s="50"/>
      <c r="BL231" s="50"/>
      <c r="BM231" s="50"/>
      <c r="BN231" s="51"/>
      <c r="BO231" s="50"/>
      <c r="BP231" s="50"/>
      <c r="BQ231" s="50"/>
      <c r="BR231" s="51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  <c r="CP231" s="50"/>
      <c r="CQ231" s="50"/>
      <c r="CR231" s="50"/>
      <c r="CS231" s="50"/>
      <c r="CT231" s="50"/>
      <c r="CU231" s="50"/>
      <c r="CV231" s="50"/>
      <c r="CW231" s="50"/>
      <c r="CX231" s="50"/>
      <c r="CY231" s="50"/>
      <c r="CZ231" s="50"/>
      <c r="DA231" s="50"/>
      <c r="DB231" s="50"/>
      <c r="DC231" s="50"/>
      <c r="DD231" s="50"/>
      <c r="DE231" s="50"/>
      <c r="DF231" s="50"/>
      <c r="DG231" s="50"/>
      <c r="DH231" s="50"/>
      <c r="DI231" s="50"/>
      <c r="DJ231" s="50"/>
      <c r="DK231" s="50"/>
    </row>
    <row r="232" spans="1:115" x14ac:dyDescent="0.4">
      <c r="A232" s="84"/>
      <c r="B232" s="63" t="s">
        <v>226</v>
      </c>
      <c r="C232" s="63">
        <f>+C214+C220+C228+C230+C231</f>
        <v>21.71943023</v>
      </c>
      <c r="D232" s="63">
        <f>+D214+D220+D228+D230+D231</f>
        <v>8.6389435400000067</v>
      </c>
      <c r="E232" s="63">
        <f t="shared" ref="E232:U232" si="243">+E214+E220+E228+E230+E231</f>
        <v>0.33658238999999668</v>
      </c>
      <c r="F232" s="63">
        <f t="shared" si="243"/>
        <v>205.30618165999999</v>
      </c>
      <c r="G232" s="63">
        <f t="shared" si="243"/>
        <v>-32.041118740000009</v>
      </c>
      <c r="H232" s="63">
        <f t="shared" si="243"/>
        <v>-74.185806039999989</v>
      </c>
      <c r="I232" s="63">
        <f t="shared" si="243"/>
        <v>-24.094607020000005</v>
      </c>
      <c r="J232" s="63">
        <f t="shared" si="243"/>
        <v>-43.050907100000003</v>
      </c>
      <c r="K232" s="63">
        <f t="shared" si="243"/>
        <v>887.96919119000006</v>
      </c>
      <c r="L232" s="63">
        <f t="shared" si="243"/>
        <v>83.948237080000013</v>
      </c>
      <c r="M232" s="63">
        <f t="shared" si="243"/>
        <v>195.01086941999984</v>
      </c>
      <c r="N232" s="63">
        <f t="shared" si="243"/>
        <v>443.29186774000004</v>
      </c>
      <c r="O232" s="63">
        <f t="shared" si="243"/>
        <v>1835.1302818700001</v>
      </c>
      <c r="P232" s="63">
        <f>+P214+P220+P228+P230+P231</f>
        <v>-683.5903702999999</v>
      </c>
      <c r="Q232" s="63">
        <f>+Q214+Q220+Q228+Q230+Q231</f>
        <v>486.25578141000005</v>
      </c>
      <c r="R232" s="63">
        <f>+R214+R220+R228+R230+R231</f>
        <v>1736.5265916799995</v>
      </c>
      <c r="S232" s="63">
        <f t="shared" si="243"/>
        <v>1312.9412272296677</v>
      </c>
      <c r="T232" s="63">
        <f t="shared" si="243"/>
        <v>7489.2254985849795</v>
      </c>
      <c r="U232" s="63">
        <f t="shared" si="243"/>
        <v>12445.698914898659</v>
      </c>
      <c r="V232" s="8"/>
      <c r="W232" s="42"/>
      <c r="X232" s="42"/>
      <c r="Y232" s="42"/>
      <c r="Z232" s="44"/>
      <c r="AA232" s="42"/>
      <c r="AB232" s="42"/>
      <c r="AC232" s="42"/>
      <c r="AD232" s="44"/>
      <c r="AE232" s="42"/>
      <c r="AF232" s="42"/>
      <c r="AG232" s="42"/>
      <c r="AH232" s="44"/>
      <c r="AI232" s="42"/>
      <c r="AJ232" s="42"/>
      <c r="AK232" s="42"/>
      <c r="AL232" s="44"/>
      <c r="AM232" s="42"/>
      <c r="AN232" s="42"/>
      <c r="AO232" s="42"/>
      <c r="AP232" s="44"/>
      <c r="AQ232" s="42"/>
      <c r="AR232" s="42"/>
      <c r="AS232" s="42"/>
      <c r="AT232" s="44"/>
      <c r="AU232" s="42"/>
      <c r="AV232" s="42"/>
      <c r="AW232" s="42"/>
      <c r="AX232" s="44"/>
      <c r="AY232" s="42"/>
      <c r="AZ232" s="42"/>
      <c r="BA232" s="42"/>
      <c r="BB232" s="44"/>
      <c r="BC232" s="42"/>
      <c r="BD232" s="42"/>
      <c r="BE232" s="42"/>
      <c r="BF232" s="44"/>
      <c r="BG232" s="42"/>
      <c r="BH232" s="42"/>
      <c r="BI232" s="42"/>
      <c r="BJ232" s="44"/>
      <c r="BK232" s="42"/>
      <c r="BL232" s="42"/>
      <c r="BM232" s="42"/>
      <c r="BN232" s="44"/>
      <c r="BO232" s="42"/>
      <c r="BP232" s="42"/>
      <c r="BQ232" s="42"/>
      <c r="BR232" s="44"/>
      <c r="BS232" s="42"/>
      <c r="BT232" s="42"/>
      <c r="BU232" s="42"/>
      <c r="BV232" s="42"/>
      <c r="BW232" s="42"/>
      <c r="BX232" s="42"/>
      <c r="BY232" s="42"/>
      <c r="BZ232" s="42"/>
      <c r="CA232" s="42"/>
      <c r="CB232" s="42"/>
      <c r="CC232" s="42"/>
      <c r="CD232" s="42"/>
      <c r="CE232" s="42"/>
      <c r="CF232" s="42"/>
      <c r="CG232" s="42"/>
      <c r="CH232" s="42"/>
      <c r="CI232" s="42"/>
      <c r="CJ232" s="42"/>
      <c r="CK232" s="42"/>
      <c r="CL232" s="42"/>
      <c r="CM232" s="42"/>
      <c r="CN232" s="42"/>
      <c r="CO232" s="42"/>
      <c r="CP232" s="42"/>
      <c r="CQ232" s="42"/>
      <c r="CR232" s="42"/>
      <c r="CS232" s="42"/>
      <c r="CT232" s="42"/>
      <c r="CU232" s="42"/>
      <c r="CV232" s="42"/>
      <c r="CW232" s="42"/>
      <c r="CX232" s="42"/>
      <c r="CY232" s="42"/>
      <c r="CZ232" s="42"/>
      <c r="DA232" s="42"/>
      <c r="DB232" s="42"/>
      <c r="DC232" s="42"/>
      <c r="DD232" s="42"/>
      <c r="DE232" s="42"/>
      <c r="DF232" s="42"/>
      <c r="DG232" s="42"/>
      <c r="DH232" s="42"/>
      <c r="DI232" s="42"/>
      <c r="DJ232" s="42"/>
      <c r="DK232" s="42"/>
    </row>
    <row r="233" spans="1:115" x14ac:dyDescent="0.4">
      <c r="A233" s="41"/>
      <c r="B233" s="5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40"/>
      <c r="P233" s="140"/>
      <c r="Q233" s="140"/>
      <c r="R233" s="140"/>
      <c r="S233" s="140"/>
      <c r="T233" s="140"/>
      <c r="U233" s="140"/>
      <c r="V233" s="8"/>
      <c r="W233" s="140"/>
      <c r="X233" s="140"/>
      <c r="Y233" s="140"/>
      <c r="Z233" s="141"/>
      <c r="AA233" s="140"/>
      <c r="AB233" s="140"/>
      <c r="AC233" s="140"/>
      <c r="AD233" s="141"/>
      <c r="AE233" s="140"/>
      <c r="AF233" s="140"/>
      <c r="AG233" s="140"/>
      <c r="AH233" s="141"/>
      <c r="AI233" s="140"/>
      <c r="AJ233" s="140"/>
      <c r="AK233" s="140"/>
      <c r="AL233" s="141"/>
      <c r="AM233" s="140"/>
      <c r="AN233" s="140"/>
      <c r="AO233" s="140"/>
      <c r="AP233" s="7"/>
      <c r="AQ233" s="8"/>
      <c r="AR233" s="8"/>
      <c r="AS233" s="37"/>
      <c r="AT233" s="36"/>
      <c r="AU233" s="37"/>
      <c r="AV233" s="37"/>
      <c r="AW233" s="37"/>
      <c r="AX233" s="36"/>
      <c r="AY233" s="37"/>
      <c r="AZ233" s="37"/>
      <c r="BA233" s="37"/>
      <c r="BB233" s="36"/>
      <c r="BC233" s="37"/>
      <c r="BD233" s="37"/>
      <c r="BE233" s="37"/>
      <c r="BF233" s="36"/>
      <c r="BG233" s="37"/>
      <c r="BH233" s="37"/>
      <c r="BI233" s="37"/>
      <c r="BJ233" s="36"/>
      <c r="BK233" s="37"/>
      <c r="BL233" s="37"/>
      <c r="BM233" s="37"/>
      <c r="BN233" s="36"/>
      <c r="BO233" s="37"/>
      <c r="BP233" s="37"/>
      <c r="BQ233" s="37"/>
      <c r="BR233" s="36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</row>
    <row r="234" spans="1:115" x14ac:dyDescent="0.4">
      <c r="A234" s="69"/>
      <c r="B234" s="273" t="s">
        <v>227</v>
      </c>
      <c r="C234" s="55"/>
      <c r="D234" s="55">
        <f t="shared" ref="D234:U234" si="244">+D123-C123-D232</f>
        <v>0</v>
      </c>
      <c r="E234" s="55">
        <f t="shared" si="244"/>
        <v>0</v>
      </c>
      <c r="F234" s="55">
        <f t="shared" si="244"/>
        <v>0</v>
      </c>
      <c r="G234" s="55">
        <f t="shared" si="244"/>
        <v>0</v>
      </c>
      <c r="H234" s="55">
        <f t="shared" si="244"/>
        <v>0</v>
      </c>
      <c r="I234" s="55">
        <f t="shared" si="244"/>
        <v>0</v>
      </c>
      <c r="J234" s="55">
        <f t="shared" si="244"/>
        <v>0</v>
      </c>
      <c r="K234" s="55">
        <f t="shared" si="244"/>
        <v>0</v>
      </c>
      <c r="L234" s="55">
        <f t="shared" si="244"/>
        <v>0</v>
      </c>
      <c r="M234" s="55">
        <f t="shared" si="244"/>
        <v>0</v>
      </c>
      <c r="N234" s="55">
        <f t="shared" si="244"/>
        <v>0</v>
      </c>
      <c r="O234" s="55">
        <f t="shared" si="244"/>
        <v>0</v>
      </c>
      <c r="P234" s="55">
        <f t="shared" si="244"/>
        <v>0</v>
      </c>
      <c r="Q234" s="55">
        <f t="shared" si="244"/>
        <v>0</v>
      </c>
      <c r="R234" s="55">
        <f t="shared" si="244"/>
        <v>0</v>
      </c>
      <c r="S234" s="55">
        <f t="shared" si="244"/>
        <v>0</v>
      </c>
      <c r="T234" s="55">
        <f t="shared" si="244"/>
        <v>0</v>
      </c>
      <c r="U234" s="55">
        <f t="shared" si="244"/>
        <v>0</v>
      </c>
      <c r="V234" s="8"/>
      <c r="W234" s="164"/>
      <c r="X234" s="164"/>
      <c r="Y234" s="164"/>
      <c r="Z234" s="274"/>
      <c r="AA234" s="164"/>
      <c r="AB234" s="164"/>
      <c r="AC234" s="164"/>
      <c r="AD234" s="274"/>
      <c r="AE234" s="164"/>
      <c r="AF234" s="164"/>
      <c r="AG234" s="164"/>
      <c r="AH234" s="274"/>
      <c r="AI234" s="164"/>
      <c r="AJ234" s="164"/>
      <c r="AK234" s="164">
        <f>ROUND(AK123-AJ123-AK232, 2)</f>
        <v>0</v>
      </c>
      <c r="AL234" s="274"/>
      <c r="AM234" s="164"/>
      <c r="AN234" s="164"/>
      <c r="AO234" s="164"/>
      <c r="AP234" s="51"/>
      <c r="AQ234" s="50"/>
      <c r="AR234" s="50"/>
      <c r="AS234" s="50"/>
      <c r="AT234" s="51"/>
      <c r="AU234" s="50"/>
      <c r="AV234" s="50"/>
      <c r="AW234" s="50"/>
      <c r="AX234" s="51"/>
      <c r="AY234" s="50"/>
      <c r="AZ234" s="50"/>
      <c r="BA234" s="50"/>
      <c r="BB234" s="51"/>
      <c r="BC234" s="50"/>
      <c r="BD234" s="50"/>
      <c r="BE234" s="50"/>
      <c r="BF234" s="51"/>
      <c r="BG234" s="50"/>
      <c r="BH234" s="50"/>
      <c r="BI234" s="50"/>
      <c r="BJ234" s="51"/>
      <c r="BK234" s="50"/>
      <c r="BL234" s="50"/>
      <c r="BM234" s="50"/>
      <c r="BN234" s="51"/>
      <c r="BO234" s="50"/>
      <c r="BP234" s="50"/>
      <c r="BQ234" s="50"/>
      <c r="BR234" s="51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50"/>
      <c r="CH234" s="50"/>
      <c r="CI234" s="50"/>
      <c r="CJ234" s="50"/>
      <c r="CK234" s="50"/>
      <c r="CL234" s="50"/>
      <c r="CM234" s="50"/>
      <c r="CN234" s="50"/>
      <c r="CO234" s="50"/>
      <c r="CP234" s="50"/>
      <c r="CQ234" s="50"/>
      <c r="CR234" s="50"/>
      <c r="CS234" s="50"/>
      <c r="CT234" s="50"/>
      <c r="CU234" s="50"/>
      <c r="CV234" s="50"/>
      <c r="CW234" s="50"/>
      <c r="CX234" s="50"/>
      <c r="CY234" s="50"/>
      <c r="CZ234" s="50"/>
      <c r="DA234" s="50"/>
      <c r="DB234" s="50"/>
      <c r="DC234" s="50"/>
      <c r="DD234" s="50"/>
      <c r="DE234" s="50"/>
      <c r="DF234" s="50"/>
      <c r="DG234" s="50"/>
      <c r="DH234" s="50"/>
      <c r="DI234" s="50"/>
      <c r="DJ234" s="50"/>
      <c r="DK234" s="50"/>
    </row>
    <row r="235" spans="1:115" x14ac:dyDescent="0.4">
      <c r="A235" s="69"/>
      <c r="B235" s="167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8"/>
      <c r="W235" s="50"/>
      <c r="X235" s="50"/>
      <c r="Y235" s="50"/>
      <c r="Z235" s="51"/>
      <c r="AA235" s="50"/>
      <c r="AB235" s="50"/>
      <c r="AC235" s="50"/>
      <c r="AD235" s="51"/>
      <c r="AE235" s="50"/>
      <c r="AF235" s="50"/>
      <c r="AG235" s="50"/>
      <c r="AH235" s="51"/>
      <c r="AI235" s="50"/>
      <c r="AJ235" s="50"/>
      <c r="AK235" s="50"/>
      <c r="AL235" s="51"/>
      <c r="AM235" s="50"/>
      <c r="AN235" s="50"/>
      <c r="AO235" s="50"/>
      <c r="AP235" s="7"/>
      <c r="AQ235" s="8"/>
      <c r="AR235" s="8"/>
      <c r="AS235" s="37"/>
      <c r="AT235" s="36"/>
      <c r="AU235" s="37"/>
      <c r="AV235" s="37"/>
      <c r="AW235" s="37"/>
      <c r="AX235" s="36"/>
      <c r="AY235" s="37"/>
      <c r="AZ235" s="37"/>
      <c r="BA235" s="37"/>
      <c r="BB235" s="36"/>
      <c r="BC235" s="37"/>
      <c r="BD235" s="37"/>
      <c r="BE235" s="37"/>
      <c r="BF235" s="36"/>
      <c r="BG235" s="37"/>
      <c r="BH235" s="37"/>
      <c r="BI235" s="37"/>
      <c r="BJ235" s="36"/>
      <c r="BK235" s="37"/>
      <c r="BL235" s="37"/>
      <c r="BM235" s="37"/>
      <c r="BN235" s="36"/>
      <c r="BO235" s="37"/>
      <c r="BP235" s="37"/>
      <c r="BQ235" s="37"/>
      <c r="BR235" s="36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</row>
    <row r="236" spans="1:115" x14ac:dyDescent="0.4">
      <c r="A236" s="275"/>
      <c r="B236" s="275"/>
      <c r="C236" s="276"/>
      <c r="D236" s="276"/>
      <c r="E236" s="276"/>
      <c r="F236" s="276"/>
      <c r="G236" s="276"/>
      <c r="H236" s="276"/>
      <c r="I236" s="276"/>
      <c r="J236" s="276"/>
      <c r="K236" s="276"/>
      <c r="L236" s="276" t="str">
        <f t="shared" ref="L236:U236" si="245">IF(L232&lt;0,"Cash is negative change your forecast","Cash forecast is ok")</f>
        <v>Cash forecast is ok</v>
      </c>
      <c r="M236" s="276" t="str">
        <f t="shared" si="245"/>
        <v>Cash forecast is ok</v>
      </c>
      <c r="N236" s="276" t="str">
        <f t="shared" si="245"/>
        <v>Cash forecast is ok</v>
      </c>
      <c r="O236" s="276" t="str">
        <f t="shared" si="245"/>
        <v>Cash forecast is ok</v>
      </c>
      <c r="P236" s="276" t="str">
        <f t="shared" si="245"/>
        <v>Cash is negative change your forecast</v>
      </c>
      <c r="Q236" s="276" t="str">
        <f t="shared" si="245"/>
        <v>Cash forecast is ok</v>
      </c>
      <c r="R236" s="276" t="str">
        <f t="shared" si="245"/>
        <v>Cash forecast is ok</v>
      </c>
      <c r="S236" s="276" t="str">
        <f t="shared" si="245"/>
        <v>Cash forecast is ok</v>
      </c>
      <c r="T236" s="276" t="str">
        <f t="shared" si="245"/>
        <v>Cash forecast is ok</v>
      </c>
      <c r="U236" s="276" t="str">
        <f t="shared" si="245"/>
        <v>Cash forecast is ok</v>
      </c>
      <c r="V236" s="11"/>
      <c r="W236" s="11"/>
      <c r="X236" s="11"/>
      <c r="Y236" s="11"/>
      <c r="Z236" s="277"/>
      <c r="AA236" s="11"/>
      <c r="AB236" s="11"/>
      <c r="AC236" s="11"/>
      <c r="AD236" s="277"/>
      <c r="AE236" s="11"/>
      <c r="AF236" s="11"/>
      <c r="AG236" s="11"/>
      <c r="AH236" s="277"/>
      <c r="AI236" s="11"/>
      <c r="AJ236" s="11"/>
      <c r="AK236" s="11"/>
      <c r="AL236" s="277"/>
      <c r="AM236" s="11"/>
      <c r="AN236" s="11"/>
      <c r="AO236" s="11"/>
      <c r="AP236" s="277"/>
      <c r="AQ236" s="11"/>
      <c r="AR236" s="11"/>
      <c r="AS236" s="278"/>
      <c r="AT236" s="279"/>
      <c r="AU236" s="278"/>
      <c r="AV236" s="278"/>
      <c r="AW236" s="278"/>
      <c r="AX236" s="279"/>
      <c r="AY236" s="278"/>
      <c r="AZ236" s="278"/>
      <c r="BA236" s="278"/>
      <c r="BB236" s="279"/>
      <c r="BC236" s="278"/>
      <c r="BD236" s="278"/>
      <c r="BE236" s="278"/>
      <c r="BF236" s="279"/>
      <c r="BG236" s="278"/>
      <c r="BH236" s="278"/>
      <c r="BI236" s="278"/>
      <c r="BJ236" s="279"/>
      <c r="BK236" s="278"/>
      <c r="BL236" s="278"/>
      <c r="BM236" s="278"/>
      <c r="BN236" s="279"/>
      <c r="BO236" s="278"/>
      <c r="BP236" s="278"/>
      <c r="BQ236" s="278"/>
      <c r="BR236" s="279"/>
      <c r="BS236" s="278"/>
      <c r="BT236" s="278"/>
      <c r="BU236" s="278"/>
      <c r="BV236" s="278"/>
      <c r="BW236" s="278"/>
      <c r="BX236" s="278"/>
      <c r="BY236" s="278"/>
      <c r="BZ236" s="278"/>
      <c r="CA236" s="278"/>
      <c r="CB236" s="27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</row>
    <row r="237" spans="1:115" x14ac:dyDescent="0.4">
      <c r="A237" s="69"/>
      <c r="B237" s="167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8"/>
      <c r="W237" s="50"/>
      <c r="X237" s="50"/>
      <c r="Y237" s="50"/>
      <c r="Z237" s="51"/>
      <c r="AA237" s="50"/>
      <c r="AB237" s="50"/>
      <c r="AC237" s="50"/>
      <c r="AD237" s="51"/>
      <c r="AE237" s="50"/>
      <c r="AF237" s="50"/>
      <c r="AG237" s="50"/>
      <c r="AH237" s="51"/>
      <c r="AI237" s="50"/>
      <c r="AJ237" s="50"/>
      <c r="AK237" s="50"/>
      <c r="AL237" s="51"/>
      <c r="AM237" s="50"/>
      <c r="AN237" s="50"/>
      <c r="AO237" s="50"/>
      <c r="AP237" s="7"/>
      <c r="AQ237" s="8"/>
      <c r="AR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</row>
    <row r="238" spans="1:115" ht="34.200000000000003" x14ac:dyDescent="0.4">
      <c r="A238" s="29" t="s">
        <v>228</v>
      </c>
      <c r="B238" s="8" t="s">
        <v>229</v>
      </c>
      <c r="C238" s="214"/>
      <c r="D238" s="214"/>
      <c r="E238" s="214"/>
      <c r="F238" s="214"/>
      <c r="G238" s="214"/>
      <c r="H238" s="214"/>
      <c r="I238" s="214"/>
      <c r="J238" s="214"/>
      <c r="K238" s="214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11"/>
      <c r="W238" s="214"/>
      <c r="X238" s="214"/>
      <c r="Y238" s="214"/>
      <c r="Z238" s="215"/>
      <c r="AA238" s="214"/>
      <c r="AB238" s="214"/>
      <c r="AC238" s="214"/>
      <c r="AD238" s="215"/>
      <c r="AE238" s="214"/>
      <c r="AF238" s="214"/>
      <c r="AG238" s="214"/>
      <c r="AH238" s="215"/>
      <c r="AI238" s="214"/>
      <c r="AJ238" s="214"/>
      <c r="AK238" s="214"/>
      <c r="AL238" s="215"/>
      <c r="AM238" s="214"/>
      <c r="AN238" s="214"/>
      <c r="AO238" s="214"/>
      <c r="AP238" s="216"/>
      <c r="AQ238" s="27"/>
      <c r="AR238" s="27"/>
      <c r="AS238" s="27"/>
      <c r="AT238" s="216"/>
      <c r="AU238" s="27"/>
      <c r="AV238" s="27"/>
      <c r="AW238" s="27"/>
      <c r="AX238" s="216"/>
      <c r="AY238" s="27"/>
      <c r="AZ238" s="27"/>
      <c r="BA238" s="27"/>
      <c r="BB238" s="216"/>
      <c r="BC238" s="27"/>
      <c r="BD238" s="27"/>
      <c r="BE238" s="27"/>
      <c r="BF238" s="216"/>
      <c r="BG238" s="27"/>
      <c r="BH238" s="27"/>
      <c r="BI238" s="27"/>
      <c r="BJ238" s="216"/>
      <c r="BK238" s="27"/>
      <c r="BL238" s="27"/>
      <c r="BM238" s="27"/>
      <c r="BN238" s="216"/>
      <c r="BO238" s="27"/>
      <c r="BP238" s="27"/>
      <c r="BQ238" s="27"/>
      <c r="BR238" s="216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</row>
    <row r="239" spans="1:115" x14ac:dyDescent="0.4">
      <c r="A239" s="69"/>
      <c r="B239" s="167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8"/>
      <c r="W239" s="50"/>
      <c r="X239" s="50"/>
      <c r="Y239" s="50"/>
      <c r="Z239" s="51"/>
      <c r="AA239" s="50"/>
      <c r="AB239" s="50"/>
      <c r="AC239" s="50"/>
      <c r="AD239" s="51"/>
      <c r="AE239" s="50"/>
      <c r="AF239" s="50"/>
      <c r="AG239" s="50"/>
      <c r="AH239" s="51"/>
      <c r="AI239" s="50"/>
      <c r="AJ239" s="50"/>
      <c r="AK239" s="50"/>
      <c r="AL239" s="51"/>
      <c r="AM239" s="50"/>
      <c r="AN239" s="50"/>
      <c r="AO239" s="50"/>
      <c r="AP239" s="7"/>
      <c r="AQ239" s="8"/>
      <c r="AR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</row>
    <row r="240" spans="1:115" x14ac:dyDescent="0.4">
      <c r="A240" s="69"/>
      <c r="B240" s="206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8"/>
      <c r="W240" s="50"/>
      <c r="X240" s="50"/>
      <c r="Y240" s="50"/>
      <c r="Z240" s="51"/>
      <c r="AA240" s="50"/>
      <c r="AB240" s="50"/>
      <c r="AC240" s="50"/>
      <c r="AD240" s="51"/>
      <c r="AE240" s="50"/>
      <c r="AF240" s="50"/>
      <c r="AG240" s="50"/>
      <c r="AH240" s="51"/>
      <c r="AI240" s="50"/>
      <c r="AJ240" s="50"/>
      <c r="AK240" s="50"/>
      <c r="AL240" s="51"/>
      <c r="AM240" s="50"/>
      <c r="AN240" s="50"/>
      <c r="AO240" s="50"/>
      <c r="AP240" s="7"/>
      <c r="AQ240" s="8"/>
      <c r="AR240" s="8"/>
      <c r="AS240" s="37"/>
      <c r="AT240" s="36"/>
      <c r="AU240" s="37"/>
      <c r="AV240" s="37"/>
      <c r="AW240" s="37"/>
      <c r="AX240" s="36"/>
      <c r="AY240" s="37"/>
      <c r="AZ240" s="37"/>
      <c r="BA240" s="37"/>
      <c r="BB240" s="36"/>
      <c r="BC240" s="37"/>
      <c r="BD240" s="37"/>
      <c r="BE240" s="37"/>
      <c r="BF240" s="36"/>
      <c r="BG240" s="37"/>
      <c r="BH240" s="37"/>
      <c r="BI240" s="37"/>
      <c r="BJ240" s="36"/>
      <c r="BK240" s="37"/>
      <c r="BL240" s="37"/>
      <c r="BM240" s="37"/>
      <c r="BN240" s="36"/>
      <c r="BO240" s="37"/>
      <c r="BP240" s="37"/>
      <c r="BQ240" s="37"/>
      <c r="BR240" s="36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</row>
    <row r="241" spans="1:115" x14ac:dyDescent="0.4">
      <c r="A241" s="41"/>
      <c r="B241" s="53" t="s">
        <v>230</v>
      </c>
      <c r="C241" s="50"/>
      <c r="D241" s="50"/>
      <c r="E241" s="50"/>
      <c r="F241" s="50"/>
      <c r="G241" s="50"/>
      <c r="H241" s="50"/>
      <c r="I241" s="50"/>
      <c r="J241" s="50"/>
      <c r="K241" s="50"/>
      <c r="L241" s="50">
        <f>+(L20+L29)*(1-L89)</f>
        <v>697.73674044203915</v>
      </c>
      <c r="M241" s="50">
        <f t="shared" ref="M241:U241" si="246">+(M20+M29)*(1-M89)</f>
        <v>565.3982789386871</v>
      </c>
      <c r="N241" s="50">
        <f t="shared" si="246"/>
        <v>885.10353440334904</v>
      </c>
      <c r="O241" s="50">
        <f t="shared" si="246"/>
        <v>887.93039807780201</v>
      </c>
      <c r="P241" s="50">
        <f t="shared" si="246"/>
        <v>1342.8770898910971</v>
      </c>
      <c r="Q241" s="50">
        <f t="shared" si="246"/>
        <v>2198.3039148330095</v>
      </c>
      <c r="R241" s="50">
        <f t="shared" si="246"/>
        <v>5193.1408720611616</v>
      </c>
      <c r="S241" s="50">
        <f t="shared" si="246"/>
        <v>10505.797344262526</v>
      </c>
      <c r="T241" s="50">
        <f t="shared" si="246"/>
        <v>17364.963553614853</v>
      </c>
      <c r="U241" s="50">
        <f t="shared" si="246"/>
        <v>21439.607847403338</v>
      </c>
      <c r="V241" s="8"/>
      <c r="W241" s="50"/>
      <c r="X241" s="50"/>
      <c r="Y241" s="50"/>
      <c r="Z241" s="51"/>
      <c r="AA241" s="50"/>
      <c r="AB241" s="50"/>
      <c r="AC241" s="50"/>
      <c r="AD241" s="51"/>
      <c r="AE241" s="50"/>
      <c r="AF241" s="50"/>
      <c r="AG241" s="50"/>
      <c r="AH241" s="51"/>
      <c r="AI241" s="50"/>
      <c r="AJ241" s="50"/>
      <c r="AK241" s="50"/>
      <c r="AL241" s="51"/>
      <c r="AM241" s="50"/>
      <c r="AN241" s="50"/>
      <c r="AO241" s="50"/>
      <c r="AP241" s="51"/>
      <c r="AQ241" s="50"/>
      <c r="AR241" s="50"/>
      <c r="AS241" s="50"/>
      <c r="AT241" s="51"/>
      <c r="AU241" s="50"/>
      <c r="AV241" s="50"/>
      <c r="AW241" s="50"/>
      <c r="AX241" s="51"/>
      <c r="AY241" s="50"/>
      <c r="AZ241" s="50"/>
      <c r="BA241" s="50"/>
      <c r="BB241" s="51"/>
      <c r="BC241" s="50"/>
      <c r="BD241" s="50"/>
      <c r="BE241" s="50"/>
      <c r="BF241" s="51"/>
      <c r="BG241" s="50"/>
      <c r="BH241" s="50"/>
      <c r="BI241" s="50"/>
      <c r="BJ241" s="51"/>
      <c r="BK241" s="50"/>
      <c r="BL241" s="50"/>
      <c r="BM241" s="50"/>
      <c r="BN241" s="51"/>
      <c r="BO241" s="50"/>
      <c r="BP241" s="50"/>
      <c r="BQ241" s="50"/>
      <c r="BR241" s="51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  <c r="CP241" s="50"/>
      <c r="CQ241" s="50"/>
      <c r="CR241" s="50"/>
      <c r="CS241" s="50"/>
      <c r="CT241" s="50"/>
      <c r="CU241" s="50"/>
      <c r="CV241" s="50"/>
      <c r="CW241" s="50"/>
      <c r="CX241" s="50"/>
      <c r="CY241" s="50"/>
      <c r="CZ241" s="50"/>
      <c r="DA241" s="50"/>
      <c r="DB241" s="50"/>
      <c r="DC241" s="50"/>
      <c r="DD241" s="50"/>
      <c r="DE241" s="50"/>
      <c r="DF241" s="50"/>
      <c r="DG241" s="50"/>
      <c r="DH241" s="50"/>
      <c r="DI241" s="50"/>
      <c r="DJ241" s="50"/>
      <c r="DK241" s="50"/>
    </row>
    <row r="242" spans="1:115" x14ac:dyDescent="0.4">
      <c r="A242" s="41"/>
      <c r="B242" s="53" t="s">
        <v>231</v>
      </c>
      <c r="C242" s="50"/>
      <c r="D242" s="50"/>
      <c r="E242" s="50"/>
      <c r="F242" s="50"/>
      <c r="G242" s="50"/>
      <c r="H242" s="50"/>
      <c r="I242" s="50"/>
      <c r="J242" s="50"/>
      <c r="K242" s="50"/>
      <c r="L242" s="50">
        <f>+L157+L145+L141-L123</f>
        <v>5457.0485647700007</v>
      </c>
      <c r="M242" s="50">
        <f t="shared" ref="M242:U242" si="247">+M157+M145+M141-M123</f>
        <v>7088.6757859399995</v>
      </c>
      <c r="N242" s="50">
        <f t="shared" si="247"/>
        <v>9140.9312366800004</v>
      </c>
      <c r="O242" s="50">
        <f t="shared" si="247"/>
        <v>10664.95401447</v>
      </c>
      <c r="P242" s="50">
        <f t="shared" si="247"/>
        <v>11207.0868531</v>
      </c>
      <c r="Q242" s="50">
        <f t="shared" si="247"/>
        <v>12397.102078439999</v>
      </c>
      <c r="R242" s="50">
        <f t="shared" si="247"/>
        <v>17915.414575350002</v>
      </c>
      <c r="S242" s="50">
        <f t="shared" si="247"/>
        <v>26130.822683859289</v>
      </c>
      <c r="T242" s="50">
        <f t="shared" si="247"/>
        <v>34408.951015000282</v>
      </c>
      <c r="U242" s="50">
        <f t="shared" si="247"/>
        <v>41456.150389021896</v>
      </c>
      <c r="V242" s="8"/>
      <c r="W242" s="50"/>
      <c r="X242" s="50"/>
      <c r="Y242" s="50"/>
      <c r="Z242" s="51"/>
      <c r="AA242" s="50"/>
      <c r="AB242" s="50"/>
      <c r="AC242" s="50"/>
      <c r="AD242" s="51"/>
      <c r="AE242" s="50"/>
      <c r="AF242" s="50"/>
      <c r="AG242" s="50"/>
      <c r="AH242" s="51"/>
      <c r="AI242" s="50"/>
      <c r="AJ242" s="50"/>
      <c r="AK242" s="50"/>
      <c r="AL242" s="51"/>
      <c r="AM242" s="50"/>
      <c r="AN242" s="50"/>
      <c r="AO242" s="50"/>
      <c r="AP242" s="51"/>
      <c r="AQ242" s="50"/>
      <c r="AR242" s="50"/>
      <c r="AS242" s="50"/>
      <c r="AT242" s="51"/>
      <c r="AU242" s="50"/>
      <c r="AV242" s="50"/>
      <c r="AW242" s="50"/>
      <c r="AX242" s="51"/>
      <c r="AY242" s="50"/>
      <c r="AZ242" s="50"/>
      <c r="BA242" s="50"/>
      <c r="BB242" s="51"/>
      <c r="BC242" s="50"/>
      <c r="BD242" s="50"/>
      <c r="BE242" s="50"/>
      <c r="BF242" s="51"/>
      <c r="BG242" s="50"/>
      <c r="BH242" s="50"/>
      <c r="BI242" s="50"/>
      <c r="BJ242" s="51"/>
      <c r="BK242" s="50"/>
      <c r="BL242" s="50"/>
      <c r="BM242" s="50"/>
      <c r="BN242" s="51"/>
      <c r="BO242" s="50"/>
      <c r="BP242" s="50"/>
      <c r="BQ242" s="50"/>
      <c r="BR242" s="51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C242" s="50"/>
      <c r="DD242" s="50"/>
      <c r="DE242" s="50"/>
      <c r="DF242" s="50"/>
      <c r="DG242" s="50"/>
      <c r="DH242" s="50"/>
      <c r="DI242" s="50"/>
      <c r="DJ242" s="50"/>
      <c r="DK242" s="50"/>
    </row>
    <row r="243" spans="1:115" x14ac:dyDescent="0.4">
      <c r="A243" s="227"/>
      <c r="B243" s="53" t="s">
        <v>232</v>
      </c>
      <c r="C243" s="50"/>
      <c r="D243" s="50"/>
      <c r="E243" s="50"/>
      <c r="F243" s="50"/>
      <c r="G243" s="50"/>
      <c r="H243" s="50"/>
      <c r="I243" s="50"/>
      <c r="J243" s="50"/>
      <c r="K243" s="50"/>
      <c r="L243" s="90">
        <f>+L241/L242</f>
        <v>0.12785972713281998</v>
      </c>
      <c r="M243" s="90">
        <f t="shared" ref="M243:U243" si="248">+M241/M242</f>
        <v>7.9760775638818698E-2</v>
      </c>
      <c r="N243" s="90">
        <f t="shared" si="248"/>
        <v>9.6828595630571654E-2</v>
      </c>
      <c r="O243" s="90">
        <f t="shared" si="248"/>
        <v>8.3256842633646189E-2</v>
      </c>
      <c r="P243" s="90">
        <f t="shared" si="248"/>
        <v>0.11982392101473212</v>
      </c>
      <c r="Q243" s="90">
        <f t="shared" si="248"/>
        <v>0.17732401499348105</v>
      </c>
      <c r="R243" s="90">
        <f t="shared" si="248"/>
        <v>0.28986998041376372</v>
      </c>
      <c r="S243" s="125">
        <f t="shared" si="248"/>
        <v>0.40204617632462974</v>
      </c>
      <c r="T243" s="125">
        <f t="shared" si="248"/>
        <v>0.50466413655111853</v>
      </c>
      <c r="U243" s="90">
        <f t="shared" si="248"/>
        <v>0.51716350037848213</v>
      </c>
      <c r="V243" s="8"/>
      <c r="W243" s="50"/>
      <c r="X243" s="50"/>
      <c r="Y243" s="50"/>
      <c r="Z243" s="51"/>
      <c r="AA243" s="50"/>
      <c r="AB243" s="50"/>
      <c r="AC243" s="50"/>
      <c r="AD243" s="51"/>
      <c r="AE243" s="50"/>
      <c r="AF243" s="50"/>
      <c r="AG243" s="50"/>
      <c r="AH243" s="51"/>
      <c r="AI243" s="50"/>
      <c r="AJ243" s="50"/>
      <c r="AK243" s="50"/>
      <c r="AL243" s="51"/>
      <c r="AM243" s="50"/>
      <c r="AN243" s="50"/>
      <c r="AO243" s="50"/>
      <c r="AP243" s="56"/>
      <c r="AQ243" s="55"/>
      <c r="AR243" s="55"/>
      <c r="AS243" s="55"/>
      <c r="AT243" s="56"/>
      <c r="AU243" s="55"/>
      <c r="AV243" s="55"/>
      <c r="AW243" s="55"/>
      <c r="AX243" s="56"/>
      <c r="AY243" s="55"/>
      <c r="AZ243" s="55"/>
      <c r="BA243" s="55"/>
      <c r="BB243" s="56"/>
      <c r="BC243" s="55"/>
      <c r="BD243" s="55"/>
      <c r="BE243" s="55"/>
      <c r="BF243" s="56"/>
      <c r="BG243" s="55"/>
      <c r="BH243" s="55"/>
      <c r="BI243" s="55"/>
      <c r="BJ243" s="56"/>
      <c r="BK243" s="55"/>
      <c r="BL243" s="55"/>
      <c r="BM243" s="55"/>
      <c r="BN243" s="56"/>
      <c r="BO243" s="55"/>
      <c r="BP243" s="55"/>
      <c r="BQ243" s="55"/>
      <c r="BR243" s="56"/>
      <c r="BS243" s="55"/>
      <c r="BT243" s="55"/>
      <c r="BU243" s="55"/>
      <c r="BV243" s="55"/>
      <c r="BW243" s="55"/>
      <c r="BX243" s="55"/>
      <c r="BY243" s="55"/>
      <c r="BZ243" s="55"/>
      <c r="CA243" s="55"/>
      <c r="CB243" s="55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  <c r="CP243" s="50"/>
      <c r="CQ243" s="50"/>
      <c r="CR243" s="50"/>
      <c r="CS243" s="50"/>
      <c r="CT243" s="50"/>
      <c r="CU243" s="50"/>
      <c r="CV243" s="50"/>
      <c r="CW243" s="50"/>
      <c r="CX243" s="50"/>
      <c r="CY243" s="50"/>
      <c r="CZ243" s="50"/>
      <c r="DA243" s="50"/>
      <c r="DB243" s="50"/>
      <c r="DC243" s="50"/>
      <c r="DD243" s="50"/>
      <c r="DE243" s="50"/>
      <c r="DF243" s="50"/>
      <c r="DG243" s="50"/>
      <c r="DH243" s="50"/>
      <c r="DI243" s="50"/>
      <c r="DJ243" s="50"/>
      <c r="DK243" s="50"/>
    </row>
    <row r="244" spans="1:115" x14ac:dyDescent="0.4">
      <c r="A244" s="227"/>
      <c r="B244" s="53"/>
      <c r="C244" s="50"/>
      <c r="D244" s="50"/>
      <c r="E244" s="50"/>
      <c r="F244" s="50"/>
      <c r="G244" s="50"/>
      <c r="H244" s="50"/>
      <c r="I244" s="50"/>
      <c r="J244" s="50"/>
      <c r="K244" s="5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8"/>
      <c r="W244" s="50"/>
      <c r="X244" s="50"/>
      <c r="Y244" s="50"/>
      <c r="Z244" s="51"/>
      <c r="AA244" s="50"/>
      <c r="AB244" s="50"/>
      <c r="AC244" s="50"/>
      <c r="AD244" s="51"/>
      <c r="AE244" s="50"/>
      <c r="AF244" s="50"/>
      <c r="AG244" s="50"/>
      <c r="AH244" s="51"/>
      <c r="AI244" s="50"/>
      <c r="AJ244" s="50"/>
      <c r="AK244" s="50"/>
      <c r="AL244" s="51"/>
      <c r="AM244" s="50"/>
      <c r="AN244" s="50"/>
      <c r="AO244" s="50"/>
      <c r="AP244" s="7"/>
      <c r="AQ244" s="8"/>
      <c r="AR244" s="8"/>
      <c r="AS244" s="37"/>
      <c r="AT244" s="36"/>
      <c r="AU244" s="37"/>
      <c r="AV244" s="37"/>
      <c r="AW244" s="37"/>
      <c r="AX244" s="36"/>
      <c r="AY244" s="37"/>
      <c r="AZ244" s="37"/>
      <c r="BA244" s="37"/>
      <c r="BB244" s="36"/>
      <c r="BC244" s="37"/>
      <c r="BD244" s="37"/>
      <c r="BE244" s="37"/>
      <c r="BF244" s="36"/>
      <c r="BG244" s="37"/>
      <c r="BH244" s="37"/>
      <c r="BI244" s="37"/>
      <c r="BJ244" s="36"/>
      <c r="BK244" s="37"/>
      <c r="BL244" s="37"/>
      <c r="BM244" s="37"/>
      <c r="BN244" s="36"/>
      <c r="BO244" s="37"/>
      <c r="BP244" s="37"/>
      <c r="BQ244" s="37"/>
      <c r="BR244" s="36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</row>
    <row r="245" spans="1:115" x14ac:dyDescent="0.4">
      <c r="A245" s="227"/>
      <c r="B245" s="281" t="s">
        <v>233</v>
      </c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8"/>
      <c r="W245" s="50"/>
      <c r="X245" s="50"/>
      <c r="Y245" s="50"/>
      <c r="Z245" s="51"/>
      <c r="AA245" s="50"/>
      <c r="AB245" s="50"/>
      <c r="AC245" s="50"/>
      <c r="AD245" s="51"/>
      <c r="AE245" s="50"/>
      <c r="AF245" s="50"/>
      <c r="AG245" s="50"/>
      <c r="AH245" s="51"/>
      <c r="AI245" s="50"/>
      <c r="AJ245" s="50"/>
      <c r="AK245" s="50"/>
      <c r="AL245" s="51"/>
      <c r="AM245" s="50"/>
      <c r="AN245" s="50"/>
      <c r="AO245" s="50"/>
      <c r="AP245" s="7"/>
      <c r="AQ245" s="8"/>
      <c r="AR245" s="8"/>
      <c r="AS245" s="37"/>
      <c r="AT245" s="36"/>
      <c r="AU245" s="37"/>
      <c r="AV245" s="37"/>
      <c r="AW245" s="37"/>
      <c r="AX245" s="36"/>
      <c r="AY245" s="37"/>
      <c r="AZ245" s="37"/>
      <c r="BA245" s="37"/>
      <c r="BB245" s="36"/>
      <c r="BC245" s="37"/>
      <c r="BD245" s="37"/>
      <c r="BE245" s="37"/>
      <c r="BF245" s="36"/>
      <c r="BG245" s="37"/>
      <c r="BH245" s="37"/>
      <c r="BI245" s="37"/>
      <c r="BJ245" s="36"/>
      <c r="BK245" s="37"/>
      <c r="BL245" s="37"/>
      <c r="BM245" s="37"/>
      <c r="BN245" s="36"/>
      <c r="BO245" s="37"/>
      <c r="BP245" s="37"/>
      <c r="BQ245" s="37"/>
      <c r="BR245" s="36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</row>
    <row r="246" spans="1:115" x14ac:dyDescent="0.4">
      <c r="A246" s="41"/>
      <c r="B246" s="53" t="s">
        <v>234</v>
      </c>
      <c r="C246" s="50"/>
      <c r="D246" s="50"/>
      <c r="E246" s="50"/>
      <c r="F246" s="50"/>
      <c r="G246" s="50"/>
      <c r="H246" s="50"/>
      <c r="I246" s="50"/>
      <c r="J246" s="50"/>
      <c r="K246" s="50"/>
      <c r="L246" s="50">
        <f>+L145+L141</f>
        <v>1721.7469862500002</v>
      </c>
      <c r="M246" s="50">
        <f t="shared" ref="M246:U246" si="249">+M145+M141</f>
        <v>1398.6502303699999</v>
      </c>
      <c r="N246" s="50">
        <f t="shared" si="249"/>
        <v>2826.9272953099999</v>
      </c>
      <c r="O246" s="50">
        <f t="shared" si="249"/>
        <v>2576.5267775900002</v>
      </c>
      <c r="P246" s="50">
        <f t="shared" si="249"/>
        <v>1969.1091055100001</v>
      </c>
      <c r="Q246" s="50">
        <f t="shared" si="249"/>
        <v>939.88147687000003</v>
      </c>
      <c r="R246" s="50">
        <f t="shared" si="249"/>
        <v>2676.3784700599999</v>
      </c>
      <c r="S246" s="50">
        <f t="shared" si="249"/>
        <v>2676.3784700599999</v>
      </c>
      <c r="T246" s="50">
        <f t="shared" si="249"/>
        <v>2676.3784700599999</v>
      </c>
      <c r="U246" s="50">
        <f t="shared" si="249"/>
        <v>2676.3784700599999</v>
      </c>
      <c r="V246" s="8"/>
      <c r="W246" s="50"/>
      <c r="X246" s="101"/>
      <c r="Y246" s="50"/>
      <c r="Z246" s="134"/>
      <c r="AA246" s="50"/>
      <c r="AB246" s="213"/>
      <c r="AC246" s="50"/>
      <c r="AD246" s="51"/>
      <c r="AE246" s="50"/>
      <c r="AF246" s="50"/>
      <c r="AG246" s="50"/>
      <c r="AH246" s="51"/>
      <c r="AI246" s="50"/>
      <c r="AJ246" s="100"/>
      <c r="AK246" s="50"/>
      <c r="AL246" s="51"/>
      <c r="AM246" s="50"/>
      <c r="AN246" s="50"/>
      <c r="AO246" s="50"/>
      <c r="AP246" s="51"/>
      <c r="AQ246" s="50"/>
      <c r="AR246" s="50"/>
      <c r="AS246" s="50"/>
      <c r="AT246" s="51"/>
      <c r="AU246" s="50"/>
      <c r="AV246" s="50"/>
      <c r="AW246" s="50"/>
      <c r="AX246" s="51"/>
      <c r="AY246" s="50"/>
      <c r="AZ246" s="50"/>
      <c r="BA246" s="50"/>
      <c r="BB246" s="51"/>
      <c r="BC246" s="50"/>
      <c r="BD246" s="50"/>
      <c r="BE246" s="50"/>
      <c r="BF246" s="51"/>
      <c r="BG246" s="50"/>
      <c r="BH246" s="50"/>
      <c r="BI246" s="50"/>
      <c r="BJ246" s="51"/>
      <c r="BK246" s="50"/>
      <c r="BL246" s="50"/>
      <c r="BM246" s="50"/>
      <c r="BN246" s="51"/>
      <c r="BO246" s="50"/>
      <c r="BP246" s="50"/>
      <c r="BQ246" s="50"/>
      <c r="BR246" s="51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  <c r="CP246" s="52"/>
      <c r="CQ246" s="52"/>
      <c r="CR246" s="52"/>
      <c r="CS246" s="52"/>
      <c r="CT246" s="52"/>
      <c r="CU246" s="52"/>
      <c r="CV246" s="52"/>
      <c r="CW246" s="52"/>
      <c r="CX246" s="52"/>
      <c r="CY246" s="52"/>
      <c r="CZ246" s="52"/>
      <c r="DA246" s="52"/>
      <c r="DB246" s="52"/>
      <c r="DC246" s="52"/>
      <c r="DD246" s="52"/>
      <c r="DE246" s="52"/>
      <c r="DF246" s="52"/>
      <c r="DG246" s="52"/>
      <c r="DH246" s="52"/>
      <c r="DI246" s="52"/>
      <c r="DJ246" s="52"/>
      <c r="DK246" s="52"/>
    </row>
    <row r="247" spans="1:115" x14ac:dyDescent="0.4">
      <c r="A247" s="227"/>
      <c r="B247" s="53" t="s">
        <v>235</v>
      </c>
      <c r="C247" s="50"/>
      <c r="D247" s="50"/>
      <c r="E247" s="50"/>
      <c r="F247" s="50"/>
      <c r="G247" s="50"/>
      <c r="H247" s="50"/>
      <c r="I247" s="50"/>
      <c r="J247" s="50"/>
      <c r="K247" s="50"/>
      <c r="L247" s="50">
        <f>+L155</f>
        <v>4776.4816306400007</v>
      </c>
      <c r="M247" s="50">
        <f t="shared" ref="M247:U247" si="250">+M155</f>
        <v>6926.2164771099997</v>
      </c>
      <c r="N247" s="50">
        <f t="shared" si="250"/>
        <v>7889.2178445600002</v>
      </c>
      <c r="O247" s="50">
        <f t="shared" si="250"/>
        <v>11488.951902549999</v>
      </c>
      <c r="P247" s="50">
        <f t="shared" si="250"/>
        <v>11945.213666260001</v>
      </c>
      <c r="Q247" s="50">
        <f t="shared" si="250"/>
        <v>14261.0223124</v>
      </c>
      <c r="R247" s="50">
        <f t="shared" si="250"/>
        <v>19133.887012660001</v>
      </c>
      <c r="S247" s="50">
        <f t="shared" si="250"/>
        <v>28038.377462388959</v>
      </c>
      <c r="T247" s="50">
        <f t="shared" si="250"/>
        <v>42915.824977388933</v>
      </c>
      <c r="U247" s="50">
        <f t="shared" si="250"/>
        <v>61356.136224905313</v>
      </c>
      <c r="V247" s="8"/>
      <c r="W247" s="50"/>
      <c r="X247" s="50"/>
      <c r="Y247" s="50"/>
      <c r="Z247" s="51"/>
      <c r="AA247" s="50"/>
      <c r="AB247" s="50"/>
      <c r="AC247" s="50"/>
      <c r="AD247" s="51"/>
      <c r="AE247" s="50"/>
      <c r="AF247" s="50"/>
      <c r="AG247" s="50"/>
      <c r="AH247" s="51"/>
      <c r="AI247" s="50"/>
      <c r="AJ247" s="50"/>
      <c r="AK247" s="50"/>
      <c r="AL247" s="51"/>
      <c r="AM247" s="50"/>
      <c r="AN247" s="50"/>
      <c r="AO247" s="50"/>
      <c r="AP247" s="51"/>
      <c r="AQ247" s="50"/>
      <c r="AR247" s="50"/>
      <c r="AS247" s="50"/>
      <c r="AT247" s="51"/>
      <c r="AU247" s="50"/>
      <c r="AV247" s="50"/>
      <c r="AW247" s="50"/>
      <c r="AX247" s="51"/>
      <c r="AY247" s="50"/>
      <c r="AZ247" s="50"/>
      <c r="BA247" s="50"/>
      <c r="BB247" s="51"/>
      <c r="BC247" s="50"/>
      <c r="BD247" s="50"/>
      <c r="BE247" s="50"/>
      <c r="BF247" s="51"/>
      <c r="BG247" s="50"/>
      <c r="BH247" s="50"/>
      <c r="BI247" s="50"/>
      <c r="BJ247" s="51"/>
      <c r="BK247" s="50"/>
      <c r="BL247" s="50"/>
      <c r="BM247" s="50"/>
      <c r="BN247" s="51"/>
      <c r="BO247" s="50"/>
      <c r="BP247" s="50"/>
      <c r="BQ247" s="50"/>
      <c r="BR247" s="51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C247" s="50"/>
      <c r="DD247" s="50"/>
      <c r="DE247" s="50"/>
      <c r="DF247" s="50"/>
      <c r="DG247" s="50"/>
      <c r="DH247" s="50"/>
      <c r="DI247" s="50"/>
      <c r="DJ247" s="50"/>
      <c r="DK247" s="50"/>
    </row>
    <row r="248" spans="1:115" x14ac:dyDescent="0.4">
      <c r="A248" s="227"/>
      <c r="B248" s="53" t="s">
        <v>236</v>
      </c>
      <c r="C248" s="50"/>
      <c r="D248" s="50"/>
      <c r="E248" s="50"/>
      <c r="F248" s="50"/>
      <c r="G248" s="50"/>
      <c r="H248" s="50"/>
      <c r="I248" s="50"/>
      <c r="J248" s="50"/>
      <c r="K248" s="50"/>
      <c r="L248" s="90">
        <f t="shared" ref="L248:U248" si="251">+L246/(L247+L246)</f>
        <v>0.26495635776415855</v>
      </c>
      <c r="M248" s="90">
        <f t="shared" si="251"/>
        <v>0.16800872368482425</v>
      </c>
      <c r="N248" s="90">
        <f t="shared" si="251"/>
        <v>0.26380076589222956</v>
      </c>
      <c r="O248" s="90">
        <f t="shared" si="251"/>
        <v>0.18318088109066435</v>
      </c>
      <c r="P248" s="90">
        <f t="shared" si="251"/>
        <v>0.14151670460778848</v>
      </c>
      <c r="Q248" s="90">
        <f t="shared" si="251"/>
        <v>6.1830631250586736E-2</v>
      </c>
      <c r="R248" s="90">
        <f t="shared" si="251"/>
        <v>0.12271187034291081</v>
      </c>
      <c r="S248" s="90">
        <f t="shared" si="251"/>
        <v>8.7136569665282895E-2</v>
      </c>
      <c r="T248" s="90">
        <f t="shared" si="251"/>
        <v>5.870254709546735E-2</v>
      </c>
      <c r="U248" s="90">
        <f t="shared" si="251"/>
        <v>4.1797178867792231E-2</v>
      </c>
      <c r="V248" s="8"/>
      <c r="W248" s="50"/>
      <c r="X248" s="50"/>
      <c r="Y248" s="50"/>
      <c r="Z248" s="51"/>
      <c r="AA248" s="50"/>
      <c r="AB248" s="50"/>
      <c r="AC248" s="50"/>
      <c r="AD248" s="51"/>
      <c r="AE248" s="50"/>
      <c r="AF248" s="50"/>
      <c r="AG248" s="50"/>
      <c r="AH248" s="51"/>
      <c r="AI248" s="50"/>
      <c r="AJ248" s="50"/>
      <c r="AK248" s="50"/>
      <c r="AL248" s="51"/>
      <c r="AM248" s="50"/>
      <c r="AN248" s="50"/>
      <c r="AO248" s="50"/>
      <c r="AP248" s="51"/>
      <c r="AQ248" s="50"/>
      <c r="AR248" s="50"/>
      <c r="AS248" s="50"/>
      <c r="AT248" s="51"/>
      <c r="AU248" s="50"/>
      <c r="AV248" s="50"/>
      <c r="AW248" s="50"/>
      <c r="AX248" s="51"/>
      <c r="AY248" s="50"/>
      <c r="AZ248" s="50"/>
      <c r="BA248" s="50"/>
      <c r="BB248" s="51"/>
      <c r="BC248" s="50"/>
      <c r="BD248" s="50"/>
      <c r="BE248" s="50"/>
      <c r="BF248" s="51"/>
      <c r="BG248" s="50"/>
      <c r="BH248" s="50"/>
      <c r="BI248" s="50"/>
      <c r="BJ248" s="51"/>
      <c r="BK248" s="50"/>
      <c r="BL248" s="50"/>
      <c r="BM248" s="50"/>
      <c r="BN248" s="51"/>
      <c r="BO248" s="50"/>
      <c r="BP248" s="50"/>
      <c r="BQ248" s="50"/>
      <c r="BR248" s="51"/>
      <c r="BS248" s="50"/>
      <c r="BT248" s="50"/>
      <c r="BU248" s="50"/>
      <c r="BV248" s="50"/>
      <c r="BW248" s="50"/>
      <c r="BX248" s="50"/>
      <c r="BY248" s="50"/>
      <c r="BZ248" s="50"/>
      <c r="CA248" s="50"/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  <c r="CL248" s="50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C248" s="50"/>
      <c r="DD248" s="50"/>
      <c r="DE248" s="50"/>
      <c r="DF248" s="50"/>
      <c r="DG248" s="50"/>
      <c r="DH248" s="50"/>
      <c r="DI248" s="50"/>
      <c r="DJ248" s="50"/>
      <c r="DK248" s="50"/>
    </row>
    <row r="249" spans="1:115" x14ac:dyDescent="0.4">
      <c r="A249" s="227"/>
      <c r="B249" s="53" t="s">
        <v>237</v>
      </c>
      <c r="C249" s="50"/>
      <c r="D249" s="50"/>
      <c r="E249" s="50"/>
      <c r="F249" s="50"/>
      <c r="G249" s="50"/>
      <c r="H249" s="50"/>
      <c r="I249" s="50"/>
      <c r="J249" s="52"/>
      <c r="K249" s="52"/>
      <c r="L249" s="125">
        <f t="shared" ref="L249:U249" si="252">3.5%*(1-L89)</f>
        <v>3.1382087255927602E-2</v>
      </c>
      <c r="M249" s="125">
        <f t="shared" si="252"/>
        <v>3.1164861998817264E-2</v>
      </c>
      <c r="N249" s="125">
        <f t="shared" si="252"/>
        <v>3.1080159055220193E-2</v>
      </c>
      <c r="O249" s="125">
        <f t="shared" si="252"/>
        <v>3.232304152198566E-2</v>
      </c>
      <c r="P249" s="125">
        <f t="shared" si="252"/>
        <v>3.1947824673140494E-2</v>
      </c>
      <c r="Q249" s="125">
        <f t="shared" si="252"/>
        <v>3.1000558306913058E-2</v>
      </c>
      <c r="R249" s="125">
        <f t="shared" si="252"/>
        <v>3.1063870395776662E-2</v>
      </c>
      <c r="S249" s="125">
        <f t="shared" si="252"/>
        <v>3.06457348461904E-2</v>
      </c>
      <c r="T249" s="125">
        <f t="shared" si="252"/>
        <v>3.0800000000000004E-2</v>
      </c>
      <c r="U249" s="125">
        <f t="shared" si="252"/>
        <v>3.0800000000000004E-2</v>
      </c>
      <c r="V249" s="8"/>
      <c r="W249" s="52"/>
      <c r="X249" s="52"/>
      <c r="Y249" s="52"/>
      <c r="Z249" s="54"/>
      <c r="AA249" s="52"/>
      <c r="AB249" s="52"/>
      <c r="AC249" s="52"/>
      <c r="AD249" s="54"/>
      <c r="AE249" s="52"/>
      <c r="AF249" s="52"/>
      <c r="AG249" s="52"/>
      <c r="AH249" s="54"/>
      <c r="AI249" s="52"/>
      <c r="AJ249" s="52"/>
      <c r="AK249" s="52"/>
      <c r="AL249" s="54"/>
      <c r="AM249" s="52"/>
      <c r="AN249" s="52"/>
      <c r="AO249" s="52"/>
      <c r="AP249" s="208"/>
      <c r="AQ249" s="209"/>
      <c r="AR249" s="209"/>
      <c r="AS249" s="209"/>
      <c r="AT249" s="208"/>
      <c r="AU249" s="209"/>
      <c r="AV249" s="209"/>
      <c r="AW249" s="209"/>
      <c r="AX249" s="208"/>
      <c r="AY249" s="209"/>
      <c r="AZ249" s="209"/>
      <c r="BA249" s="209"/>
      <c r="BB249" s="208"/>
      <c r="BC249" s="209"/>
      <c r="BD249" s="209"/>
      <c r="BE249" s="209"/>
      <c r="BF249" s="208"/>
      <c r="BG249" s="209"/>
      <c r="BH249" s="209"/>
      <c r="BI249" s="209"/>
      <c r="BJ249" s="208"/>
      <c r="BK249" s="209"/>
      <c r="BL249" s="209"/>
      <c r="BM249" s="209"/>
      <c r="BN249" s="208"/>
      <c r="BO249" s="209"/>
      <c r="BP249" s="209"/>
      <c r="BQ249" s="209"/>
      <c r="BR249" s="208"/>
      <c r="BS249" s="209"/>
      <c r="BT249" s="209"/>
      <c r="BU249" s="209"/>
      <c r="BV249" s="209"/>
      <c r="BW249" s="209"/>
      <c r="BX249" s="209"/>
      <c r="BY249" s="209"/>
      <c r="BZ249" s="209"/>
      <c r="CA249" s="209"/>
      <c r="CB249" s="209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  <c r="CP249" s="52"/>
      <c r="CQ249" s="52"/>
      <c r="CR249" s="52"/>
      <c r="CS249" s="52"/>
      <c r="CT249" s="52"/>
      <c r="CU249" s="52"/>
      <c r="CV249" s="52"/>
      <c r="CW249" s="52"/>
      <c r="CX249" s="52"/>
      <c r="CY249" s="52"/>
      <c r="CZ249" s="52"/>
      <c r="DA249" s="52"/>
      <c r="DB249" s="52"/>
      <c r="DC249" s="52"/>
      <c r="DD249" s="52"/>
      <c r="DE249" s="52"/>
      <c r="DF249" s="52"/>
      <c r="DG249" s="52"/>
      <c r="DH249" s="52"/>
      <c r="DI249" s="52"/>
      <c r="DJ249" s="52"/>
      <c r="DK249" s="52"/>
    </row>
    <row r="250" spans="1:115" ht="34.200000000000003" x14ac:dyDescent="0.4">
      <c r="A250" s="227" t="s">
        <v>228</v>
      </c>
      <c r="B250" s="53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8"/>
      <c r="W250" s="50"/>
      <c r="X250" s="50"/>
      <c r="Y250" s="50"/>
      <c r="Z250" s="51"/>
      <c r="AA250" s="50"/>
      <c r="AB250" s="50"/>
      <c r="AC250" s="50"/>
      <c r="AD250" s="51"/>
      <c r="AE250" s="50"/>
      <c r="AF250" s="50"/>
      <c r="AG250" s="50"/>
      <c r="AH250" s="51"/>
      <c r="AI250" s="50"/>
      <c r="AJ250" s="50"/>
      <c r="AK250" s="50"/>
      <c r="AL250" s="51"/>
      <c r="AM250" s="50"/>
      <c r="AN250" s="50"/>
      <c r="AO250" s="50"/>
      <c r="AP250" s="208"/>
      <c r="AQ250" s="209"/>
      <c r="AR250" s="209"/>
      <c r="AS250" s="209"/>
      <c r="AT250" s="208"/>
      <c r="AU250" s="209"/>
      <c r="AV250" s="209"/>
      <c r="AW250" s="209"/>
      <c r="AX250" s="208"/>
      <c r="AY250" s="209"/>
      <c r="AZ250" s="209"/>
      <c r="BA250" s="209"/>
      <c r="BB250" s="208"/>
      <c r="BC250" s="209"/>
      <c r="BD250" s="209"/>
      <c r="BE250" s="209"/>
      <c r="BF250" s="208"/>
      <c r="BG250" s="209"/>
      <c r="BH250" s="209"/>
      <c r="BI250" s="209"/>
      <c r="BJ250" s="208"/>
      <c r="BK250" s="209"/>
      <c r="BL250" s="209"/>
      <c r="BM250" s="209"/>
      <c r="BN250" s="208"/>
      <c r="BO250" s="209"/>
      <c r="BP250" s="209"/>
      <c r="BQ250" s="209"/>
      <c r="BR250" s="208"/>
      <c r="BS250" s="209"/>
      <c r="BT250" s="209"/>
      <c r="BU250" s="209"/>
      <c r="BV250" s="209"/>
      <c r="BW250" s="209"/>
      <c r="BX250" s="209"/>
      <c r="BY250" s="209"/>
      <c r="BZ250" s="209"/>
      <c r="CA250" s="209"/>
      <c r="CB250" s="209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  <c r="CP250" s="50"/>
      <c r="CQ250" s="50"/>
      <c r="CR250" s="50"/>
      <c r="CS250" s="50"/>
      <c r="CT250" s="50"/>
      <c r="CU250" s="50"/>
      <c r="CV250" s="50"/>
      <c r="CW250" s="50"/>
      <c r="CX250" s="50"/>
      <c r="CY250" s="50"/>
      <c r="CZ250" s="50"/>
      <c r="DA250" s="50"/>
      <c r="DB250" s="50"/>
      <c r="DC250" s="50"/>
      <c r="DD250" s="50"/>
      <c r="DE250" s="50"/>
      <c r="DF250" s="50"/>
      <c r="DG250" s="50"/>
      <c r="DH250" s="50"/>
      <c r="DI250" s="50"/>
      <c r="DJ250" s="50"/>
      <c r="DK250" s="50"/>
    </row>
    <row r="251" spans="1:115" x14ac:dyDescent="0.4">
      <c r="A251" s="227"/>
      <c r="B251" s="53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8"/>
      <c r="W251" s="50"/>
      <c r="X251" s="50"/>
      <c r="Y251" s="50"/>
      <c r="Z251" s="51"/>
      <c r="AA251" s="50"/>
      <c r="AB251" s="50"/>
      <c r="AC251" s="50"/>
      <c r="AD251" s="51"/>
      <c r="AE251" s="50"/>
      <c r="AF251" s="50"/>
      <c r="AG251" s="50"/>
      <c r="AH251" s="51"/>
      <c r="AI251" s="50"/>
      <c r="AJ251" s="50"/>
      <c r="AK251" s="50"/>
      <c r="AL251" s="51"/>
      <c r="AM251" s="50"/>
      <c r="AN251" s="50"/>
      <c r="AO251" s="50"/>
      <c r="AP251" s="7"/>
      <c r="AQ251" s="8"/>
      <c r="AR251" s="8"/>
      <c r="AS251" s="37"/>
      <c r="AT251" s="36"/>
      <c r="AU251" s="37"/>
      <c r="AV251" s="37"/>
      <c r="AW251" s="37"/>
      <c r="AX251" s="36"/>
      <c r="AY251" s="37"/>
      <c r="AZ251" s="37"/>
      <c r="BA251" s="37"/>
      <c r="BB251" s="36"/>
      <c r="BC251" s="37"/>
      <c r="BD251" s="37"/>
      <c r="BE251" s="37"/>
      <c r="BF251" s="36"/>
      <c r="BG251" s="37"/>
      <c r="BH251" s="37"/>
      <c r="BI251" s="37"/>
      <c r="BJ251" s="36"/>
      <c r="BK251" s="37"/>
      <c r="BL251" s="37"/>
      <c r="BM251" s="37"/>
      <c r="BN251" s="36"/>
      <c r="BO251" s="37"/>
      <c r="BP251" s="37"/>
      <c r="BQ251" s="37"/>
      <c r="BR251" s="36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</row>
    <row r="252" spans="1:115" x14ac:dyDescent="0.4">
      <c r="A252" s="29"/>
      <c r="B252" s="53" t="s">
        <v>238</v>
      </c>
      <c r="C252" s="50"/>
      <c r="D252" s="50"/>
      <c r="E252" s="50"/>
      <c r="F252" s="50"/>
      <c r="G252" s="50"/>
      <c r="H252" s="50"/>
      <c r="I252" s="50"/>
      <c r="J252" s="50"/>
      <c r="K252" s="125">
        <v>0.03</v>
      </c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8"/>
      <c r="W252" s="50"/>
      <c r="X252" s="50"/>
      <c r="Y252" s="50"/>
      <c r="Z252" s="51"/>
      <c r="AA252" s="50"/>
      <c r="AB252" s="50"/>
      <c r="AC252" s="50"/>
      <c r="AD252" s="51"/>
      <c r="AE252" s="50"/>
      <c r="AF252" s="50"/>
      <c r="AG252" s="50"/>
      <c r="AH252" s="51"/>
      <c r="AI252" s="50"/>
      <c r="AJ252" s="50"/>
      <c r="AK252" s="50"/>
      <c r="AL252" s="51"/>
      <c r="AM252" s="50"/>
      <c r="AN252" s="50"/>
      <c r="AO252" s="50"/>
      <c r="AP252" s="7"/>
      <c r="AQ252" s="8"/>
      <c r="AR252" s="8"/>
      <c r="AS252" s="37"/>
      <c r="AT252" s="36"/>
      <c r="AU252" s="37"/>
      <c r="AV252" s="37"/>
      <c r="AW252" s="37"/>
      <c r="AX252" s="36"/>
      <c r="AY252" s="37"/>
      <c r="AZ252" s="37"/>
      <c r="BA252" s="37"/>
      <c r="BB252" s="36"/>
      <c r="BC252" s="37"/>
      <c r="BD252" s="37"/>
      <c r="BE252" s="37"/>
      <c r="BF252" s="36"/>
      <c r="BG252" s="37"/>
      <c r="BH252" s="37"/>
      <c r="BI252" s="37"/>
      <c r="BJ252" s="36"/>
      <c r="BK252" s="37"/>
      <c r="BL252" s="37"/>
      <c r="BM252" s="37"/>
      <c r="BN252" s="36"/>
      <c r="BO252" s="37"/>
      <c r="BP252" s="37"/>
      <c r="BQ252" s="37"/>
      <c r="BR252" s="36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</row>
    <row r="253" spans="1:115" x14ac:dyDescent="0.4">
      <c r="A253" s="69"/>
      <c r="B253" s="53" t="s">
        <v>239</v>
      </c>
      <c r="C253" s="50"/>
      <c r="D253" s="50"/>
      <c r="E253" s="50"/>
      <c r="F253" s="50"/>
      <c r="G253" s="50"/>
      <c r="H253" s="50"/>
      <c r="I253" s="50"/>
      <c r="J253" s="175"/>
      <c r="K253" s="87">
        <v>1.0680000000000001</v>
      </c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8"/>
      <c r="W253" s="175"/>
      <c r="X253" s="175"/>
      <c r="Y253" s="175"/>
      <c r="Z253" s="181"/>
      <c r="AA253" s="175"/>
      <c r="AB253" s="175"/>
      <c r="AC253" s="175"/>
      <c r="AD253" s="181"/>
      <c r="AE253" s="175"/>
      <c r="AF253" s="175"/>
      <c r="AG253" s="175"/>
      <c r="AH253" s="181"/>
      <c r="AI253" s="175"/>
      <c r="AJ253" s="175"/>
      <c r="AK253" s="175"/>
      <c r="AL253" s="181"/>
      <c r="AM253" s="175"/>
      <c r="AN253" s="175"/>
      <c r="AO253" s="175"/>
      <c r="AP253" s="282"/>
      <c r="AQ253" s="283"/>
      <c r="AR253" s="283"/>
      <c r="AS253" s="283"/>
      <c r="AT253" s="282"/>
      <c r="AU253" s="283"/>
      <c r="AV253" s="283"/>
      <c r="AW253" s="283"/>
      <c r="AX253" s="282"/>
      <c r="AY253" s="283"/>
      <c r="AZ253" s="283"/>
      <c r="BA253" s="283"/>
      <c r="BB253" s="282"/>
      <c r="BC253" s="283"/>
      <c r="BD253" s="283"/>
      <c r="BE253" s="283"/>
      <c r="BF253" s="282"/>
      <c r="BG253" s="283"/>
      <c r="BH253" s="283"/>
      <c r="BI253" s="283"/>
      <c r="BJ253" s="282"/>
      <c r="BK253" s="283"/>
      <c r="BL253" s="283"/>
      <c r="BM253" s="283"/>
      <c r="BN253" s="282"/>
      <c r="BO253" s="283"/>
      <c r="BP253" s="283"/>
      <c r="BQ253" s="283"/>
      <c r="BR253" s="282"/>
      <c r="BS253" s="283"/>
      <c r="BT253" s="283"/>
      <c r="BU253" s="283"/>
      <c r="BV253" s="283"/>
      <c r="BW253" s="283"/>
      <c r="BX253" s="283"/>
      <c r="BY253" s="283"/>
      <c r="BZ253" s="283"/>
      <c r="CA253" s="283"/>
      <c r="CB253" s="283"/>
      <c r="CC253" s="175"/>
      <c r="CD253" s="175"/>
      <c r="CE253" s="175"/>
      <c r="CF253" s="175"/>
      <c r="CG253" s="175"/>
      <c r="CH253" s="175"/>
      <c r="CI253" s="175"/>
      <c r="CJ253" s="175"/>
      <c r="CK253" s="175"/>
      <c r="CL253" s="175"/>
      <c r="CM253" s="175"/>
      <c r="CN253" s="175"/>
      <c r="CO253" s="175"/>
      <c r="CP253" s="175"/>
      <c r="CQ253" s="175"/>
      <c r="CR253" s="175"/>
      <c r="CS253" s="175"/>
      <c r="CT253" s="175"/>
      <c r="CU253" s="175"/>
      <c r="CV253" s="175"/>
      <c r="CW253" s="175"/>
      <c r="CX253" s="175"/>
      <c r="CY253" s="175"/>
      <c r="CZ253" s="175"/>
      <c r="DA253" s="175"/>
      <c r="DB253" s="175"/>
      <c r="DC253" s="175"/>
      <c r="DD253" s="175"/>
      <c r="DE253" s="175"/>
      <c r="DF253" s="175"/>
      <c r="DG253" s="175"/>
      <c r="DH253" s="175"/>
      <c r="DI253" s="175"/>
      <c r="DJ253" s="175"/>
      <c r="DK253" s="175"/>
    </row>
    <row r="254" spans="1:115" x14ac:dyDescent="0.4">
      <c r="A254" s="69"/>
      <c r="B254" s="53" t="s">
        <v>240</v>
      </c>
      <c r="C254" s="50"/>
      <c r="D254" s="50"/>
      <c r="E254" s="50"/>
      <c r="F254" s="50"/>
      <c r="G254" s="50"/>
      <c r="H254" s="50"/>
      <c r="I254" s="50"/>
      <c r="J254" s="284"/>
      <c r="K254" s="285">
        <v>6.5000000000000002E-2</v>
      </c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W254" s="284"/>
      <c r="X254" s="284"/>
      <c r="Y254" s="284"/>
      <c r="Z254" s="286"/>
      <c r="AA254" s="284"/>
      <c r="AB254" s="284"/>
      <c r="AC254" s="284"/>
      <c r="AD254" s="286"/>
      <c r="AE254" s="284"/>
      <c r="AF254" s="284"/>
      <c r="AG254" s="284"/>
      <c r="AH254" s="286"/>
      <c r="AI254" s="284"/>
      <c r="AJ254" s="284"/>
      <c r="AK254" s="284"/>
      <c r="AL254" s="286"/>
      <c r="AM254" s="284"/>
      <c r="AN254" s="284"/>
      <c r="AO254" s="284"/>
      <c r="AP254" s="7"/>
      <c r="AQ254" s="8"/>
      <c r="AR254" s="8"/>
      <c r="AS254" s="37"/>
      <c r="AT254" s="36"/>
      <c r="AU254" s="37"/>
      <c r="AV254" s="37"/>
      <c r="AW254" s="37"/>
      <c r="AX254" s="36"/>
      <c r="AY254" s="37"/>
      <c r="AZ254" s="37"/>
      <c r="BA254" s="37"/>
      <c r="BB254" s="36"/>
      <c r="BC254" s="37"/>
      <c r="BD254" s="37"/>
      <c r="BE254" s="37"/>
      <c r="BF254" s="36"/>
      <c r="BG254" s="37"/>
      <c r="BH254" s="37"/>
      <c r="BI254" s="37"/>
      <c r="BJ254" s="36"/>
      <c r="BK254" s="37"/>
      <c r="BL254" s="37"/>
      <c r="BM254" s="37"/>
      <c r="BN254" s="36"/>
      <c r="BO254" s="37"/>
      <c r="BP254" s="37"/>
      <c r="BQ254" s="37"/>
      <c r="BR254" s="36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</row>
    <row r="255" spans="1:115" x14ac:dyDescent="0.4">
      <c r="A255" s="29"/>
      <c r="B255" s="53" t="s">
        <v>241</v>
      </c>
      <c r="C255" s="50"/>
      <c r="D255" s="50"/>
      <c r="E255" s="50"/>
      <c r="F255" s="50"/>
      <c r="G255" s="50"/>
      <c r="H255" s="50"/>
      <c r="I255" s="50"/>
      <c r="J255" s="159"/>
      <c r="K255" s="285">
        <f>+K253*K254+K252</f>
        <v>9.9420000000000008E-2</v>
      </c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W255" s="159"/>
      <c r="X255" s="159"/>
      <c r="Y255" s="159"/>
      <c r="Z255" s="160"/>
      <c r="AA255" s="159"/>
      <c r="AB255" s="159"/>
      <c r="AC255" s="159"/>
      <c r="AD255" s="160"/>
      <c r="AE255" s="159"/>
      <c r="AF255" s="159"/>
      <c r="AG255" s="159"/>
      <c r="AH255" s="160"/>
      <c r="AI255" s="159"/>
      <c r="AJ255" s="159"/>
      <c r="AK255" s="159"/>
      <c r="AL255" s="160"/>
      <c r="AM255" s="159"/>
      <c r="AN255" s="159"/>
      <c r="AO255" s="159"/>
      <c r="AP255" s="7"/>
      <c r="AQ255" s="8"/>
      <c r="AR255" s="8"/>
      <c r="AS255" s="37"/>
      <c r="AT255" s="36"/>
      <c r="AU255" s="37"/>
      <c r="AV255" s="37"/>
      <c r="AW255" s="37"/>
      <c r="AX255" s="36"/>
      <c r="AY255" s="37"/>
      <c r="AZ255" s="37"/>
      <c r="BA255" s="37"/>
      <c r="BB255" s="36"/>
      <c r="BC255" s="37"/>
      <c r="BD255" s="37"/>
      <c r="BE255" s="37"/>
      <c r="BF255" s="36"/>
      <c r="BG255" s="37"/>
      <c r="BH255" s="37"/>
      <c r="BI255" s="37"/>
      <c r="BJ255" s="36"/>
      <c r="BK255" s="37"/>
      <c r="BL255" s="37"/>
      <c r="BM255" s="37"/>
      <c r="BN255" s="36"/>
      <c r="BO255" s="37"/>
      <c r="BP255" s="37"/>
      <c r="BQ255" s="37"/>
      <c r="BR255" s="36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</row>
    <row r="256" spans="1:115" x14ac:dyDescent="0.4">
      <c r="A256" s="256"/>
      <c r="B256" s="53"/>
      <c r="C256" s="50"/>
      <c r="D256" s="50"/>
      <c r="E256" s="50"/>
      <c r="F256" s="50"/>
      <c r="G256" s="50"/>
      <c r="H256" s="50"/>
      <c r="I256" s="50"/>
      <c r="J256" s="37"/>
      <c r="K256" s="37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W256" s="37"/>
      <c r="X256" s="37"/>
      <c r="Y256" s="37"/>
      <c r="Z256" s="36"/>
      <c r="AA256" s="37"/>
      <c r="AB256" s="37"/>
      <c r="AC256" s="37"/>
      <c r="AD256" s="36"/>
      <c r="AE256" s="37"/>
      <c r="AF256" s="37"/>
      <c r="AG256" s="37"/>
      <c r="AH256" s="36"/>
      <c r="AI256" s="37"/>
      <c r="AJ256" s="37"/>
      <c r="AK256" s="37"/>
      <c r="AL256" s="36"/>
      <c r="AM256" s="37"/>
      <c r="AN256" s="37"/>
      <c r="AO256" s="37"/>
      <c r="AP256" s="56"/>
      <c r="AQ256" s="55"/>
      <c r="AR256" s="55"/>
      <c r="AS256" s="55"/>
      <c r="AT256" s="56"/>
      <c r="AU256" s="55"/>
      <c r="AV256" s="55"/>
      <c r="AW256" s="55"/>
      <c r="AX256" s="56"/>
      <c r="AY256" s="55"/>
      <c r="AZ256" s="55"/>
      <c r="BA256" s="55"/>
      <c r="BB256" s="56"/>
      <c r="BC256" s="55"/>
      <c r="BD256" s="55"/>
      <c r="BE256" s="55"/>
      <c r="BF256" s="56"/>
      <c r="BG256" s="55"/>
      <c r="BH256" s="55"/>
      <c r="BI256" s="55"/>
      <c r="BJ256" s="56"/>
      <c r="BK256" s="55"/>
      <c r="BL256" s="55"/>
      <c r="BM256" s="55"/>
      <c r="BN256" s="56"/>
      <c r="BO256" s="55"/>
      <c r="BP256" s="55"/>
      <c r="BQ256" s="55"/>
      <c r="BR256" s="56"/>
      <c r="BS256" s="55"/>
      <c r="BT256" s="55"/>
      <c r="BU256" s="55"/>
      <c r="BV256" s="55"/>
      <c r="BW256" s="55"/>
      <c r="BX256" s="55"/>
      <c r="BY256" s="55"/>
      <c r="BZ256" s="55"/>
      <c r="CA256" s="55"/>
      <c r="CB256" s="55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</row>
    <row r="257" spans="2:80" x14ac:dyDescent="0.4">
      <c r="B257" s="50" t="s">
        <v>233</v>
      </c>
      <c r="L257" s="125">
        <f>+L248*L249+$K$255*(1-L248)</f>
        <v>8.1392922449454966E-2</v>
      </c>
      <c r="M257" s="125">
        <f t="shared" ref="M257:U257" si="253">+M248*M249+$K$255*(1-M248)</f>
        <v>8.795254137948974E-2</v>
      </c>
      <c r="N257" s="125">
        <f t="shared" si="253"/>
        <v>8.1391897617813944E-2</v>
      </c>
      <c r="O257" s="125">
        <f t="shared" si="253"/>
        <v>8.7129120027493623E-2</v>
      </c>
      <c r="P257" s="125">
        <f t="shared" si="253"/>
        <v>8.9871560095023909E-2</v>
      </c>
      <c r="Q257" s="125">
        <f t="shared" si="253"/>
        <v>9.5189582730303729E-2</v>
      </c>
      <c r="R257" s="125">
        <f t="shared" si="253"/>
        <v>9.1031891486863331E-2</v>
      </c>
      <c r="S257" s="125">
        <f t="shared" si="253"/>
        <v>9.3427246453246446E-2</v>
      </c>
      <c r="T257" s="125">
        <f t="shared" si="253"/>
        <v>9.5391831218309034E-2</v>
      </c>
      <c r="U257" s="125">
        <f t="shared" si="253"/>
        <v>9.6551877586092114E-2</v>
      </c>
      <c r="W257" s="37"/>
      <c r="X257" s="37"/>
      <c r="Y257" s="37"/>
      <c r="Z257" s="36"/>
      <c r="AA257" s="37"/>
      <c r="AB257" s="37"/>
      <c r="AC257" s="37"/>
      <c r="AD257" s="36"/>
      <c r="AE257" s="37"/>
      <c r="AF257" s="37"/>
      <c r="AG257" s="37"/>
      <c r="AH257" s="36"/>
      <c r="AI257" s="37"/>
      <c r="AJ257" s="37"/>
      <c r="AK257" s="37"/>
      <c r="AL257" s="36"/>
      <c r="AM257" s="37"/>
      <c r="AN257" s="37"/>
      <c r="AO257" s="37"/>
      <c r="AP257" s="56"/>
      <c r="AQ257" s="55"/>
      <c r="AR257" s="55"/>
      <c r="AS257" s="55"/>
      <c r="AT257" s="56"/>
      <c r="AU257" s="55"/>
      <c r="AV257" s="55"/>
      <c r="AW257" s="55"/>
      <c r="AX257" s="56"/>
      <c r="AY257" s="55"/>
      <c r="AZ257" s="55"/>
      <c r="BA257" s="55"/>
      <c r="BB257" s="56"/>
      <c r="BC257" s="55"/>
      <c r="BD257" s="55"/>
      <c r="BE257" s="55"/>
      <c r="BF257" s="56"/>
      <c r="BG257" s="55"/>
      <c r="BH257" s="55"/>
      <c r="BI257" s="55"/>
      <c r="BJ257" s="56"/>
      <c r="BK257" s="55"/>
      <c r="BL257" s="55"/>
      <c r="BM257" s="55"/>
      <c r="BN257" s="56"/>
      <c r="BO257" s="55"/>
      <c r="BP257" s="55"/>
      <c r="BQ257" s="55"/>
      <c r="BR257" s="56"/>
      <c r="BS257" s="55"/>
      <c r="BT257" s="55"/>
      <c r="BU257" s="55"/>
      <c r="BV257" s="55"/>
      <c r="BW257" s="55"/>
      <c r="BX257" s="55"/>
      <c r="BY257" s="55"/>
      <c r="BZ257" s="55"/>
      <c r="CA257" s="55"/>
      <c r="CB257" s="55"/>
    </row>
    <row r="258" spans="2:80" x14ac:dyDescent="0.4">
      <c r="C258" s="224"/>
      <c r="D258" s="224"/>
      <c r="E258" s="224"/>
      <c r="F258" s="22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24"/>
      <c r="S258" s="224"/>
      <c r="T258" s="224"/>
      <c r="U258" s="224"/>
      <c r="W258" s="224"/>
      <c r="X258" s="224"/>
      <c r="Y258" s="224"/>
      <c r="Z258" s="223"/>
      <c r="AA258" s="224"/>
      <c r="AB258" s="224"/>
      <c r="AC258" s="224"/>
      <c r="AD258" s="223"/>
      <c r="AE258" s="224"/>
      <c r="AF258" s="224"/>
      <c r="AG258" s="224"/>
      <c r="AH258" s="223"/>
      <c r="AI258" s="224"/>
      <c r="AJ258" s="224"/>
      <c r="AK258" s="224"/>
      <c r="AL258" s="223"/>
      <c r="AM258" s="224"/>
      <c r="AN258" s="224"/>
      <c r="AO258" s="224"/>
      <c r="AP258" s="36"/>
      <c r="AQ258" s="37"/>
      <c r="AR258" s="37"/>
      <c r="AS258" s="37"/>
      <c r="AT258" s="36"/>
      <c r="AU258" s="37"/>
      <c r="AV258" s="37"/>
      <c r="AW258" s="37"/>
      <c r="AX258" s="36"/>
      <c r="AY258" s="37"/>
      <c r="AZ258" s="37"/>
      <c r="BA258" s="37"/>
      <c r="BB258" s="36"/>
      <c r="BC258" s="37"/>
      <c r="BD258" s="37"/>
      <c r="BE258" s="37"/>
      <c r="BF258" s="36"/>
      <c r="BG258" s="37"/>
      <c r="BH258" s="37"/>
      <c r="BI258" s="37"/>
      <c r="BJ258" s="36"/>
      <c r="BK258" s="37"/>
      <c r="BL258" s="37"/>
      <c r="BM258" s="37"/>
      <c r="BN258" s="36"/>
      <c r="BO258" s="37"/>
      <c r="BP258" s="37"/>
      <c r="BQ258" s="37"/>
      <c r="BR258" s="36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</row>
    <row r="260" spans="2:80" x14ac:dyDescent="0.4">
      <c r="L260" s="287">
        <v>0</v>
      </c>
      <c r="M260" s="287">
        <v>1556</v>
      </c>
      <c r="N260" s="287">
        <f>+N224</f>
        <v>1428.2770649399999</v>
      </c>
      <c r="O260" s="287">
        <v>2699</v>
      </c>
    </row>
  </sheetData>
  <phoneticPr fontId="66" type="noConversion"/>
  <pageMargins left="0.7" right="0.7" top="0.75" bottom="0.75" header="0.3" footer="0.3"/>
  <pageSetup paperSize="9" orientation="portrait" r:id="rId1"/>
  <customProperties>
    <customPr name="Qube.Worksheet.Visibility" r:id="rId2"/>
  </customPropertie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8CBF-1BFB-4244-AA67-5DA53893B306}">
  <sheetPr codeName="Sheet7">
    <pageSetUpPr autoPageBreaks="0" fitToPage="1"/>
  </sheetPr>
  <dimension ref="A1:BG380"/>
  <sheetViews>
    <sheetView tabSelected="1" zoomScaleNormal="100" workbookViewId="0">
      <pane xSplit="1" ySplit="3" topLeftCell="B47" activePane="bottomRight" state="frozenSplit"/>
      <selection activeCell="BR40" sqref="BR40:BY40"/>
      <selection pane="topRight" activeCell="BR40" sqref="BR40:BY40"/>
      <selection pane="bottomLeft" activeCell="BR40" sqref="BR40:BY40"/>
      <selection pane="bottomRight" activeCell="F49" sqref="F49"/>
    </sheetView>
  </sheetViews>
  <sheetFormatPr defaultRowHeight="12.3" outlineLevelRow="1" x14ac:dyDescent="0.4"/>
  <cols>
    <col min="1" max="1" width="28.83203125" customWidth="1"/>
    <col min="2" max="3" width="9" customWidth="1"/>
    <col min="4" max="13" width="9.1640625" customWidth="1"/>
    <col min="14" max="14" width="10" customWidth="1"/>
    <col min="15" max="25" width="9.1640625" customWidth="1"/>
    <col min="26" max="26" width="2" customWidth="1"/>
    <col min="27" max="27" width="1.83203125" customWidth="1"/>
    <col min="28" max="41" width="8.83203125" customWidth="1"/>
    <col min="42" max="42" width="39.83203125" customWidth="1"/>
    <col min="43" max="43" width="9.1640625" customWidth="1"/>
    <col min="44" max="45" width="13.83203125" customWidth="1"/>
    <col min="46" max="48" width="13.83203125" bestFit="1" customWidth="1"/>
    <col min="54" max="54" width="30.83203125" bestFit="1" customWidth="1"/>
  </cols>
  <sheetData>
    <row r="1" spans="1:59" s="289" customFormat="1" x14ac:dyDescent="0.4">
      <c r="A1" s="288">
        <f ca="1">TODAY()</f>
        <v>45923</v>
      </c>
      <c r="E1" s="290"/>
      <c r="G1" s="291"/>
      <c r="H1" s="291"/>
      <c r="I1" s="291"/>
      <c r="J1" s="291"/>
      <c r="K1" s="291"/>
      <c r="L1" s="291"/>
      <c r="M1" s="291"/>
      <c r="Q1" s="290"/>
      <c r="U1" s="290"/>
      <c r="Y1" s="290"/>
    </row>
    <row r="2" spans="1:59" s="289" customFormat="1" x14ac:dyDescent="0.4">
      <c r="A2" s="292" t="s">
        <v>0</v>
      </c>
      <c r="B2" s="293"/>
      <c r="C2" s="293"/>
      <c r="D2" s="293"/>
      <c r="E2" s="294"/>
      <c r="F2" s="293"/>
      <c r="G2" s="293"/>
      <c r="H2" s="293"/>
      <c r="I2" s="294"/>
      <c r="J2" s="293"/>
      <c r="K2" s="293"/>
      <c r="L2" s="293"/>
      <c r="M2" s="294"/>
      <c r="N2" s="293"/>
      <c r="O2" s="293"/>
      <c r="P2" s="293"/>
      <c r="Q2" s="294"/>
      <c r="R2" s="293"/>
      <c r="S2" s="293"/>
      <c r="T2" s="293"/>
      <c r="U2" s="294"/>
      <c r="V2" s="293"/>
      <c r="W2" s="293"/>
      <c r="X2" s="293"/>
      <c r="Y2" s="294"/>
      <c r="Z2" s="295"/>
      <c r="AA2" s="295"/>
      <c r="AB2" s="296"/>
      <c r="AC2" s="296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</row>
    <row r="3" spans="1:59" s="289" customFormat="1" ht="12.6" x14ac:dyDescent="0.45">
      <c r="A3" s="292" t="s">
        <v>242</v>
      </c>
      <c r="B3" s="296" t="s">
        <v>34</v>
      </c>
      <c r="C3" s="296" t="s">
        <v>35</v>
      </c>
      <c r="D3" s="296" t="s">
        <v>36</v>
      </c>
      <c r="E3" s="297" t="s">
        <v>37</v>
      </c>
      <c r="F3" s="296" t="s">
        <v>38</v>
      </c>
      <c r="G3" s="296" t="s">
        <v>39</v>
      </c>
      <c r="H3" s="296" t="s">
        <v>40</v>
      </c>
      <c r="I3" s="297" t="s">
        <v>41</v>
      </c>
      <c r="J3" s="296" t="s">
        <v>42</v>
      </c>
      <c r="K3" s="296" t="s">
        <v>43</v>
      </c>
      <c r="L3" s="296" t="s">
        <v>44</v>
      </c>
      <c r="M3" s="297" t="s">
        <v>45</v>
      </c>
      <c r="N3" s="296" t="s">
        <v>46</v>
      </c>
      <c r="O3" s="296" t="s">
        <v>47</v>
      </c>
      <c r="P3" s="296" t="s">
        <v>243</v>
      </c>
      <c r="Q3" s="297" t="s">
        <v>244</v>
      </c>
      <c r="R3" s="296" t="s">
        <v>245</v>
      </c>
      <c r="S3" s="296" t="s">
        <v>246</v>
      </c>
      <c r="T3" s="296" t="s">
        <v>247</v>
      </c>
      <c r="U3" s="297" t="s">
        <v>248</v>
      </c>
      <c r="V3" s="296" t="s">
        <v>249</v>
      </c>
      <c r="W3" s="296" t="s">
        <v>250</v>
      </c>
      <c r="X3" s="296" t="s">
        <v>251</v>
      </c>
      <c r="Y3" s="297" t="s">
        <v>252</v>
      </c>
      <c r="Z3" s="298"/>
      <c r="AA3" s="298"/>
      <c r="AB3" s="296">
        <v>2014</v>
      </c>
      <c r="AC3" s="296">
        <v>2015</v>
      </c>
      <c r="AD3" s="296">
        <v>2016</v>
      </c>
      <c r="AE3" s="296">
        <v>2017</v>
      </c>
      <c r="AF3" s="296">
        <v>2018</v>
      </c>
      <c r="AG3" s="296">
        <v>2019</v>
      </c>
      <c r="AH3" s="296">
        <v>2020</v>
      </c>
      <c r="AI3" s="296">
        <v>2021</v>
      </c>
      <c r="AJ3" s="296">
        <v>2022</v>
      </c>
      <c r="AK3" s="296">
        <v>2023</v>
      </c>
      <c r="AL3" s="296">
        <v>2024</v>
      </c>
      <c r="AM3" s="296" t="s">
        <v>253</v>
      </c>
      <c r="AN3" s="296" t="s">
        <v>254</v>
      </c>
      <c r="AO3" s="296" t="s">
        <v>255</v>
      </c>
      <c r="AP3" s="292" t="str">
        <f>A3</f>
        <v>(Rmb m)</v>
      </c>
      <c r="AQ3" s="299" t="s">
        <v>256</v>
      </c>
    </row>
    <row r="4" spans="1:59" hidden="1" x14ac:dyDescent="0.4">
      <c r="A4" s="30" t="s">
        <v>87</v>
      </c>
      <c r="B4" s="300">
        <f>Model!BC40</f>
        <v>217.41260339999999</v>
      </c>
      <c r="C4" s="300">
        <f>Model!BD40</f>
        <v>275.04257100000001</v>
      </c>
      <c r="D4" s="300">
        <f>Model!BE40</f>
        <v>360.05326157000002</v>
      </c>
      <c r="E4" s="301">
        <f>Model!BF40</f>
        <v>371.48243020999996</v>
      </c>
      <c r="F4" s="300">
        <f>Model!BG40</f>
        <v>249.92027046999999</v>
      </c>
      <c r="G4" s="300">
        <f>Model!BH40</f>
        <v>363.83250958999997</v>
      </c>
      <c r="H4" s="300">
        <f>Model!BI40</f>
        <v>682.1150995700001</v>
      </c>
      <c r="I4" s="301">
        <f>Model!BJ40</f>
        <v>877.65986813999996</v>
      </c>
      <c r="J4" s="300">
        <f>Model!BK40</f>
        <v>1009.26629774</v>
      </c>
      <c r="K4" s="300">
        <f>Model!BL40</f>
        <v>1349.1547536800001</v>
      </c>
      <c r="L4" s="300">
        <f>Model!BM40</f>
        <v>1394.23811873</v>
      </c>
      <c r="M4" s="301">
        <f>Model!BN40</f>
        <v>1418.8267977</v>
      </c>
      <c r="N4" s="300">
        <f>Model!BO40</f>
        <v>1582.8761286700001</v>
      </c>
      <c r="O4" s="300">
        <f>Model!BP40</f>
        <v>2412.2392560300004</v>
      </c>
      <c r="P4" s="300">
        <f>Model!BQ40</f>
        <v>2830.9257229909094</v>
      </c>
      <c r="Q4" s="301">
        <f>Model!BR40</f>
        <v>3067.8371697857078</v>
      </c>
      <c r="R4" s="300">
        <f>Model!BS40</f>
        <v>3503.0939120962862</v>
      </c>
      <c r="S4" s="300">
        <f>Model!BT40</f>
        <v>3954.8974392636483</v>
      </c>
      <c r="T4" s="300">
        <f>Model!BU40</f>
        <v>4470.2971525015701</v>
      </c>
      <c r="U4" s="301">
        <f>Model!BV40</f>
        <v>4602.2087350273505</v>
      </c>
      <c r="V4" s="300">
        <f>Model!BW40</f>
        <v>4426.4648371303792</v>
      </c>
      <c r="W4" s="300">
        <f>Model!BX40</f>
        <v>5074.9006999514086</v>
      </c>
      <c r="X4" s="300">
        <f>Model!BY40</f>
        <v>5524.5957361481687</v>
      </c>
      <c r="Y4" s="301">
        <f>Model!BZ40</f>
        <v>5463.2734462326935</v>
      </c>
      <c r="Z4" s="302"/>
      <c r="AA4" s="302"/>
      <c r="AB4" s="302"/>
      <c r="AC4" s="302"/>
      <c r="AD4" s="300">
        <f>Model!J40</f>
        <v>10.054131539999998</v>
      </c>
      <c r="AE4" s="300">
        <f>Model!K40</f>
        <v>161.50541637000001</v>
      </c>
      <c r="AF4" s="300">
        <f>Model!L40</f>
        <v>623.11598004999996</v>
      </c>
      <c r="AG4" s="300">
        <f>Model!M40</f>
        <v>513.48720053</v>
      </c>
      <c r="AH4" s="300">
        <f>Model!N40</f>
        <v>865.48355047000007</v>
      </c>
      <c r="AI4" s="300">
        <f>Model!O40</f>
        <v>876.97712632000002</v>
      </c>
      <c r="AJ4" s="300">
        <f>Model!P40</f>
        <v>1223.9908661800002</v>
      </c>
      <c r="AK4" s="300">
        <f>Model!Q40</f>
        <v>2173.527747770001</v>
      </c>
      <c r="AL4" s="300">
        <f>Model!R40</f>
        <v>5171.4859678499979</v>
      </c>
      <c r="AM4" s="300">
        <f>Model!S40</f>
        <v>9893.8782774766187</v>
      </c>
      <c r="AN4" s="300">
        <f>Model!T40</f>
        <v>16530.497238888853</v>
      </c>
      <c r="AO4" s="300">
        <f>Model!U40</f>
        <v>20489.234719462649</v>
      </c>
      <c r="AP4" s="30" t="s">
        <v>87</v>
      </c>
      <c r="AQ4" s="303"/>
    </row>
    <row r="5" spans="1:59" hidden="1" x14ac:dyDescent="0.4">
      <c r="A5" s="30" t="s">
        <v>109</v>
      </c>
      <c r="B5" s="304">
        <f>Model!BC50</f>
        <v>0.27189999999999998</v>
      </c>
      <c r="C5" s="304">
        <f>Model!BD50</f>
        <v>0.34389999999999998</v>
      </c>
      <c r="D5" s="304">
        <f>Model!BE50</f>
        <v>0.44950000000000001</v>
      </c>
      <c r="E5" s="305">
        <f>Model!BF50</f>
        <v>0.46379999999999999</v>
      </c>
      <c r="F5" s="304">
        <f>Model!BG50</f>
        <v>0.312</v>
      </c>
      <c r="G5" s="304">
        <f>Model!BH50</f>
        <v>0.45319999999999999</v>
      </c>
      <c r="H5" s="304">
        <f>Model!BI50</f>
        <v>0.60690124277531166</v>
      </c>
      <c r="I5" s="305">
        <f>Model!BJ50</f>
        <v>0.78088414263804184</v>
      </c>
      <c r="J5" s="304">
        <f>Model!BK50</f>
        <v>0.89797890528412949</v>
      </c>
      <c r="K5" s="304">
        <f>Model!BL50</f>
        <v>1.2033491393560707</v>
      </c>
      <c r="L5" s="304">
        <f>Model!BM50</f>
        <v>1.2435602629386071</v>
      </c>
      <c r="M5" s="305">
        <f>Model!BN50</f>
        <v>1.2654915985365027</v>
      </c>
      <c r="N5" s="304">
        <f>Model!BO50</f>
        <v>1.4118118191755584</v>
      </c>
      <c r="O5" s="304">
        <f>Model!BP50</f>
        <v>2.1515441610734025</v>
      </c>
      <c r="P5" s="304">
        <f>Model!BQ50</f>
        <v>2.5249824181029918</v>
      </c>
      <c r="Q5" s="305">
        <f>Model!BR50</f>
        <v>2.7362904128504502</v>
      </c>
      <c r="R5" s="304">
        <f>Model!BS50</f>
        <v>3.1245081653578777</v>
      </c>
      <c r="S5" s="304">
        <f>Model!BT50</f>
        <v>3.5274844615106575</v>
      </c>
      <c r="T5" s="304">
        <f>Model!BU50</f>
        <v>3.9871839879419468</v>
      </c>
      <c r="U5" s="305">
        <f>Model!BV50</f>
        <v>4.1048396452121914</v>
      </c>
      <c r="V5" s="304">
        <f>Model!BW50</f>
        <v>3.948088710818225</v>
      </c>
      <c r="W5" s="304">
        <f>Model!BX50</f>
        <v>4.5264469275646269</v>
      </c>
      <c r="X5" s="304">
        <f>Model!BY50</f>
        <v>4.9275426012106909</v>
      </c>
      <c r="Y5" s="305">
        <f>Model!BZ50</f>
        <v>4.8728475229834878</v>
      </c>
      <c r="Z5" s="306"/>
      <c r="AA5" s="306"/>
      <c r="AB5" s="306"/>
      <c r="AC5" s="306"/>
      <c r="AD5" s="304">
        <f>Model!J50</f>
        <v>4.65E-2</v>
      </c>
      <c r="AE5" s="304">
        <f>Model!K50</f>
        <v>0.35089999999999999</v>
      </c>
      <c r="AF5" s="304">
        <f>Model!L50</f>
        <v>1.3127000000000002</v>
      </c>
      <c r="AG5" s="304">
        <f>Model!M50</f>
        <v>0.80020000000000002</v>
      </c>
      <c r="AH5" s="304">
        <f>Model!N50</f>
        <v>1.2135</v>
      </c>
      <c r="AI5" s="304">
        <f>Model!O50</f>
        <v>1.1815</v>
      </c>
      <c r="AJ5" s="304">
        <f>Model!P50</f>
        <v>1.5290999999999999</v>
      </c>
      <c r="AK5" s="304">
        <f>Model!Q50</f>
        <v>2.1529853854133534</v>
      </c>
      <c r="AL5" s="304">
        <f>Model!R50</f>
        <v>4.6103799061153099</v>
      </c>
      <c r="AM5" s="304">
        <f>Model!S50</f>
        <v>8.8246288112024018</v>
      </c>
      <c r="AN5" s="304">
        <f>Model!T50</f>
        <v>14.744016260022674</v>
      </c>
      <c r="AO5" s="304">
        <f>Model!U50</f>
        <v>18.27492576257703</v>
      </c>
      <c r="AP5" s="30" t="s">
        <v>109</v>
      </c>
    </row>
    <row r="6" spans="1:59" hidden="1" x14ac:dyDescent="0.4">
      <c r="A6" s="167" t="s">
        <v>257</v>
      </c>
      <c r="B6" s="307">
        <f>Model!BC75</f>
        <v>0.45712754555198276</v>
      </c>
      <c r="C6" s="307">
        <f>Model!BD75</f>
        <v>0.18016472203157163</v>
      </c>
      <c r="D6" s="307">
        <f>Model!BE75</f>
        <v>0.46178861788617898</v>
      </c>
      <c r="E6" s="308">
        <f>Model!BF75</f>
        <v>0.17121212121212115</v>
      </c>
      <c r="F6" s="307">
        <f>Model!BG75</f>
        <v>0.14748069143067322</v>
      </c>
      <c r="G6" s="307">
        <f>Model!BH75</f>
        <v>0.31782494911311421</v>
      </c>
      <c r="H6" s="307">
        <f>Model!BI75</f>
        <v>0.35016961685275105</v>
      </c>
      <c r="I6" s="308">
        <f>Model!BJ75</f>
        <v>0.68366568054774013</v>
      </c>
      <c r="J6" s="307">
        <f>Model!BK75</f>
        <v>1.8781375169363126</v>
      </c>
      <c r="K6" s="307">
        <f>Model!BL75</f>
        <v>1.6552275802208092</v>
      </c>
      <c r="L6" s="307">
        <f>Model!BM75</f>
        <v>1.049032322379015</v>
      </c>
      <c r="M6" s="308">
        <f>Model!BN75</f>
        <v>0.62058816338787892</v>
      </c>
      <c r="N6" s="307">
        <f>Model!BO75</f>
        <v>0.57221045045467633</v>
      </c>
      <c r="O6" s="307">
        <f>Model!BP75</f>
        <v>0.78796335220277336</v>
      </c>
      <c r="P6" s="307">
        <f>Model!BQ75</f>
        <v>1.0304463670592914</v>
      </c>
      <c r="Q6" s="308">
        <f>Model!BR75</f>
        <v>1.1622351472067263</v>
      </c>
      <c r="R6" s="307">
        <f>Model!BS75</f>
        <v>1.2131194277594766</v>
      </c>
      <c r="S6" s="307">
        <f>Model!BT75</f>
        <v>0.63951292533582027</v>
      </c>
      <c r="T6" s="307">
        <f>Model!BU75</f>
        <v>0.57909376293301107</v>
      </c>
      <c r="U6" s="308">
        <f>Model!BV75</f>
        <v>0.50014765462562694</v>
      </c>
      <c r="V6" s="307">
        <f>Model!BW75</f>
        <v>0.26358725977789699</v>
      </c>
      <c r="W6" s="307">
        <f>Model!BX75</f>
        <v>0.28319400891879765</v>
      </c>
      <c r="X6" s="307">
        <f>Model!BY75</f>
        <v>0.23584530237696066</v>
      </c>
      <c r="Y6" s="308">
        <f>Model!BZ75</f>
        <v>0.18709814369169986</v>
      </c>
      <c r="Z6" s="306"/>
      <c r="AA6" s="306"/>
      <c r="AB6" s="306"/>
      <c r="AC6" s="306"/>
      <c r="AD6" s="307">
        <f>Model!J75</f>
        <v>0.809338521400778</v>
      </c>
      <c r="AE6" s="307">
        <f>Model!K75</f>
        <v>6.5462365591397846</v>
      </c>
      <c r="AF6" s="307">
        <f>Model!L75</f>
        <v>2.7409518381305222</v>
      </c>
      <c r="AG6" s="307">
        <f>Model!M75</f>
        <v>-0.39041669840786175</v>
      </c>
      <c r="AH6" s="307">
        <f>Model!N75</f>
        <v>0.51649587603099234</v>
      </c>
      <c r="AI6" s="307">
        <f>Model!O75</f>
        <v>-2.6370004120313206E-2</v>
      </c>
      <c r="AJ6" s="307">
        <f>Model!P75</f>
        <v>0.29420228523063896</v>
      </c>
      <c r="AK6" s="307">
        <f>Model!Q75</f>
        <v>0.4080082306018924</v>
      </c>
      <c r="AL6" s="307">
        <f>Model!R75</f>
        <v>1.1413893179911945</v>
      </c>
      <c r="AM6" s="307">
        <f>Model!S75</f>
        <v>0.91407844709222741</v>
      </c>
      <c r="AN6" s="307">
        <f>Model!T75</f>
        <v>0.67078033257397984</v>
      </c>
      <c r="AO6" s="307">
        <f>Model!U75</f>
        <v>0.2394808470286458</v>
      </c>
      <c r="AP6" s="167" t="s">
        <v>257</v>
      </c>
    </row>
    <row r="7" spans="1:59" hidden="1" x14ac:dyDescent="0.4">
      <c r="A7" s="30" t="s">
        <v>258</v>
      </c>
      <c r="B7" s="309">
        <f t="shared" ref="B7:Y7" si="0">B197</f>
        <v>0.27280442696855706</v>
      </c>
      <c r="C7" s="309">
        <f t="shared" si="0"/>
        <v>0.27441984051400431</v>
      </c>
      <c r="D7" s="309">
        <f t="shared" si="0"/>
        <v>0.29771640463432247</v>
      </c>
      <c r="E7" s="310">
        <f t="shared" si="0"/>
        <v>0.32881311834882421</v>
      </c>
      <c r="F7" s="309">
        <f t="shared" si="0"/>
        <v>0.28774531550623411</v>
      </c>
      <c r="G7" s="309">
        <f t="shared" si="0"/>
        <v>0.30441705046625317</v>
      </c>
      <c r="H7" s="309">
        <f t="shared" si="0"/>
        <v>0.33511422901564569</v>
      </c>
      <c r="I7" s="310">
        <f t="shared" si="0"/>
        <v>0.35398327165573801</v>
      </c>
      <c r="J7" s="309">
        <f t="shared" si="0"/>
        <v>0.32827515213775987</v>
      </c>
      <c r="K7" s="309">
        <f t="shared" si="0"/>
        <v>0.34152603318826086</v>
      </c>
      <c r="L7" s="309">
        <f t="shared" si="0"/>
        <v>0.3356883396283214</v>
      </c>
      <c r="M7" s="310">
        <f t="shared" si="0"/>
        <v>0.34803203031536062</v>
      </c>
      <c r="N7" s="309">
        <f t="shared" si="0"/>
        <v>0.36368167326282258</v>
      </c>
      <c r="O7" s="309">
        <f t="shared" si="0"/>
        <v>0.41399140174269838</v>
      </c>
      <c r="P7" s="309">
        <f t="shared" si="0"/>
        <v>0.4286071191840829</v>
      </c>
      <c r="Q7" s="310">
        <f t="shared" si="0"/>
        <v>0.43639831649761757</v>
      </c>
      <c r="R7" s="309">
        <f t="shared" si="0"/>
        <v>0.44338738821455753</v>
      </c>
      <c r="S7" s="309">
        <f t="shared" si="0"/>
        <v>0.44521225909968509</v>
      </c>
      <c r="T7" s="309">
        <f t="shared" si="0"/>
        <v>0.45507067370003268</v>
      </c>
      <c r="U7" s="310">
        <f t="shared" si="0"/>
        <v>0.46008562356410765</v>
      </c>
      <c r="V7" s="309">
        <f t="shared" si="0"/>
        <v>0.44712499373273334</v>
      </c>
      <c r="W7" s="309">
        <f t="shared" si="0"/>
        <v>0.44921029409774121</v>
      </c>
      <c r="X7" s="309">
        <f t="shared" si="0"/>
        <v>0.45722439007023674</v>
      </c>
      <c r="Y7" s="310">
        <f t="shared" si="0"/>
        <v>0.46602934491315939</v>
      </c>
      <c r="Z7" s="311"/>
      <c r="AA7" s="311"/>
      <c r="AB7" s="311"/>
      <c r="AC7" s="311"/>
      <c r="AD7" s="309">
        <f t="shared" ref="AD7:AM7" si="1">AD197</f>
        <v>0</v>
      </c>
      <c r="AE7" s="309">
        <f t="shared" si="1"/>
        <v>0</v>
      </c>
      <c r="AF7" s="309">
        <f t="shared" si="1"/>
        <v>0.26712491156553575</v>
      </c>
      <c r="AG7" s="309">
        <f t="shared" si="1"/>
        <v>0.26040669002057426</v>
      </c>
      <c r="AH7" s="309">
        <f t="shared" si="1"/>
        <v>0.26485172141532093</v>
      </c>
      <c r="AI7" s="309">
        <f t="shared" si="1"/>
        <v>0.27777103748975923</v>
      </c>
      <c r="AJ7" s="309">
        <f t="shared" si="1"/>
        <v>0.29609915223071487</v>
      </c>
      <c r="AK7" s="309">
        <f t="shared" si="1"/>
        <v>0.32728100548354239</v>
      </c>
      <c r="AL7" s="309">
        <f t="shared" si="1"/>
        <v>0.33902905096432351</v>
      </c>
      <c r="AM7" s="309">
        <f t="shared" si="1"/>
        <v>0.41523739764843132</v>
      </c>
      <c r="AN7" s="309">
        <f>AN197</f>
        <v>0.45165218847869626</v>
      </c>
      <c r="AO7" s="309">
        <f>AO197</f>
        <v>0.45545176496733919</v>
      </c>
      <c r="AP7" s="30" t="s">
        <v>258</v>
      </c>
    </row>
    <row r="8" spans="1:59" hidden="1" x14ac:dyDescent="0.4">
      <c r="A8" s="30" t="s">
        <v>259</v>
      </c>
      <c r="B8" s="309">
        <f>Model!BC87</f>
        <v>0.11168883444844227</v>
      </c>
      <c r="C8" s="309">
        <f>Model!BD87</f>
        <v>0.11986160360348493</v>
      </c>
      <c r="D8" s="309">
        <f>Model!BE87</f>
        <v>0.15149165698054373</v>
      </c>
      <c r="E8" s="310">
        <f>Model!BF87</f>
        <v>0.18350614963899908</v>
      </c>
      <c r="F8" s="309">
        <f>Model!BG87</f>
        <v>0.14641987950928337</v>
      </c>
      <c r="G8" s="309">
        <f>Model!BH87</f>
        <v>0.17781795656179181</v>
      </c>
      <c r="H8" s="309">
        <f>Model!BI87</f>
        <v>0.2379613824397627</v>
      </c>
      <c r="I8" s="310">
        <f>Model!BJ87</f>
        <v>0.22052597937982424</v>
      </c>
      <c r="J8" s="309">
        <f>Model!BK87</f>
        <v>0.23115357180312462</v>
      </c>
      <c r="K8" s="309">
        <f>Model!BL87</f>
        <v>0.25461540021309115</v>
      </c>
      <c r="L8" s="309">
        <f>Model!BM87</f>
        <v>0.26883200308857158</v>
      </c>
      <c r="M8" s="310">
        <f>Model!BN87</f>
        <v>0.23052032485733426</v>
      </c>
      <c r="N8" s="309">
        <f>Model!BO87</f>
        <v>0.29217592876380871</v>
      </c>
      <c r="O8" s="309">
        <f>Model!BP87</f>
        <v>0.35043961872427515</v>
      </c>
      <c r="P8" s="309">
        <f>Model!BQ87</f>
        <v>0.35896523074305636</v>
      </c>
      <c r="Q8" s="310">
        <f>Model!BR87</f>
        <v>0.34737750690006663</v>
      </c>
      <c r="R8" s="309">
        <f>Model!BS87</f>
        <v>0.38548924724072614</v>
      </c>
      <c r="S8" s="309">
        <f>Model!BT87</f>
        <v>0.39056706314520029</v>
      </c>
      <c r="T8" s="309">
        <f>Model!BU87</f>
        <v>0.40072720790830141</v>
      </c>
      <c r="U8" s="310">
        <f>Model!BV87</f>
        <v>0.38342978553872104</v>
      </c>
      <c r="V8" s="309">
        <f>Model!BW87</f>
        <v>0.39299710044345509</v>
      </c>
      <c r="W8" s="309">
        <f>Model!BX87</f>
        <v>0.39879172356391362</v>
      </c>
      <c r="X8" s="309">
        <f>Model!BY87</f>
        <v>0.40556452681575844</v>
      </c>
      <c r="Y8" s="310">
        <f>Model!BZ87</f>
        <v>0.3893478326571671</v>
      </c>
      <c r="Z8" s="311"/>
      <c r="AA8" s="311"/>
      <c r="AB8" s="311"/>
      <c r="AC8" s="311"/>
      <c r="AD8" s="309">
        <f>Model!J87</f>
        <v>-5.3503500577173714E-2</v>
      </c>
      <c r="AE8" s="309">
        <f>Model!K87</f>
        <v>0.14729937488030584</v>
      </c>
      <c r="AF8" s="309">
        <f>Model!L87</f>
        <v>0.14993447839885599</v>
      </c>
      <c r="AG8" s="309">
        <f>Model!M87</f>
        <v>0.12222927050658269</v>
      </c>
      <c r="AH8" s="309">
        <f>Model!N87</f>
        <v>0.11169150022617166</v>
      </c>
      <c r="AI8" s="309">
        <f>Model!O87</f>
        <v>0.11678287511470545</v>
      </c>
      <c r="AJ8" s="309">
        <f>Model!P87</f>
        <v>0.14506132710275893</v>
      </c>
      <c r="AK8" s="309">
        <f>Model!Q87</f>
        <v>0.20411239008818652</v>
      </c>
      <c r="AL8" s="309">
        <f>Model!R87</f>
        <v>0.24712152543878688</v>
      </c>
      <c r="AM8" s="309">
        <f>Model!S87</f>
        <v>0.34072912518168391</v>
      </c>
      <c r="AN8" s="309">
        <f>Model!T87</f>
        <v>0.39011257613172962</v>
      </c>
      <c r="AO8" s="309">
        <f>Model!U87</f>
        <v>0.39673400230501543</v>
      </c>
      <c r="AP8" s="30" t="s">
        <v>259</v>
      </c>
    </row>
    <row r="9" spans="1:59" hidden="1" x14ac:dyDescent="0.4">
      <c r="A9" s="30" t="s">
        <v>197</v>
      </c>
      <c r="B9" s="306"/>
      <c r="C9" s="306"/>
      <c r="D9" s="306"/>
      <c r="E9" s="312"/>
      <c r="F9" s="306"/>
      <c r="G9" s="306"/>
      <c r="H9" s="306"/>
      <c r="I9" s="312"/>
      <c r="J9" s="306"/>
      <c r="K9" s="306"/>
      <c r="L9" s="306"/>
      <c r="M9" s="312"/>
      <c r="N9" s="306"/>
      <c r="O9" s="306"/>
      <c r="P9" s="306"/>
      <c r="Q9" s="312"/>
      <c r="R9" s="306"/>
      <c r="S9" s="306"/>
      <c r="T9" s="306"/>
      <c r="U9" s="312"/>
      <c r="V9" s="306"/>
      <c r="W9" s="306"/>
      <c r="X9" s="306"/>
      <c r="Y9" s="312"/>
      <c r="Z9" s="306"/>
      <c r="AA9" s="306"/>
      <c r="AB9" s="306"/>
      <c r="AC9" s="306"/>
      <c r="AD9" s="313">
        <f>Model!J196</f>
        <v>1.8214181523425719E-2</v>
      </c>
      <c r="AE9" s="313">
        <f>Model!K196</f>
        <v>7.0810234388081539E-2</v>
      </c>
      <c r="AF9" s="313">
        <f>Model!L196</f>
        <v>0.14190204112968724</v>
      </c>
      <c r="AG9" s="313">
        <f>Model!M196</f>
        <v>8.7755352791669114E-2</v>
      </c>
      <c r="AH9" s="313">
        <f>Model!N196</f>
        <v>0.116835393641358</v>
      </c>
      <c r="AI9" s="313">
        <f>Model!O196</f>
        <v>9.0511863376652471E-2</v>
      </c>
      <c r="AJ9" s="313">
        <f>Model!P196</f>
        <v>0.10446208230337728</v>
      </c>
      <c r="AK9" s="313">
        <f>Model!Q196</f>
        <v>0.16587866716455785</v>
      </c>
      <c r="AL9" s="313">
        <f>Model!R196</f>
        <v>0.30971702408362251</v>
      </c>
      <c r="AM9" s="313">
        <f>Model!S196</f>
        <v>0.41947862319434909</v>
      </c>
      <c r="AN9" s="313">
        <f>Model!T196</f>
        <v>0.46594836304217641</v>
      </c>
      <c r="AO9" s="313">
        <f>Model!U196</f>
        <v>0.39299605537700072</v>
      </c>
      <c r="AP9" s="30" t="s">
        <v>197</v>
      </c>
    </row>
    <row r="10" spans="1:59" hidden="1" x14ac:dyDescent="0.4">
      <c r="A10" s="30" t="s">
        <v>260</v>
      </c>
      <c r="B10" s="306"/>
      <c r="C10" s="306"/>
      <c r="D10" s="306"/>
      <c r="E10" s="312"/>
      <c r="F10" s="306"/>
      <c r="G10" s="306"/>
      <c r="H10" s="314"/>
      <c r="I10" s="312"/>
      <c r="J10" s="306"/>
      <c r="K10" s="306"/>
      <c r="L10" s="306"/>
      <c r="M10" s="312"/>
      <c r="N10" s="306"/>
      <c r="O10" s="306"/>
      <c r="P10" s="306"/>
      <c r="Q10" s="312"/>
      <c r="R10" s="306"/>
      <c r="S10" s="306"/>
      <c r="T10" s="306"/>
      <c r="U10" s="312"/>
      <c r="V10" s="306"/>
      <c r="W10" s="306"/>
      <c r="X10" s="306"/>
      <c r="Y10" s="312"/>
      <c r="Z10" s="306"/>
      <c r="AA10" s="306"/>
      <c r="AB10" s="306"/>
      <c r="AC10" s="306"/>
      <c r="AD10" s="313">
        <f>-Model!J216/Model!J7</f>
        <v>0.26914705206357847</v>
      </c>
      <c r="AE10" s="313">
        <f>-Model!K216/Model!K7</f>
        <v>0.17851649465921787</v>
      </c>
      <c r="AF10" s="313">
        <f>-Model!L216/Model!L7</f>
        <v>0.11786228357986697</v>
      </c>
      <c r="AG10" s="313">
        <f>-Model!M216/Model!M7</f>
        <v>0.15959603751440726</v>
      </c>
      <c r="AH10" s="313">
        <f>-Model!N216/Model!N7</f>
        <v>0.13562046977735845</v>
      </c>
      <c r="AI10" s="313">
        <f>-Model!O216/Model!O7</f>
        <v>0.10910127798984842</v>
      </c>
      <c r="AJ10" s="313">
        <f>-Model!P216/Model!P7</f>
        <v>8.212522650924782E-2</v>
      </c>
      <c r="AK10" s="313">
        <f>-Model!Q216/Model!Q7</f>
        <v>0.15902769400599825</v>
      </c>
      <c r="AL10" s="313">
        <f>-Model!R216/Model!R7</f>
        <v>0.12011307247060549</v>
      </c>
      <c r="AM10" s="313">
        <f>-Model!S216/Model!S7</f>
        <v>9.9006708535178137E-2</v>
      </c>
      <c r="AN10" s="313">
        <f>-Model!T216/Model!T7</f>
        <v>6.1789017520760069E-2</v>
      </c>
      <c r="AO10" s="313">
        <f>-Model!U216/Model!U7</f>
        <v>4.0813956411350542E-2</v>
      </c>
      <c r="AP10" s="30" t="s">
        <v>260</v>
      </c>
    </row>
    <row r="11" spans="1:59" hidden="1" x14ac:dyDescent="0.4">
      <c r="A11" s="306" t="s">
        <v>153</v>
      </c>
      <c r="B11" s="306"/>
      <c r="C11" s="306"/>
      <c r="D11" s="306"/>
      <c r="E11" s="312"/>
      <c r="F11" s="306"/>
      <c r="G11" s="307"/>
      <c r="H11" s="315"/>
      <c r="I11" s="316"/>
      <c r="J11" s="315"/>
      <c r="K11" s="315"/>
      <c r="L11" s="315"/>
      <c r="M11" s="316"/>
      <c r="N11" s="306"/>
      <c r="O11" s="306"/>
      <c r="P11" s="306"/>
      <c r="Q11" s="312"/>
      <c r="R11" s="306"/>
      <c r="S11" s="306"/>
      <c r="T11" s="306"/>
      <c r="U11" s="312"/>
      <c r="V11" s="306"/>
      <c r="W11" s="306"/>
      <c r="X11" s="306"/>
      <c r="Y11" s="312"/>
      <c r="Z11" s="306"/>
      <c r="AA11" s="306"/>
      <c r="AB11" s="306"/>
      <c r="AC11" s="314"/>
      <c r="AD11" s="314"/>
      <c r="AE11" s="314"/>
      <c r="AF11" s="314"/>
      <c r="AG11" s="314"/>
      <c r="AH11" s="314"/>
      <c r="AI11" s="314"/>
      <c r="AJ11" s="314"/>
      <c r="AK11" s="314"/>
      <c r="AL11" s="314"/>
      <c r="AM11" s="314"/>
      <c r="AN11" s="314"/>
      <c r="AO11" s="314"/>
      <c r="AP11" s="306" t="s">
        <v>153</v>
      </c>
    </row>
    <row r="12" spans="1:59" x14ac:dyDescent="0.4">
      <c r="A12" s="317" t="s">
        <v>261</v>
      </c>
      <c r="B12" s="318">
        <f>+Model!BC7</f>
        <v>2088.6226499899999</v>
      </c>
      <c r="C12" s="318">
        <f>+Model!BD7</f>
        <v>2142.4211805099999</v>
      </c>
      <c r="D12" s="318">
        <f>+Model!BE7</f>
        <v>2633.94441366</v>
      </c>
      <c r="E12" s="319">
        <f>+Model!BF7</f>
        <v>2776.8065219200003</v>
      </c>
      <c r="F12" s="318">
        <f>+Model!BG7</f>
        <v>1837.1632160300001</v>
      </c>
      <c r="G12" s="318">
        <f>+Model!BH7</f>
        <v>2166.8180282800004</v>
      </c>
      <c r="H12" s="318">
        <f>+Model!BI7</f>
        <v>3026.3091272900001</v>
      </c>
      <c r="I12" s="319">
        <f>+Model!BJ7</f>
        <v>3687.6940994299998</v>
      </c>
      <c r="J12" s="318">
        <f>+Model!BK7</f>
        <v>4842.5469242299996</v>
      </c>
      <c r="K12" s="318">
        <f>+Model!BL7</f>
        <v>5956.0472615200006</v>
      </c>
      <c r="L12" s="318">
        <f>+Model!BM7</f>
        <v>6514.0076343999999</v>
      </c>
      <c r="M12" s="319">
        <f>+Model!BN7</f>
        <v>6549.5579182199999</v>
      </c>
      <c r="N12" s="318">
        <f>+Model!BO7</f>
        <v>6674.1764872299991</v>
      </c>
      <c r="O12" s="318">
        <f>+Model!BP7</f>
        <v>8114.8983505699998</v>
      </c>
      <c r="P12" s="320">
        <f t="shared" ref="P12:Y12" si="2">SUM(P13:P20)</f>
        <v>9544.9327530953124</v>
      </c>
      <c r="Q12" s="321">
        <f t="shared" si="2"/>
        <v>10707.94903691531</v>
      </c>
      <c r="R12" s="320">
        <f t="shared" si="2"/>
        <v>10818.018666377266</v>
      </c>
      <c r="S12" s="320">
        <f t="shared" si="2"/>
        <v>12058.532827994612</v>
      </c>
      <c r="T12" s="320">
        <f t="shared" si="2"/>
        <v>13278.77693051992</v>
      </c>
      <c r="U12" s="321">
        <f t="shared" si="2"/>
        <v>14427.283714339923</v>
      </c>
      <c r="V12" s="320">
        <f t="shared" si="2"/>
        <v>13381.138232430643</v>
      </c>
      <c r="W12" s="320">
        <f t="shared" si="2"/>
        <v>15125.613303422986</v>
      </c>
      <c r="X12" s="320">
        <f t="shared" si="2"/>
        <v>16150.278705948298</v>
      </c>
      <c r="Y12" s="321">
        <f t="shared" si="2"/>
        <v>16752.353864768294</v>
      </c>
      <c r="Z12" s="322"/>
      <c r="AA12" s="322"/>
      <c r="AB12" s="323">
        <f>Model!H7</f>
        <v>118.74620693000001</v>
      </c>
      <c r="AC12" s="323">
        <f>Model!I7</f>
        <v>121.4099374</v>
      </c>
      <c r="AD12" s="323">
        <f>Model!J7</f>
        <v>131.62038490999998</v>
      </c>
      <c r="AE12" s="323">
        <f>Model!K7</f>
        <v>2357.08347026</v>
      </c>
      <c r="AF12" s="323">
        <f>Model!L7</f>
        <v>5156.3142398999998</v>
      </c>
      <c r="AG12" s="323">
        <f>Model!M7</f>
        <v>4757.6770233500001</v>
      </c>
      <c r="AH12" s="323">
        <f>Model!N7</f>
        <v>7049.5901254399996</v>
      </c>
      <c r="AI12" s="323">
        <f>Model!O7</f>
        <v>7695.4048056899992</v>
      </c>
      <c r="AJ12" s="323">
        <f>Model!P7</f>
        <v>9641.79476608</v>
      </c>
      <c r="AK12" s="323">
        <f t="shared" ref="AK12:AO12" si="3">SUM(AK13:AK20)</f>
        <v>10717.984471030002</v>
      </c>
      <c r="AL12" s="323">
        <f t="shared" si="3"/>
        <v>23862.159738370003</v>
      </c>
      <c r="AM12" s="323">
        <f t="shared" si="3"/>
        <v>35041.956627810621</v>
      </c>
      <c r="AN12" s="323">
        <f t="shared" si="3"/>
        <v>50582.612139231715</v>
      </c>
      <c r="AO12" s="323">
        <f t="shared" si="3"/>
        <v>61409.384106570229</v>
      </c>
      <c r="AP12" s="317" t="s">
        <v>261</v>
      </c>
      <c r="AQ12" s="303"/>
    </row>
    <row r="13" spans="1:59" s="331" customFormat="1" x14ac:dyDescent="0.4">
      <c r="A13" s="205" t="s">
        <v>262</v>
      </c>
      <c r="B13" s="324">
        <f t="shared" ref="B13:Y16" si="4">+B45</f>
        <v>162.4</v>
      </c>
      <c r="C13" s="324">
        <f t="shared" si="4"/>
        <v>182.70000000000002</v>
      </c>
      <c r="D13" s="324">
        <f t="shared" si="4"/>
        <v>182.70000000000002</v>
      </c>
      <c r="E13" s="325">
        <f t="shared" si="4"/>
        <v>140.07</v>
      </c>
      <c r="F13" s="324">
        <f t="shared" si="4"/>
        <v>156.31</v>
      </c>
      <c r="G13" s="324">
        <f t="shared" si="4"/>
        <v>178.64000000000001</v>
      </c>
      <c r="H13" s="324">
        <f t="shared" si="4"/>
        <v>156.31</v>
      </c>
      <c r="I13" s="325">
        <f t="shared" si="4"/>
        <v>156.19835</v>
      </c>
      <c r="J13" s="324">
        <f t="shared" si="4"/>
        <v>171.941</v>
      </c>
      <c r="K13" s="324">
        <f t="shared" si="4"/>
        <v>171.941</v>
      </c>
      <c r="L13" s="324">
        <f t="shared" si="4"/>
        <v>171.941</v>
      </c>
      <c r="M13" s="325">
        <f t="shared" si="4"/>
        <v>171.941</v>
      </c>
      <c r="N13" s="324">
        <f t="shared" si="4"/>
        <v>147.37800000000001</v>
      </c>
      <c r="O13" s="324">
        <f t="shared" si="4"/>
        <v>147.37800000000001</v>
      </c>
      <c r="P13" s="324">
        <f t="shared" si="4"/>
        <v>147.37800000000001</v>
      </c>
      <c r="Q13" s="325">
        <f t="shared" si="4"/>
        <v>147.37800000000001</v>
      </c>
      <c r="R13" s="324">
        <f t="shared" si="4"/>
        <v>147.37800000000001</v>
      </c>
      <c r="S13" s="324">
        <f t="shared" si="4"/>
        <v>135.09650000000002</v>
      </c>
      <c r="T13" s="324">
        <f t="shared" si="4"/>
        <v>122.81500000000001</v>
      </c>
      <c r="U13" s="325">
        <f t="shared" si="4"/>
        <v>135.09650000000002</v>
      </c>
      <c r="V13" s="324">
        <f t="shared" si="4"/>
        <v>98.25200000000001</v>
      </c>
      <c r="W13" s="324">
        <f t="shared" si="4"/>
        <v>98.25200000000001</v>
      </c>
      <c r="X13" s="324">
        <f t="shared" si="4"/>
        <v>98.25200000000001</v>
      </c>
      <c r="Y13" s="325">
        <f t="shared" si="4"/>
        <v>98.25200000000001</v>
      </c>
      <c r="Z13" s="326"/>
      <c r="AA13" s="326"/>
      <c r="AB13" s="327"/>
      <c r="AC13" s="327"/>
      <c r="AD13" s="328"/>
      <c r="AE13" s="328"/>
      <c r="AF13" s="324">
        <f t="shared" ref="AF13:AJ17" si="5">+AF45</f>
        <v>1248.7628064999999</v>
      </c>
      <c r="AG13" s="324">
        <f t="shared" si="5"/>
        <v>1029.8326564399999</v>
      </c>
      <c r="AH13" s="324">
        <f t="shared" si="5"/>
        <v>501.58826112000003</v>
      </c>
      <c r="AI13" s="324">
        <f t="shared" si="5"/>
        <v>897.05834144000005</v>
      </c>
      <c r="AJ13" s="324">
        <f t="shared" si="5"/>
        <v>666.38667680000003</v>
      </c>
      <c r="AK13" s="73">
        <f t="shared" ref="AK13:AK20" si="6">SUM(F13:I13)</f>
        <v>647.45835000000011</v>
      </c>
      <c r="AL13" s="73">
        <f t="shared" ref="AL13:AL20" si="7">SUM(J13:M13)</f>
        <v>687.76400000000001</v>
      </c>
      <c r="AM13" s="73">
        <f t="shared" ref="AM13:AM20" si="8">SUM(N13:Q13)</f>
        <v>589.51200000000006</v>
      </c>
      <c r="AN13" s="73">
        <f t="shared" ref="AN13:AN20" si="9">SUM(R13:U13)</f>
        <v>540.38600000000008</v>
      </c>
      <c r="AO13" s="73">
        <f t="shared" ref="AO13:AO20" si="10">SUM(V13:Y13)</f>
        <v>393.00800000000004</v>
      </c>
      <c r="AP13" s="329"/>
      <c r="AQ13" s="303"/>
      <c r="AR13" s="330"/>
      <c r="AS13" s="330"/>
      <c r="AT13" s="330"/>
      <c r="AU13" s="330"/>
      <c r="AV13" s="330"/>
      <c r="BD13" s="332"/>
      <c r="BE13" s="332"/>
      <c r="BF13" s="332"/>
    </row>
    <row r="14" spans="1:59" x14ac:dyDescent="0.4">
      <c r="A14" s="205" t="s">
        <v>263</v>
      </c>
      <c r="B14" s="324">
        <f t="shared" si="4"/>
        <v>1153.1099999999999</v>
      </c>
      <c r="C14" s="324">
        <f t="shared" si="4"/>
        <v>1153.1099999999999</v>
      </c>
      <c r="D14" s="324">
        <f t="shared" si="4"/>
        <v>1225.1793749999997</v>
      </c>
      <c r="E14" s="325">
        <f t="shared" si="4"/>
        <v>792.7631249999996</v>
      </c>
      <c r="F14" s="324">
        <f t="shared" si="4"/>
        <v>799.68178499999999</v>
      </c>
      <c r="G14" s="324">
        <f t="shared" si="4"/>
        <v>714.00159374999987</v>
      </c>
      <c r="H14" s="324">
        <f t="shared" si="4"/>
        <v>285.6006375</v>
      </c>
      <c r="I14" s="325">
        <f t="shared" si="4"/>
        <v>285.6006375</v>
      </c>
      <c r="J14" s="324">
        <f t="shared" si="4"/>
        <v>203.49045421874996</v>
      </c>
      <c r="K14" s="324">
        <f t="shared" si="4"/>
        <v>203.49045421874996</v>
      </c>
      <c r="L14" s="324">
        <f t="shared" si="4"/>
        <v>195.12783281249995</v>
      </c>
      <c r="M14" s="325">
        <f t="shared" si="4"/>
        <v>195.12783281249995</v>
      </c>
      <c r="N14" s="324">
        <f t="shared" si="4"/>
        <v>191.99184978515621</v>
      </c>
      <c r="O14" s="324">
        <f t="shared" si="4"/>
        <v>193.31593150781245</v>
      </c>
      <c r="P14" s="324">
        <f t="shared" si="4"/>
        <v>193.31593150781245</v>
      </c>
      <c r="Q14" s="325">
        <f t="shared" si="4"/>
        <v>193.31593150781245</v>
      </c>
      <c r="R14" s="324">
        <f t="shared" si="4"/>
        <v>183.65013493242182</v>
      </c>
      <c r="S14" s="324">
        <f t="shared" si="4"/>
        <v>183.65013493242182</v>
      </c>
      <c r="T14" s="324">
        <f t="shared" si="4"/>
        <v>183.65013493242182</v>
      </c>
      <c r="U14" s="325">
        <f t="shared" si="4"/>
        <v>183.65013493242182</v>
      </c>
      <c r="V14" s="324">
        <f t="shared" si="4"/>
        <v>174.46762818580072</v>
      </c>
      <c r="W14" s="324">
        <f t="shared" si="4"/>
        <v>174.46762818580072</v>
      </c>
      <c r="X14" s="324">
        <f t="shared" si="4"/>
        <v>174.46762818580072</v>
      </c>
      <c r="Y14" s="325">
        <f t="shared" si="4"/>
        <v>174.46762818580072</v>
      </c>
      <c r="Z14" s="93"/>
      <c r="AA14" s="93"/>
      <c r="AB14" s="333"/>
      <c r="AC14" s="333"/>
      <c r="AD14" s="334"/>
      <c r="AE14" s="334"/>
      <c r="AF14" s="324">
        <f t="shared" si="5"/>
        <v>3749.13</v>
      </c>
      <c r="AG14" s="324">
        <f t="shared" si="5"/>
        <v>3600.6</v>
      </c>
      <c r="AH14" s="324">
        <f t="shared" si="5"/>
        <v>5705.7269999999999</v>
      </c>
      <c r="AI14" s="324">
        <f t="shared" si="5"/>
        <v>4140.9220499999992</v>
      </c>
      <c r="AJ14" s="324">
        <f t="shared" si="5"/>
        <v>4324.1624999999995</v>
      </c>
      <c r="AK14" s="73">
        <f t="shared" si="6"/>
        <v>2084.8846537499999</v>
      </c>
      <c r="AL14" s="73">
        <f t="shared" si="7"/>
        <v>797.23657406249981</v>
      </c>
      <c r="AM14" s="73">
        <f t="shared" si="8"/>
        <v>771.93964430859364</v>
      </c>
      <c r="AN14" s="73">
        <f t="shared" si="9"/>
        <v>734.60053972968728</v>
      </c>
      <c r="AO14" s="73">
        <f t="shared" si="10"/>
        <v>697.87051274320288</v>
      </c>
      <c r="AP14" s="335"/>
      <c r="AQ14" s="303"/>
      <c r="BC14" s="287"/>
      <c r="BD14" s="287"/>
      <c r="BE14" s="287"/>
      <c r="BF14" s="287"/>
    </row>
    <row r="15" spans="1:59" x14ac:dyDescent="0.4">
      <c r="A15" s="205" t="s">
        <v>264</v>
      </c>
      <c r="B15" s="324">
        <f t="shared" si="4"/>
        <v>323.39999999999998</v>
      </c>
      <c r="C15" s="324">
        <f t="shared" si="4"/>
        <v>384.99999999999994</v>
      </c>
      <c r="D15" s="324">
        <f t="shared" si="4"/>
        <v>461.99999999999989</v>
      </c>
      <c r="E15" s="325">
        <f t="shared" si="4"/>
        <v>523.6</v>
      </c>
      <c r="F15" s="324">
        <f t="shared" si="4"/>
        <v>375.80400000000003</v>
      </c>
      <c r="G15" s="324">
        <f t="shared" si="4"/>
        <v>216.81</v>
      </c>
      <c r="H15" s="324">
        <f t="shared" si="4"/>
        <v>86.724000000000004</v>
      </c>
      <c r="I15" s="325">
        <f t="shared" si="4"/>
        <v>86.724000000000004</v>
      </c>
      <c r="J15" s="324">
        <f t="shared" si="4"/>
        <v>78.051599999999993</v>
      </c>
      <c r="K15" s="324">
        <f t="shared" si="4"/>
        <v>78.051599999999993</v>
      </c>
      <c r="L15" s="324">
        <f t="shared" si="4"/>
        <v>99.792000000000016</v>
      </c>
      <c r="M15" s="325">
        <f t="shared" si="4"/>
        <v>99.792000000000016</v>
      </c>
      <c r="N15" s="324">
        <f t="shared" si="4"/>
        <v>73.641149999999996</v>
      </c>
      <c r="O15" s="324">
        <f t="shared" si="4"/>
        <v>74.149019999999993</v>
      </c>
      <c r="P15" s="324">
        <f t="shared" si="4"/>
        <v>74.149019999999993</v>
      </c>
      <c r="Q15" s="325">
        <f t="shared" si="4"/>
        <v>74.149019999999993</v>
      </c>
      <c r="R15" s="324">
        <f t="shared" si="4"/>
        <v>70.441569000000001</v>
      </c>
      <c r="S15" s="324">
        <f t="shared" si="4"/>
        <v>70.441569000000001</v>
      </c>
      <c r="T15" s="324">
        <f t="shared" si="4"/>
        <v>70.441569000000001</v>
      </c>
      <c r="U15" s="325">
        <f t="shared" si="4"/>
        <v>70.441569000000001</v>
      </c>
      <c r="V15" s="324">
        <f t="shared" si="4"/>
        <v>66.919490550000006</v>
      </c>
      <c r="W15" s="324">
        <f t="shared" si="4"/>
        <v>66.919490550000006</v>
      </c>
      <c r="X15" s="324">
        <f t="shared" si="4"/>
        <v>66.919490550000006</v>
      </c>
      <c r="Y15" s="325">
        <f t="shared" si="4"/>
        <v>66.919490550000006</v>
      </c>
      <c r="Z15" s="93"/>
      <c r="AA15" s="93"/>
      <c r="AB15" s="336"/>
      <c r="AC15" s="336"/>
      <c r="AD15" s="334"/>
      <c r="AE15" s="334"/>
      <c r="AF15" s="324">
        <f t="shared" si="5"/>
        <v>0</v>
      </c>
      <c r="AG15" s="324">
        <f t="shared" si="5"/>
        <v>0</v>
      </c>
      <c r="AH15" s="324">
        <f t="shared" si="5"/>
        <v>30.599999999999998</v>
      </c>
      <c r="AI15" s="324">
        <f t="shared" si="5"/>
        <v>1003</v>
      </c>
      <c r="AJ15" s="324">
        <f t="shared" si="5"/>
        <v>1693.9999999999995</v>
      </c>
      <c r="AK15" s="73">
        <f t="shared" si="6"/>
        <v>766.06200000000013</v>
      </c>
      <c r="AL15" s="73">
        <f t="shared" si="7"/>
        <v>355.68720000000002</v>
      </c>
      <c r="AM15" s="73">
        <f t="shared" si="8"/>
        <v>296.08821</v>
      </c>
      <c r="AN15" s="73">
        <f t="shared" si="9"/>
        <v>281.766276</v>
      </c>
      <c r="AO15" s="73">
        <f t="shared" si="10"/>
        <v>267.67796220000002</v>
      </c>
      <c r="AP15" s="335"/>
      <c r="AQ15" s="303"/>
      <c r="AR15" s="251"/>
      <c r="AS15" s="251"/>
      <c r="AT15" s="251"/>
      <c r="AU15" s="251"/>
      <c r="AV15" s="251"/>
      <c r="BC15" s="287"/>
      <c r="BD15" s="287"/>
      <c r="BE15" s="287"/>
      <c r="BF15" s="287"/>
    </row>
    <row r="16" spans="1:59" x14ac:dyDescent="0.4">
      <c r="A16" s="205" t="s">
        <v>265</v>
      </c>
      <c r="B16" s="324">
        <f t="shared" si="4"/>
        <v>364</v>
      </c>
      <c r="C16" s="324">
        <f t="shared" si="4"/>
        <v>364</v>
      </c>
      <c r="D16" s="324">
        <f t="shared" si="4"/>
        <v>728</v>
      </c>
      <c r="E16" s="325">
        <f t="shared" si="4"/>
        <v>1272.18</v>
      </c>
      <c r="F16" s="324">
        <f t="shared" si="4"/>
        <v>459.9</v>
      </c>
      <c r="G16" s="324">
        <f t="shared" si="4"/>
        <v>459.9</v>
      </c>
      <c r="H16" s="324">
        <f t="shared" si="4"/>
        <v>613.20000000000005</v>
      </c>
      <c r="I16" s="325">
        <f t="shared" si="4"/>
        <v>613.20000000000005</v>
      </c>
      <c r="J16" s="324">
        <f t="shared" si="4"/>
        <v>893.52</v>
      </c>
      <c r="K16" s="324">
        <f t="shared" si="4"/>
        <v>1518.9839999999999</v>
      </c>
      <c r="L16" s="324">
        <f t="shared" si="4"/>
        <v>1713.6000000000001</v>
      </c>
      <c r="M16" s="325">
        <f t="shared" si="4"/>
        <v>1713.6000000000001</v>
      </c>
      <c r="N16" s="324">
        <f t="shared" si="4"/>
        <v>1597.3200000000004</v>
      </c>
      <c r="O16" s="324">
        <f t="shared" si="4"/>
        <v>1206.2520000000002</v>
      </c>
      <c r="P16" s="324">
        <f t="shared" si="4"/>
        <v>804.16800000000012</v>
      </c>
      <c r="Q16" s="325">
        <f t="shared" si="4"/>
        <v>402.08400000000006</v>
      </c>
      <c r="R16" s="324">
        <f t="shared" si="4"/>
        <v>361.87560000000008</v>
      </c>
      <c r="S16" s="324">
        <f t="shared" si="4"/>
        <v>361.87560000000008</v>
      </c>
      <c r="T16" s="324">
        <f t="shared" si="4"/>
        <v>180.93780000000004</v>
      </c>
      <c r="U16" s="325">
        <f t="shared" si="4"/>
        <v>180.93780000000004</v>
      </c>
      <c r="V16" s="324">
        <f t="shared" si="4"/>
        <v>162.84402000000003</v>
      </c>
      <c r="W16" s="324">
        <f t="shared" si="4"/>
        <v>162.84402000000003</v>
      </c>
      <c r="X16" s="324">
        <f t="shared" si="4"/>
        <v>162.84402000000003</v>
      </c>
      <c r="Y16" s="325">
        <f t="shared" si="4"/>
        <v>162.84402000000003</v>
      </c>
      <c r="Z16" s="93"/>
      <c r="AA16" s="93"/>
      <c r="AB16" s="336"/>
      <c r="AC16" s="336"/>
      <c r="AD16" s="334"/>
      <c r="AE16" s="334"/>
      <c r="AF16" s="324">
        <f t="shared" si="5"/>
        <v>0</v>
      </c>
      <c r="AG16" s="324">
        <f t="shared" si="5"/>
        <v>0</v>
      </c>
      <c r="AH16" s="324">
        <f t="shared" si="5"/>
        <v>272</v>
      </c>
      <c r="AI16" s="324">
        <f t="shared" si="5"/>
        <v>1219.92</v>
      </c>
      <c r="AJ16" s="324">
        <f t="shared" si="5"/>
        <v>2728.1800000000003</v>
      </c>
      <c r="AK16" s="73">
        <f t="shared" si="6"/>
        <v>2146.1999999999998</v>
      </c>
      <c r="AL16" s="73">
        <f t="shared" si="7"/>
        <v>5839.7040000000006</v>
      </c>
      <c r="AM16" s="73">
        <f t="shared" si="8"/>
        <v>4009.8240000000005</v>
      </c>
      <c r="AN16" s="73">
        <f t="shared" si="9"/>
        <v>1085.6268000000002</v>
      </c>
      <c r="AO16" s="73">
        <f t="shared" si="10"/>
        <v>651.37608000000012</v>
      </c>
      <c r="AP16" s="335"/>
      <c r="AQ16" s="303"/>
      <c r="BC16" s="287"/>
      <c r="BD16" s="287"/>
      <c r="BE16" s="287"/>
      <c r="BF16" s="287"/>
      <c r="BG16" s="337"/>
    </row>
    <row r="17" spans="1:59" x14ac:dyDescent="0.4">
      <c r="A17" s="205" t="s">
        <v>266</v>
      </c>
      <c r="B17" s="324">
        <f>+B49+B51</f>
        <v>0</v>
      </c>
      <c r="C17" s="324">
        <f t="shared" ref="C17:I17" si="11">+C49+C51</f>
        <v>0</v>
      </c>
      <c r="D17" s="324">
        <f t="shared" si="11"/>
        <v>0</v>
      </c>
      <c r="E17" s="325">
        <f t="shared" si="11"/>
        <v>0</v>
      </c>
      <c r="F17" s="324">
        <f t="shared" si="11"/>
        <v>0</v>
      </c>
      <c r="G17" s="324">
        <f t="shared" si="11"/>
        <v>551.15000000000009</v>
      </c>
      <c r="H17" s="324">
        <f t="shared" si="11"/>
        <v>1846.17</v>
      </c>
      <c r="I17" s="325">
        <f t="shared" si="11"/>
        <v>2525.8000000000002</v>
      </c>
      <c r="J17" s="324">
        <f>+J49+J51+J50</f>
        <v>3455.0899999999997</v>
      </c>
      <c r="K17" s="324">
        <f t="shared" ref="K17:Y17" si="12">+K49+K51+K50</f>
        <v>3942</v>
      </c>
      <c r="L17" s="324">
        <f t="shared" si="12"/>
        <v>4284</v>
      </c>
      <c r="M17" s="325">
        <f t="shared" si="12"/>
        <v>4032</v>
      </c>
      <c r="N17" s="324">
        <f>+N49+N51+N50</f>
        <v>4253.03125</v>
      </c>
      <c r="O17" s="324">
        <f t="shared" si="12"/>
        <v>6083.82</v>
      </c>
      <c r="P17" s="324">
        <f t="shared" si="12"/>
        <v>6542.625</v>
      </c>
      <c r="Q17" s="325">
        <f t="shared" si="12"/>
        <v>7079.1750000000002</v>
      </c>
      <c r="R17" s="324">
        <f t="shared" si="12"/>
        <v>7179.5591249999998</v>
      </c>
      <c r="S17" s="324">
        <f t="shared" si="12"/>
        <v>6913.1456250000001</v>
      </c>
      <c r="T17" s="324">
        <f t="shared" si="12"/>
        <v>7750.8206250000003</v>
      </c>
      <c r="U17" s="325">
        <f t="shared" si="12"/>
        <v>8309.270625000001</v>
      </c>
      <c r="V17" s="324">
        <f t="shared" si="12"/>
        <v>6873.10010625</v>
      </c>
      <c r="W17" s="324">
        <f t="shared" si="12"/>
        <v>4844.728265624999</v>
      </c>
      <c r="X17" s="324">
        <f t="shared" si="12"/>
        <v>3832.072265625</v>
      </c>
      <c r="Y17" s="325">
        <f t="shared" si="12"/>
        <v>2819.4162656250001</v>
      </c>
      <c r="Z17" s="93"/>
      <c r="AA17" s="93"/>
      <c r="AB17" s="336"/>
      <c r="AC17" s="336"/>
      <c r="AD17" s="334"/>
      <c r="AE17" s="334"/>
      <c r="AF17" s="324">
        <f t="shared" si="5"/>
        <v>0</v>
      </c>
      <c r="AG17" s="324">
        <f t="shared" si="5"/>
        <v>0</v>
      </c>
      <c r="AH17" s="324">
        <f t="shared" si="5"/>
        <v>0</v>
      </c>
      <c r="AI17" s="324">
        <f t="shared" si="5"/>
        <v>0</v>
      </c>
      <c r="AJ17" s="324">
        <f t="shared" si="5"/>
        <v>0</v>
      </c>
      <c r="AK17" s="73">
        <f t="shared" si="6"/>
        <v>4923.1200000000008</v>
      </c>
      <c r="AL17" s="73">
        <f t="shared" si="7"/>
        <v>15713.09</v>
      </c>
      <c r="AM17" s="73">
        <f t="shared" si="8"/>
        <v>23958.651249999999</v>
      </c>
      <c r="AN17" s="73">
        <f t="shared" si="9"/>
        <v>30152.796000000002</v>
      </c>
      <c r="AO17" s="73">
        <f>SUM(V17:Y17)</f>
        <v>18369.316903125</v>
      </c>
      <c r="AP17" s="335"/>
      <c r="AQ17" s="303"/>
      <c r="BC17" s="287"/>
      <c r="BD17" s="287"/>
      <c r="BE17" s="287"/>
      <c r="BF17" s="287"/>
      <c r="BG17" s="337"/>
    </row>
    <row r="18" spans="1:59" x14ac:dyDescent="0.4">
      <c r="A18" s="205" t="s">
        <v>267</v>
      </c>
      <c r="B18" s="324">
        <f>+B52+B53</f>
        <v>0</v>
      </c>
      <c r="C18" s="324">
        <f t="shared" ref="C18:Y18" si="13">+C52+C53</f>
        <v>0</v>
      </c>
      <c r="D18" s="324">
        <f t="shared" si="13"/>
        <v>0</v>
      </c>
      <c r="E18" s="325">
        <f t="shared" si="13"/>
        <v>0</v>
      </c>
      <c r="F18" s="324">
        <f t="shared" si="13"/>
        <v>0</v>
      </c>
      <c r="G18" s="324">
        <f t="shared" si="13"/>
        <v>0</v>
      </c>
      <c r="H18" s="324">
        <f t="shared" si="13"/>
        <v>0</v>
      </c>
      <c r="I18" s="325">
        <f t="shared" si="13"/>
        <v>0</v>
      </c>
      <c r="J18" s="324">
        <f t="shared" si="13"/>
        <v>0</v>
      </c>
      <c r="K18" s="324">
        <f t="shared" si="13"/>
        <v>0</v>
      </c>
      <c r="L18" s="324">
        <f t="shared" si="13"/>
        <v>0</v>
      </c>
      <c r="M18" s="325">
        <f t="shared" si="13"/>
        <v>299.25</v>
      </c>
      <c r="N18" s="324">
        <f t="shared" si="13"/>
        <v>344.375</v>
      </c>
      <c r="O18" s="324">
        <f t="shared" si="13"/>
        <v>346.75</v>
      </c>
      <c r="P18" s="324">
        <f t="shared" si="13"/>
        <v>1733.75</v>
      </c>
      <c r="Q18" s="325">
        <f t="shared" si="13"/>
        <v>2774</v>
      </c>
      <c r="R18" s="324">
        <f t="shared" si="13"/>
        <v>2808.6750000000002</v>
      </c>
      <c r="S18" s="324">
        <f t="shared" si="13"/>
        <v>4331.09</v>
      </c>
      <c r="T18" s="324">
        <f t="shared" si="13"/>
        <v>4920.5649999999996</v>
      </c>
      <c r="U18" s="325">
        <f t="shared" si="13"/>
        <v>5510.04</v>
      </c>
      <c r="V18" s="324">
        <f>+V52+V53</f>
        <v>5939.115749999999</v>
      </c>
      <c r="W18" s="324">
        <f t="shared" si="13"/>
        <v>9715.1684999999979</v>
      </c>
      <c r="X18" s="324">
        <f t="shared" si="13"/>
        <v>11065.376499999998</v>
      </c>
      <c r="Y18" s="325">
        <f t="shared" si="13"/>
        <v>11991.007374999997</v>
      </c>
      <c r="Z18" s="93"/>
      <c r="AA18" s="93"/>
      <c r="AB18" s="336"/>
      <c r="AC18" s="336"/>
      <c r="AD18" s="334"/>
      <c r="AE18" s="334"/>
      <c r="AF18" s="324">
        <f>+AF52</f>
        <v>0</v>
      </c>
      <c r="AG18" s="324">
        <f>+AG52</f>
        <v>0</v>
      </c>
      <c r="AH18" s="324">
        <f>+AH52</f>
        <v>0</v>
      </c>
      <c r="AI18" s="324">
        <f>+AI52</f>
        <v>0</v>
      </c>
      <c r="AJ18" s="324">
        <f>+AJ52</f>
        <v>0</v>
      </c>
      <c r="AK18" s="73">
        <f t="shared" si="6"/>
        <v>0</v>
      </c>
      <c r="AL18" s="73">
        <f t="shared" si="7"/>
        <v>299.25</v>
      </c>
      <c r="AM18" s="73">
        <f t="shared" si="8"/>
        <v>5198.875</v>
      </c>
      <c r="AN18" s="73">
        <f t="shared" si="9"/>
        <v>17570.37</v>
      </c>
      <c r="AO18" s="73">
        <f>SUM(V18:Y18)</f>
        <v>38710.668124999997</v>
      </c>
      <c r="AP18" s="335"/>
      <c r="AQ18" s="303"/>
      <c r="BD18" s="338"/>
      <c r="BE18" s="338"/>
      <c r="BF18" s="338"/>
      <c r="BG18" s="337"/>
    </row>
    <row r="19" spans="1:59" x14ac:dyDescent="0.4">
      <c r="A19" s="205" t="s">
        <v>268</v>
      </c>
      <c r="B19" s="324"/>
      <c r="C19" s="324"/>
      <c r="D19" s="324"/>
      <c r="E19" s="325"/>
      <c r="F19" s="324"/>
      <c r="G19" s="324"/>
      <c r="H19" s="324"/>
      <c r="I19" s="325"/>
      <c r="J19" s="324"/>
      <c r="K19" s="324"/>
      <c r="L19" s="324"/>
      <c r="M19" s="325"/>
      <c r="N19" s="324"/>
      <c r="O19" s="324"/>
      <c r="P19" s="324"/>
      <c r="Q19" s="325"/>
      <c r="R19" s="324"/>
      <c r="S19" s="324"/>
      <c r="T19" s="324"/>
      <c r="U19" s="325"/>
      <c r="V19" s="324"/>
      <c r="W19" s="324"/>
      <c r="X19" s="324">
        <f>+X54</f>
        <v>700.80000000000007</v>
      </c>
      <c r="Y19" s="325">
        <f>+Y54</f>
        <v>1401.6000000000001</v>
      </c>
      <c r="Z19" s="93"/>
      <c r="AA19" s="93"/>
      <c r="AB19" s="336"/>
      <c r="AC19" s="336"/>
      <c r="AD19" s="334"/>
      <c r="AE19" s="334"/>
      <c r="AF19" s="324"/>
      <c r="AG19" s="324"/>
      <c r="AH19" s="324"/>
      <c r="AI19" s="324"/>
      <c r="AJ19" s="324"/>
      <c r="AK19" s="73"/>
      <c r="AL19" s="73"/>
      <c r="AM19" s="73"/>
      <c r="AN19" s="73"/>
      <c r="AO19" s="73">
        <f>+AO54</f>
        <v>2102.4</v>
      </c>
      <c r="AP19" s="335"/>
      <c r="AQ19" s="303"/>
      <c r="BD19" s="338"/>
      <c r="BE19" s="338"/>
      <c r="BF19" s="338"/>
      <c r="BG19" s="337"/>
    </row>
    <row r="20" spans="1:59" s="331" customFormat="1" x14ac:dyDescent="0.4">
      <c r="A20" s="205" t="s">
        <v>269</v>
      </c>
      <c r="B20" s="324">
        <f t="shared" ref="B20:I20" si="14">+B12-SUM(B13:B18)</f>
        <v>85.712649990000045</v>
      </c>
      <c r="C20" s="324">
        <f t="shared" si="14"/>
        <v>57.61118050999994</v>
      </c>
      <c r="D20" s="324">
        <f t="shared" si="14"/>
        <v>36.065038660000482</v>
      </c>
      <c r="E20" s="325">
        <f t="shared" si="14"/>
        <v>48.193396920000396</v>
      </c>
      <c r="F20" s="324">
        <f t="shared" si="14"/>
        <v>45.467431030000171</v>
      </c>
      <c r="G20" s="324">
        <f t="shared" si="14"/>
        <v>46.316434530000606</v>
      </c>
      <c r="H20" s="324">
        <f t="shared" si="14"/>
        <v>38.304489789999934</v>
      </c>
      <c r="I20" s="325">
        <f t="shared" si="14"/>
        <v>20.17111192999937</v>
      </c>
      <c r="J20" s="324">
        <f>+J12-J13-J14-J15-J16-J17</f>
        <v>40.453870011250729</v>
      </c>
      <c r="K20" s="324">
        <f>+K12-K13-K14-K15-K16-K17</f>
        <v>41.580207301251448</v>
      </c>
      <c r="L20" s="324">
        <f>+L12-L13-L14-L15-L16-L17-L18</f>
        <v>49.546801587499431</v>
      </c>
      <c r="M20" s="325">
        <f>+M12-M13-M14-M15-M16-M17-M18</f>
        <v>37.847085407499435</v>
      </c>
      <c r="N20" s="324">
        <f>+N12-N13-N14-N15-N16-N17-N18</f>
        <v>66.439237444842547</v>
      </c>
      <c r="O20" s="324">
        <f>+O12-O13-O14-O15-O16-O17-O18</f>
        <v>63.233399062187345</v>
      </c>
      <c r="P20" s="324">
        <f t="shared" ref="P20:Y20" si="15">+L20*(1+P30)</f>
        <v>49.546801587499431</v>
      </c>
      <c r="Q20" s="325">
        <f t="shared" si="15"/>
        <v>37.847085407499435</v>
      </c>
      <c r="R20" s="324">
        <f t="shared" si="15"/>
        <v>66.439237444842547</v>
      </c>
      <c r="S20" s="324">
        <f t="shared" si="15"/>
        <v>63.233399062187345</v>
      </c>
      <c r="T20" s="324">
        <f t="shared" si="15"/>
        <v>49.546801587499431</v>
      </c>
      <c r="U20" s="325">
        <f t="shared" si="15"/>
        <v>37.847085407499435</v>
      </c>
      <c r="V20" s="324">
        <f t="shared" si="15"/>
        <v>66.439237444842547</v>
      </c>
      <c r="W20" s="324">
        <f t="shared" si="15"/>
        <v>63.233399062187345</v>
      </c>
      <c r="X20" s="324">
        <f t="shared" si="15"/>
        <v>49.546801587499431</v>
      </c>
      <c r="Y20" s="325">
        <f t="shared" si="15"/>
        <v>37.847085407499435</v>
      </c>
      <c r="Z20" s="70"/>
      <c r="AA20" s="70"/>
      <c r="AB20" s="339"/>
      <c r="AC20" s="339"/>
      <c r="AD20" s="340"/>
      <c r="AE20" s="340"/>
      <c r="AF20" s="341">
        <f>+AF12-SUM(AF13:AF18)</f>
        <v>158.42143339999984</v>
      </c>
      <c r="AG20" s="341">
        <f>+AG12-SUM(AG13:AG18)</f>
        <v>127.24436691000028</v>
      </c>
      <c r="AH20" s="341">
        <f>+AH12-SUM(AH13:AH18)</f>
        <v>539.67486431999896</v>
      </c>
      <c r="AI20" s="341">
        <f>+AI12-SUM(AI13:AI18)</f>
        <v>434.50441425000008</v>
      </c>
      <c r="AJ20" s="341">
        <f>+AJ12-SUM(AJ13:AJ18)</f>
        <v>229.06558928000049</v>
      </c>
      <c r="AK20" s="73">
        <f t="shared" si="6"/>
        <v>150.25946728000008</v>
      </c>
      <c r="AL20" s="73">
        <f t="shared" si="7"/>
        <v>169.42796430750104</v>
      </c>
      <c r="AM20" s="73">
        <f t="shared" si="8"/>
        <v>217.06652350202876</v>
      </c>
      <c r="AN20" s="73">
        <f t="shared" si="9"/>
        <v>217.06652350202876</v>
      </c>
      <c r="AO20" s="73">
        <f t="shared" si="10"/>
        <v>217.06652350202876</v>
      </c>
      <c r="AP20" s="329"/>
      <c r="AQ20" s="303"/>
      <c r="BG20" s="342"/>
    </row>
    <row r="21" spans="1:59" x14ac:dyDescent="0.4">
      <c r="A21" s="335"/>
      <c r="B21" s="324"/>
      <c r="C21" s="324"/>
      <c r="D21" s="324"/>
      <c r="E21" s="325"/>
      <c r="F21" s="324"/>
      <c r="G21" s="324"/>
      <c r="H21" s="324"/>
      <c r="I21" s="325"/>
      <c r="J21" s="192"/>
      <c r="K21" s="192"/>
      <c r="L21" s="192"/>
      <c r="M21" s="325"/>
      <c r="N21" s="324"/>
      <c r="O21" s="324"/>
      <c r="P21" s="324"/>
      <c r="Q21" s="325"/>
      <c r="R21" s="324"/>
      <c r="S21" s="324"/>
      <c r="T21" s="324"/>
      <c r="U21" s="325"/>
      <c r="V21" s="324"/>
      <c r="W21" s="324"/>
      <c r="X21" s="324"/>
      <c r="Y21" s="325"/>
      <c r="Z21" s="93"/>
      <c r="AA21" s="93"/>
      <c r="AB21" s="343"/>
      <c r="AC21" s="343"/>
      <c r="AD21" s="344"/>
      <c r="AE21" s="344"/>
      <c r="AF21" s="221"/>
      <c r="AG21" s="221"/>
      <c r="AH21" s="73"/>
      <c r="AI21" s="73"/>
      <c r="AJ21" s="73"/>
      <c r="AK21" s="73"/>
      <c r="AL21" s="73"/>
      <c r="AM21" s="73"/>
      <c r="AN21" s="73"/>
      <c r="AO21" s="73"/>
      <c r="AP21" s="335"/>
      <c r="AQ21" s="303"/>
      <c r="AT21" s="345"/>
      <c r="AU21" s="345"/>
      <c r="AV21" s="345"/>
      <c r="BG21" s="337"/>
    </row>
    <row r="22" spans="1:59" s="355" customFormat="1" x14ac:dyDescent="0.4">
      <c r="A22" s="346" t="s">
        <v>270</v>
      </c>
      <c r="B22" s="347"/>
      <c r="C22" s="347"/>
      <c r="D22" s="347"/>
      <c r="E22" s="348"/>
      <c r="F22" s="349">
        <f t="shared" ref="F22:Y28" si="16">+F12/B12-1</f>
        <v>-0.12039486115943621</v>
      </c>
      <c r="G22" s="349">
        <f t="shared" si="16"/>
        <v>1.1387512405097056E-2</v>
      </c>
      <c r="H22" s="349">
        <f t="shared" si="16"/>
        <v>0.14896469021712933</v>
      </c>
      <c r="I22" s="350">
        <f t="shared" si="16"/>
        <v>0.32803422576239627</v>
      </c>
      <c r="J22" s="349">
        <f t="shared" si="16"/>
        <v>1.6358828012540192</v>
      </c>
      <c r="K22" s="349">
        <f t="shared" si="16"/>
        <v>1.7487528642392984</v>
      </c>
      <c r="L22" s="349">
        <f t="shared" si="16"/>
        <v>1.1524594350456079</v>
      </c>
      <c r="M22" s="350">
        <f t="shared" si="16"/>
        <v>0.7760578132639453</v>
      </c>
      <c r="N22" s="349">
        <f t="shared" si="16"/>
        <v>0.37823682282464244</v>
      </c>
      <c r="O22" s="349">
        <f t="shared" si="16"/>
        <v>0.36246372707577446</v>
      </c>
      <c r="P22" s="349">
        <f t="shared" si="16"/>
        <v>0.46529345509041442</v>
      </c>
      <c r="Q22" s="350">
        <f t="shared" si="16"/>
        <v>0.6349117254352723</v>
      </c>
      <c r="R22" s="349">
        <f t="shared" si="16"/>
        <v>0.62087692572647213</v>
      </c>
      <c r="S22" s="349">
        <f t="shared" si="16"/>
        <v>0.48597459968769741</v>
      </c>
      <c r="T22" s="349">
        <f t="shared" si="16"/>
        <v>0.39118601188822044</v>
      </c>
      <c r="U22" s="350">
        <f t="shared" si="16"/>
        <v>0.34734333013748264</v>
      </c>
      <c r="V22" s="349">
        <f t="shared" si="16"/>
        <v>0.23693059192249621</v>
      </c>
      <c r="W22" s="349">
        <f t="shared" si="16"/>
        <v>0.25434939052518568</v>
      </c>
      <c r="X22" s="349">
        <f t="shared" si="16"/>
        <v>0.21624745941988999</v>
      </c>
      <c r="Y22" s="350">
        <f t="shared" si="16"/>
        <v>0.16115785871164223</v>
      </c>
      <c r="Z22" s="351"/>
      <c r="AA22" s="351"/>
      <c r="AB22" s="352"/>
      <c r="AC22" s="352"/>
      <c r="AD22" s="353"/>
      <c r="AE22" s="353"/>
      <c r="AF22" s="221"/>
      <c r="AG22" s="90">
        <f t="shared" ref="AG22:AO27" si="17">+AG12/AF12-1</f>
        <v>-7.7310496995181333E-2</v>
      </c>
      <c r="AH22" s="90">
        <f t="shared" si="17"/>
        <v>0.48172944292805431</v>
      </c>
      <c r="AI22" s="90">
        <f t="shared" si="17"/>
        <v>9.1610245242405686E-2</v>
      </c>
      <c r="AJ22" s="90">
        <f t="shared" si="17"/>
        <v>0.2529288594345076</v>
      </c>
      <c r="AK22" s="90">
        <f t="shared" si="17"/>
        <v>0.11161715542173289</v>
      </c>
      <c r="AL22" s="90">
        <f t="shared" si="17"/>
        <v>1.2263663287503195</v>
      </c>
      <c r="AM22" s="90">
        <f t="shared" si="17"/>
        <v>0.46851571743791776</v>
      </c>
      <c r="AN22" s="90">
        <f t="shared" si="17"/>
        <v>0.44348709395660402</v>
      </c>
      <c r="AO22" s="90">
        <f t="shared" si="17"/>
        <v>0.21404137725306005</v>
      </c>
      <c r="AP22" s="354"/>
      <c r="AQ22" s="303"/>
      <c r="BB22" s="356"/>
      <c r="BC22" s="357"/>
      <c r="BF22" s="356"/>
      <c r="BG22" s="357"/>
    </row>
    <row r="23" spans="1:59" s="355" customFormat="1" x14ac:dyDescent="0.4">
      <c r="A23" s="205" t="s">
        <v>262</v>
      </c>
      <c r="B23" s="347"/>
      <c r="C23" s="347"/>
      <c r="D23" s="347"/>
      <c r="E23" s="348"/>
      <c r="F23" s="192">
        <f t="shared" si="16"/>
        <v>-3.7499999999999978E-2</v>
      </c>
      <c r="G23" s="192">
        <f t="shared" si="16"/>
        <v>-2.2222222222222254E-2</v>
      </c>
      <c r="H23" s="192">
        <f t="shared" si="16"/>
        <v>-0.14444444444444449</v>
      </c>
      <c r="I23" s="193">
        <f t="shared" si="16"/>
        <v>0.11514492753623196</v>
      </c>
      <c r="J23" s="192">
        <f t="shared" si="16"/>
        <v>0.10000000000000009</v>
      </c>
      <c r="K23" s="192">
        <f t="shared" si="16"/>
        <v>-3.7500000000000089E-2</v>
      </c>
      <c r="L23" s="192">
        <f t="shared" si="16"/>
        <v>0.10000000000000009</v>
      </c>
      <c r="M23" s="193">
        <f t="shared" si="16"/>
        <v>0.10078627591136535</v>
      </c>
      <c r="N23" s="192">
        <f t="shared" si="16"/>
        <v>-0.14285714285714279</v>
      </c>
      <c r="O23" s="192">
        <f t="shared" si="16"/>
        <v>-0.14285714285714279</v>
      </c>
      <c r="P23" s="192">
        <f t="shared" si="16"/>
        <v>-0.14285714285714279</v>
      </c>
      <c r="Q23" s="193">
        <f t="shared" si="16"/>
        <v>-0.14285714285714279</v>
      </c>
      <c r="R23" s="192">
        <f t="shared" si="16"/>
        <v>0</v>
      </c>
      <c r="S23" s="192">
        <f t="shared" si="16"/>
        <v>-8.3333333333333259E-2</v>
      </c>
      <c r="T23" s="192">
        <f t="shared" si="16"/>
        <v>-0.16666666666666663</v>
      </c>
      <c r="U23" s="193">
        <f t="shared" si="16"/>
        <v>-8.3333333333333259E-2</v>
      </c>
      <c r="V23" s="192">
        <f t="shared" si="16"/>
        <v>-0.33333333333333337</v>
      </c>
      <c r="W23" s="192">
        <f t="shared" si="16"/>
        <v>-0.27272727272727282</v>
      </c>
      <c r="X23" s="192">
        <f t="shared" si="16"/>
        <v>-0.19999999999999996</v>
      </c>
      <c r="Y23" s="193">
        <f t="shared" si="16"/>
        <v>-0.27272727272727282</v>
      </c>
      <c r="Z23" s="351"/>
      <c r="AA23" s="351"/>
      <c r="AB23" s="352"/>
      <c r="AC23" s="352"/>
      <c r="AD23" s="353"/>
      <c r="AE23" s="353"/>
      <c r="AF23" s="221"/>
      <c r="AG23" s="90">
        <f t="shared" si="17"/>
        <v>-0.17531764152522422</v>
      </c>
      <c r="AH23" s="90">
        <f t="shared" si="17"/>
        <v>-0.51294197364654703</v>
      </c>
      <c r="AI23" s="90">
        <f t="shared" si="17"/>
        <v>0.78843567717663898</v>
      </c>
      <c r="AJ23" s="90">
        <f t="shared" si="17"/>
        <v>-0.25714232172426499</v>
      </c>
      <c r="AK23" s="90">
        <f t="shared" si="17"/>
        <v>-2.8404419624495025E-2</v>
      </c>
      <c r="AL23" s="90">
        <f t="shared" si="17"/>
        <v>6.2252112433178075E-2</v>
      </c>
      <c r="AM23" s="90">
        <f t="shared" si="17"/>
        <v>-0.14285714285714279</v>
      </c>
      <c r="AN23" s="90">
        <f t="shared" si="17"/>
        <v>-8.3333333333333259E-2</v>
      </c>
      <c r="AO23" s="90">
        <f t="shared" si="17"/>
        <v>-0.27272727272727282</v>
      </c>
      <c r="AP23" s="354"/>
      <c r="AQ23" s="303"/>
      <c r="BB23" s="356"/>
      <c r="BC23" s="357"/>
      <c r="BF23" s="356"/>
      <c r="BG23" s="357"/>
    </row>
    <row r="24" spans="1:59" s="355" customFormat="1" x14ac:dyDescent="0.4">
      <c r="A24" s="205" t="s">
        <v>263</v>
      </c>
      <c r="B24" s="347"/>
      <c r="C24" s="347"/>
      <c r="D24" s="347"/>
      <c r="E24" s="348"/>
      <c r="F24" s="192">
        <f t="shared" si="16"/>
        <v>-0.30649999999999999</v>
      </c>
      <c r="G24" s="192">
        <f t="shared" si="16"/>
        <v>-0.38080357142857146</v>
      </c>
      <c r="H24" s="192">
        <f t="shared" si="16"/>
        <v>-0.7668907563025209</v>
      </c>
      <c r="I24" s="193">
        <f t="shared" si="16"/>
        <v>-0.6397402597402595</v>
      </c>
      <c r="J24" s="192">
        <f t="shared" si="16"/>
        <v>-0.74553571428571441</v>
      </c>
      <c r="K24" s="192">
        <f t="shared" si="16"/>
        <v>-0.71500000000000008</v>
      </c>
      <c r="L24" s="192">
        <f t="shared" si="16"/>
        <v>-0.31678082191780843</v>
      </c>
      <c r="M24" s="193">
        <f t="shared" si="16"/>
        <v>-0.31678082191780843</v>
      </c>
      <c r="N24" s="192">
        <f t="shared" si="16"/>
        <v>-5.6506849315068552E-2</v>
      </c>
      <c r="O24" s="192">
        <f t="shared" si="16"/>
        <v>-5.0000000000000044E-2</v>
      </c>
      <c r="P24" s="192">
        <f t="shared" si="16"/>
        <v>-9.2857142857142305E-3</v>
      </c>
      <c r="Q24" s="193">
        <f t="shared" si="16"/>
        <v>-9.2857142857142305E-3</v>
      </c>
      <c r="R24" s="192">
        <f t="shared" si="16"/>
        <v>-4.3448275862069008E-2</v>
      </c>
      <c r="S24" s="192">
        <f t="shared" si="16"/>
        <v>-5.0000000000000044E-2</v>
      </c>
      <c r="T24" s="192">
        <f t="shared" si="16"/>
        <v>-5.0000000000000044E-2</v>
      </c>
      <c r="U24" s="193">
        <f t="shared" si="16"/>
        <v>-5.0000000000000044E-2</v>
      </c>
      <c r="V24" s="192">
        <f t="shared" si="16"/>
        <v>-5.0000000000000044E-2</v>
      </c>
      <c r="W24" s="192">
        <f t="shared" si="16"/>
        <v>-5.0000000000000044E-2</v>
      </c>
      <c r="X24" s="192">
        <f t="shared" si="16"/>
        <v>-5.0000000000000044E-2</v>
      </c>
      <c r="Y24" s="193">
        <f t="shared" si="16"/>
        <v>-5.0000000000000044E-2</v>
      </c>
      <c r="Z24" s="351"/>
      <c r="AA24" s="351"/>
      <c r="AB24" s="352"/>
      <c r="AC24" s="352"/>
      <c r="AD24" s="353"/>
      <c r="AE24" s="353"/>
      <c r="AF24" s="221"/>
      <c r="AG24" s="90">
        <f t="shared" si="17"/>
        <v>-3.9617191188355716E-2</v>
      </c>
      <c r="AH24" s="90">
        <f t="shared" si="17"/>
        <v>0.58466005665722376</v>
      </c>
      <c r="AI24" s="90">
        <f t="shared" si="17"/>
        <v>-0.27425163349035109</v>
      </c>
      <c r="AJ24" s="90">
        <f t="shared" si="17"/>
        <v>4.4251122766244766E-2</v>
      </c>
      <c r="AK24" s="90">
        <f t="shared" si="17"/>
        <v>-0.51785238095238095</v>
      </c>
      <c r="AL24" s="90">
        <f t="shared" si="17"/>
        <v>-0.61761118408707083</v>
      </c>
      <c r="AM24" s="90">
        <f t="shared" si="17"/>
        <v>-3.1730769230769118E-2</v>
      </c>
      <c r="AN24" s="90">
        <f t="shared" si="17"/>
        <v>-4.8370497427101311E-2</v>
      </c>
      <c r="AO24" s="90">
        <f t="shared" si="17"/>
        <v>-5.0000000000000044E-2</v>
      </c>
      <c r="AP24" s="354"/>
      <c r="AQ24" s="303"/>
      <c r="AU24"/>
      <c r="AV24"/>
      <c r="BB24" s="356"/>
      <c r="BC24" s="357"/>
      <c r="BF24" s="356"/>
      <c r="BG24" s="357"/>
    </row>
    <row r="25" spans="1:59" x14ac:dyDescent="0.4">
      <c r="A25" s="205" t="s">
        <v>264</v>
      </c>
      <c r="B25" s="358"/>
      <c r="C25" s="358"/>
      <c r="D25" s="358"/>
      <c r="E25" s="359"/>
      <c r="F25" s="192">
        <f t="shared" si="16"/>
        <v>0.16204081632653078</v>
      </c>
      <c r="G25" s="192">
        <f t="shared" si="16"/>
        <v>-0.43685714285714272</v>
      </c>
      <c r="H25" s="192">
        <f t="shared" si="16"/>
        <v>-0.81228571428571428</v>
      </c>
      <c r="I25" s="193">
        <f t="shared" si="16"/>
        <v>-0.83436974789915963</v>
      </c>
      <c r="J25" s="192">
        <f t="shared" si="16"/>
        <v>-0.79230769230769238</v>
      </c>
      <c r="K25" s="192">
        <f t="shared" si="16"/>
        <v>-0.64</v>
      </c>
      <c r="L25" s="192">
        <f t="shared" si="16"/>
        <v>0.15068493150684947</v>
      </c>
      <c r="M25" s="193">
        <f t="shared" si="16"/>
        <v>0.15068493150684947</v>
      </c>
      <c r="N25" s="192">
        <f t="shared" si="16"/>
        <v>-5.6506849315068441E-2</v>
      </c>
      <c r="O25" s="192">
        <f t="shared" si="16"/>
        <v>-5.0000000000000044E-2</v>
      </c>
      <c r="P25" s="192">
        <f t="shared" si="16"/>
        <v>-0.25696428571428587</v>
      </c>
      <c r="Q25" s="193">
        <f t="shared" si="16"/>
        <v>-0.25696428571428587</v>
      </c>
      <c r="R25" s="192">
        <f t="shared" si="16"/>
        <v>-4.3448275862068897E-2</v>
      </c>
      <c r="S25" s="192">
        <f t="shared" si="16"/>
        <v>-4.9999999999999933E-2</v>
      </c>
      <c r="T25" s="192">
        <f t="shared" si="16"/>
        <v>-4.9999999999999933E-2</v>
      </c>
      <c r="U25" s="193">
        <f t="shared" si="16"/>
        <v>-4.9999999999999933E-2</v>
      </c>
      <c r="V25" s="192">
        <f t="shared" si="16"/>
        <v>-4.9999999999999933E-2</v>
      </c>
      <c r="W25" s="192">
        <f t="shared" si="16"/>
        <v>-4.9999999999999933E-2</v>
      </c>
      <c r="X25" s="192">
        <f t="shared" si="16"/>
        <v>-4.9999999999999933E-2</v>
      </c>
      <c r="Y25" s="193">
        <f t="shared" si="16"/>
        <v>-4.9999999999999933E-2</v>
      </c>
      <c r="Z25" s="93"/>
      <c r="AA25" s="93"/>
      <c r="AB25" s="344"/>
      <c r="AC25" s="344"/>
      <c r="AD25" s="344"/>
      <c r="AE25" s="344"/>
      <c r="AF25" s="221"/>
      <c r="AG25" s="87">
        <v>0</v>
      </c>
      <c r="AH25" s="87">
        <v>0</v>
      </c>
      <c r="AI25" s="90">
        <f t="shared" si="17"/>
        <v>31.777777777777779</v>
      </c>
      <c r="AJ25" s="90">
        <f t="shared" si="17"/>
        <v>0.68893320039880312</v>
      </c>
      <c r="AK25" s="90">
        <f t="shared" si="17"/>
        <v>-0.54777922077922059</v>
      </c>
      <c r="AL25" s="90">
        <f t="shared" si="17"/>
        <v>-0.5356939777720342</v>
      </c>
      <c r="AM25" s="90">
        <f t="shared" si="17"/>
        <v>-0.16756012024048095</v>
      </c>
      <c r="AN25" s="90">
        <f t="shared" si="17"/>
        <v>-4.83704974271012E-2</v>
      </c>
      <c r="AO25" s="90">
        <f t="shared" si="17"/>
        <v>-4.9999999999999933E-2</v>
      </c>
      <c r="AP25" s="335"/>
      <c r="AQ25" s="303"/>
      <c r="BB25" s="360"/>
      <c r="BC25" s="337"/>
      <c r="BF25" s="360"/>
      <c r="BG25" s="337"/>
    </row>
    <row r="26" spans="1:59" s="331" customFormat="1" x14ac:dyDescent="0.4">
      <c r="A26" s="205" t="s">
        <v>265</v>
      </c>
      <c r="B26" s="361"/>
      <c r="C26" s="361"/>
      <c r="D26" s="361"/>
      <c r="E26" s="362"/>
      <c r="F26" s="192">
        <f t="shared" si="16"/>
        <v>0.26346153846153841</v>
      </c>
      <c r="G26" s="192">
        <f t="shared" si="16"/>
        <v>0.26346153846153841</v>
      </c>
      <c r="H26" s="192">
        <f t="shared" si="16"/>
        <v>-0.15769230769230758</v>
      </c>
      <c r="I26" s="193">
        <f t="shared" si="16"/>
        <v>-0.5179927368768571</v>
      </c>
      <c r="J26" s="192">
        <f t="shared" si="16"/>
        <v>0.94285714285714284</v>
      </c>
      <c r="K26" s="192">
        <f t="shared" si="16"/>
        <v>2.3028571428571429</v>
      </c>
      <c r="L26" s="192">
        <f t="shared" si="16"/>
        <v>1.7945205479452055</v>
      </c>
      <c r="M26" s="193">
        <f t="shared" si="16"/>
        <v>1.7945205479452055</v>
      </c>
      <c r="N26" s="192">
        <f t="shared" si="16"/>
        <v>0.78767123287671281</v>
      </c>
      <c r="O26" s="192">
        <f t="shared" si="16"/>
        <v>-0.20588235294117629</v>
      </c>
      <c r="P26" s="192">
        <f t="shared" si="16"/>
        <v>-0.53071428571428569</v>
      </c>
      <c r="Q26" s="193">
        <f t="shared" si="16"/>
        <v>-0.76535714285714285</v>
      </c>
      <c r="R26" s="192">
        <f t="shared" si="16"/>
        <v>-0.77344827586206899</v>
      </c>
      <c r="S26" s="192">
        <f t="shared" si="16"/>
        <v>-0.7</v>
      </c>
      <c r="T26" s="192">
        <f t="shared" si="16"/>
        <v>-0.77500000000000002</v>
      </c>
      <c r="U26" s="193">
        <f t="shared" si="16"/>
        <v>-0.55000000000000004</v>
      </c>
      <c r="V26" s="192">
        <f t="shared" si="16"/>
        <v>-0.55000000000000004</v>
      </c>
      <c r="W26" s="192">
        <f t="shared" si="16"/>
        <v>-0.55000000000000004</v>
      </c>
      <c r="X26" s="192">
        <f t="shared" si="16"/>
        <v>-9.9999999999999978E-2</v>
      </c>
      <c r="Y26" s="193">
        <f t="shared" si="16"/>
        <v>-9.9999999999999978E-2</v>
      </c>
      <c r="Z26" s="326"/>
      <c r="AA26" s="326"/>
      <c r="AB26" s="363"/>
      <c r="AC26" s="363"/>
      <c r="AD26" s="364"/>
      <c r="AE26" s="364"/>
      <c r="AF26" s="365"/>
      <c r="AG26" s="87">
        <v>0</v>
      </c>
      <c r="AH26" s="87">
        <v>0</v>
      </c>
      <c r="AI26" s="90">
        <f t="shared" si="17"/>
        <v>3.4850000000000003</v>
      </c>
      <c r="AJ26" s="90">
        <f t="shared" si="17"/>
        <v>1.2363597612958226</v>
      </c>
      <c r="AK26" s="90">
        <f t="shared" si="17"/>
        <v>-0.21332170164725217</v>
      </c>
      <c r="AL26" s="90">
        <f t="shared" si="17"/>
        <v>1.7209505171931792</v>
      </c>
      <c r="AM26" s="90">
        <f t="shared" si="17"/>
        <v>-0.31335149863760214</v>
      </c>
      <c r="AN26" s="90">
        <f t="shared" si="17"/>
        <v>-0.72925824175824172</v>
      </c>
      <c r="AO26" s="90">
        <f t="shared" si="17"/>
        <v>-0.4</v>
      </c>
      <c r="AP26" s="329"/>
      <c r="AQ26" s="303"/>
      <c r="BB26" s="366"/>
      <c r="BC26" s="342"/>
      <c r="BF26" s="366"/>
      <c r="BG26" s="342"/>
    </row>
    <row r="27" spans="1:59" x14ac:dyDescent="0.4">
      <c r="A27" s="205" t="s">
        <v>266</v>
      </c>
      <c r="B27" s="358"/>
      <c r="C27" s="358"/>
      <c r="D27" s="358"/>
      <c r="E27" s="359"/>
      <c r="F27" s="367">
        <v>0</v>
      </c>
      <c r="G27" s="367">
        <v>0</v>
      </c>
      <c r="H27" s="367">
        <v>0</v>
      </c>
      <c r="I27" s="368">
        <v>0</v>
      </c>
      <c r="J27" s="192" t="e">
        <f t="shared" si="16"/>
        <v>#DIV/0!</v>
      </c>
      <c r="K27" s="192">
        <f t="shared" si="16"/>
        <v>6.1523178807947012</v>
      </c>
      <c r="L27" s="192">
        <f t="shared" si="16"/>
        <v>1.3204796958026614</v>
      </c>
      <c r="M27" s="193">
        <f t="shared" si="16"/>
        <v>0.59632591654129374</v>
      </c>
      <c r="N27" s="192">
        <f t="shared" si="16"/>
        <v>0.23094658894558484</v>
      </c>
      <c r="O27" s="192">
        <f t="shared" si="16"/>
        <v>0.54333333333333322</v>
      </c>
      <c r="P27" s="192">
        <f t="shared" si="16"/>
        <v>0.52722338935574231</v>
      </c>
      <c r="Q27" s="193">
        <f t="shared" si="16"/>
        <v>0.75574776785714293</v>
      </c>
      <c r="R27" s="192">
        <f t="shared" si="16"/>
        <v>0.68810401404880328</v>
      </c>
      <c r="S27" s="192">
        <f t="shared" si="16"/>
        <v>0.13631659467242629</v>
      </c>
      <c r="T27" s="192">
        <f t="shared" si="16"/>
        <v>0.18466527196652716</v>
      </c>
      <c r="U27" s="193">
        <f t="shared" si="16"/>
        <v>0.17376256767208065</v>
      </c>
      <c r="V27" s="192">
        <f t="shared" si="16"/>
        <v>-4.2684935580915573E-2</v>
      </c>
      <c r="W27" s="192">
        <f t="shared" si="16"/>
        <v>-0.29920060585661412</v>
      </c>
      <c r="X27" s="192">
        <f t="shared" si="16"/>
        <v>-0.50559141398979279</v>
      </c>
      <c r="Y27" s="193">
        <f t="shared" si="16"/>
        <v>-0.66069028283394005</v>
      </c>
      <c r="Z27" s="93"/>
      <c r="AA27" s="93"/>
      <c r="AB27" s="369"/>
      <c r="AC27" s="369"/>
      <c r="AD27" s="370"/>
      <c r="AE27" s="370"/>
      <c r="AF27" s="221"/>
      <c r="AG27" s="87">
        <v>0</v>
      </c>
      <c r="AH27" s="87">
        <v>0</v>
      </c>
      <c r="AI27" s="87">
        <v>0</v>
      </c>
      <c r="AJ27" s="87">
        <v>0</v>
      </c>
      <c r="AK27" s="87">
        <v>0</v>
      </c>
      <c r="AL27" s="90">
        <f t="shared" si="17"/>
        <v>2.1916934789320588</v>
      </c>
      <c r="AM27" s="90">
        <f t="shared" si="17"/>
        <v>0.5247574633633485</v>
      </c>
      <c r="AN27" s="90">
        <f t="shared" si="17"/>
        <v>0.25853478500798333</v>
      </c>
      <c r="AO27" s="90">
        <f t="shared" si="17"/>
        <v>-0.39079225345719193</v>
      </c>
      <c r="AP27" s="335"/>
      <c r="AQ27" s="303"/>
      <c r="BB27" s="360"/>
      <c r="BC27" s="337"/>
      <c r="BF27" s="360"/>
      <c r="BG27" s="337"/>
    </row>
    <row r="28" spans="1:59" x14ac:dyDescent="0.4">
      <c r="A28" s="205" t="s">
        <v>267</v>
      </c>
      <c r="B28" s="358"/>
      <c r="C28" s="358"/>
      <c r="D28" s="358"/>
      <c r="E28" s="359"/>
      <c r="F28" s="367">
        <v>0</v>
      </c>
      <c r="G28" s="367">
        <v>0</v>
      </c>
      <c r="H28" s="367">
        <v>0</v>
      </c>
      <c r="I28" s="368">
        <v>0</v>
      </c>
      <c r="J28" s="367">
        <v>0</v>
      </c>
      <c r="K28" s="367">
        <v>0</v>
      </c>
      <c r="L28" s="367">
        <v>0</v>
      </c>
      <c r="M28" s="368">
        <v>0</v>
      </c>
      <c r="N28" s="367">
        <v>0</v>
      </c>
      <c r="O28" s="367">
        <v>0</v>
      </c>
      <c r="P28" s="367">
        <v>0</v>
      </c>
      <c r="Q28" s="368">
        <v>0</v>
      </c>
      <c r="R28" s="192">
        <f t="shared" si="16"/>
        <v>7.1558620689655186</v>
      </c>
      <c r="S28" s="192">
        <f t="shared" si="16"/>
        <v>11.490526315789474</v>
      </c>
      <c r="T28" s="192">
        <f t="shared" si="16"/>
        <v>1.8381052631578947</v>
      </c>
      <c r="U28" s="193">
        <f t="shared" si="16"/>
        <v>0.98631578947368426</v>
      </c>
      <c r="V28" s="192">
        <f t="shared" si="16"/>
        <v>1.1145614035087714</v>
      </c>
      <c r="W28" s="192">
        <f t="shared" si="16"/>
        <v>1.2431232091690538</v>
      </c>
      <c r="X28" s="192">
        <f t="shared" si="16"/>
        <v>1.2488020176544765</v>
      </c>
      <c r="Y28" s="193">
        <f t="shared" si="16"/>
        <v>1.1762105855855851</v>
      </c>
      <c r="Z28" s="93"/>
      <c r="AA28" s="93"/>
      <c r="AB28" s="369"/>
      <c r="AC28" s="369"/>
      <c r="AD28" s="370"/>
      <c r="AE28" s="370"/>
      <c r="AF28" s="221"/>
      <c r="AG28" s="87">
        <v>0</v>
      </c>
      <c r="AH28" s="87">
        <v>0</v>
      </c>
      <c r="AI28" s="87">
        <v>0</v>
      </c>
      <c r="AJ28" s="87">
        <v>0</v>
      </c>
      <c r="AK28" s="87">
        <v>0</v>
      </c>
      <c r="AL28" s="87">
        <v>0</v>
      </c>
      <c r="AM28" s="90">
        <f>+AM18/AL18-1</f>
        <v>16.373015873015873</v>
      </c>
      <c r="AN28" s="90">
        <f>+AN18/AM18-1</f>
        <v>2.3796484816426631</v>
      </c>
      <c r="AO28" s="90">
        <f>+AO18/AN18-1</f>
        <v>1.2031788815488804</v>
      </c>
      <c r="AP28" s="335"/>
      <c r="AQ28" s="303"/>
      <c r="BB28" s="360"/>
      <c r="BC28" s="337"/>
      <c r="BF28" s="360"/>
      <c r="BG28" s="337"/>
    </row>
    <row r="29" spans="1:59" x14ac:dyDescent="0.4">
      <c r="A29" s="205" t="s">
        <v>268</v>
      </c>
      <c r="B29" s="358"/>
      <c r="C29" s="358"/>
      <c r="D29" s="358"/>
      <c r="E29" s="359"/>
      <c r="F29" s="367"/>
      <c r="G29" s="367"/>
      <c r="H29" s="367"/>
      <c r="I29" s="368"/>
      <c r="J29" s="367"/>
      <c r="K29" s="367"/>
      <c r="L29" s="367"/>
      <c r="M29" s="368"/>
      <c r="N29" s="367"/>
      <c r="O29" s="367"/>
      <c r="P29" s="367"/>
      <c r="Q29" s="368"/>
      <c r="R29" s="192"/>
      <c r="S29" s="192"/>
      <c r="T29" s="192"/>
      <c r="U29" s="193"/>
      <c r="V29" s="192"/>
      <c r="W29" s="192"/>
      <c r="X29" s="192"/>
      <c r="Y29" s="193"/>
      <c r="Z29" s="93"/>
      <c r="AA29" s="93"/>
      <c r="AB29" s="369"/>
      <c r="AC29" s="369"/>
      <c r="AD29" s="370"/>
      <c r="AE29" s="370"/>
      <c r="AF29" s="221"/>
      <c r="AG29" s="87"/>
      <c r="AH29" s="87"/>
      <c r="AI29" s="87"/>
      <c r="AJ29" s="87"/>
      <c r="AK29" s="87"/>
      <c r="AL29" s="87"/>
      <c r="AM29" s="87"/>
      <c r="AN29" s="90"/>
      <c r="AO29" s="90">
        <v>0</v>
      </c>
      <c r="AP29" s="335"/>
      <c r="AQ29" s="303"/>
      <c r="BB29" s="360"/>
      <c r="BC29" s="337"/>
      <c r="BF29" s="360"/>
      <c r="BG29" s="337"/>
    </row>
    <row r="30" spans="1:59" x14ac:dyDescent="0.4">
      <c r="A30" s="205" t="s">
        <v>271</v>
      </c>
      <c r="B30" s="358"/>
      <c r="C30" s="358"/>
      <c r="D30" s="358"/>
      <c r="E30" s="359"/>
      <c r="F30" s="192">
        <f>+F20/B20-1</f>
        <v>-0.46953651490993709</v>
      </c>
      <c r="G30" s="192">
        <f>+G20/C20-1</f>
        <v>-0.19605128518480597</v>
      </c>
      <c r="H30" s="192">
        <v>0</v>
      </c>
      <c r="I30" s="193">
        <v>0</v>
      </c>
      <c r="J30" s="192">
        <v>0</v>
      </c>
      <c r="K30" s="192">
        <v>0</v>
      </c>
      <c r="L30" s="192">
        <v>0</v>
      </c>
      <c r="M30" s="193">
        <v>0</v>
      </c>
      <c r="N30" s="192">
        <v>0</v>
      </c>
      <c r="O30" s="192">
        <v>0</v>
      </c>
      <c r="P30" s="192">
        <v>0</v>
      </c>
      <c r="Q30" s="193">
        <v>0</v>
      </c>
      <c r="R30" s="192">
        <v>0</v>
      </c>
      <c r="S30" s="192">
        <v>0</v>
      </c>
      <c r="T30" s="192">
        <v>0</v>
      </c>
      <c r="U30" s="193">
        <v>0</v>
      </c>
      <c r="V30" s="192">
        <v>0</v>
      </c>
      <c r="W30" s="192">
        <v>0</v>
      </c>
      <c r="X30" s="192">
        <v>0</v>
      </c>
      <c r="Y30" s="193">
        <v>0</v>
      </c>
      <c r="Z30" s="93"/>
      <c r="AA30" s="93"/>
      <c r="AB30" s="336"/>
      <c r="AC30" s="336"/>
      <c r="AD30" s="336"/>
      <c r="AE30" s="370"/>
      <c r="AF30" s="221"/>
      <c r="AG30" s="90">
        <f t="shared" ref="AG30:AO30" si="18">+AG20/AF20-1</f>
        <v>-0.19679828556581913</v>
      </c>
      <c r="AH30" s="90">
        <f t="shared" si="18"/>
        <v>3.241247588600209</v>
      </c>
      <c r="AI30" s="90">
        <f t="shared" si="18"/>
        <v>-0.1948774290285239</v>
      </c>
      <c r="AJ30" s="90">
        <f t="shared" si="18"/>
        <v>-0.47281182476502204</v>
      </c>
      <c r="AK30" s="90">
        <f t="shared" si="18"/>
        <v>-0.34403300053798569</v>
      </c>
      <c r="AL30" s="90">
        <f t="shared" si="18"/>
        <v>0.12756931309879826</v>
      </c>
      <c r="AM30" s="90">
        <f t="shared" si="18"/>
        <v>0.28117294207741739</v>
      </c>
      <c r="AN30" s="90">
        <f t="shared" si="18"/>
        <v>0</v>
      </c>
      <c r="AO30" s="90">
        <f t="shared" si="18"/>
        <v>0</v>
      </c>
      <c r="AP30" s="335"/>
      <c r="AQ30" s="303"/>
      <c r="BB30" s="360"/>
      <c r="BC30" s="337"/>
      <c r="BF30" s="360"/>
      <c r="BG30" s="337"/>
    </row>
    <row r="31" spans="1:59" x14ac:dyDescent="0.4">
      <c r="A31" s="335"/>
      <c r="B31" s="358"/>
      <c r="C31" s="358"/>
      <c r="D31" s="358"/>
      <c r="E31" s="359"/>
      <c r="F31" s="358"/>
      <c r="G31" s="358"/>
      <c r="H31" s="358"/>
      <c r="I31" s="359"/>
      <c r="J31" s="192"/>
      <c r="K31" s="192"/>
      <c r="L31" s="358"/>
      <c r="M31" s="359"/>
      <c r="N31" s="358"/>
      <c r="O31" s="358"/>
      <c r="P31" s="358"/>
      <c r="Q31" s="359"/>
      <c r="R31" s="358"/>
      <c r="S31" s="358"/>
      <c r="T31" s="358"/>
      <c r="U31" s="359"/>
      <c r="V31" s="358"/>
      <c r="W31" s="358"/>
      <c r="X31" s="358"/>
      <c r="Y31" s="359"/>
      <c r="Z31" s="93"/>
      <c r="AA31" s="93"/>
      <c r="AB31" s="221"/>
      <c r="AC31" s="221"/>
      <c r="AD31" s="221"/>
      <c r="AE31" s="221"/>
      <c r="AF31" s="221"/>
      <c r="AG31" s="221"/>
      <c r="AH31" s="73"/>
      <c r="AI31" s="73"/>
      <c r="AJ31" s="73"/>
      <c r="AK31" s="73"/>
      <c r="AL31" s="73"/>
      <c r="AM31" s="73"/>
      <c r="AN31" s="73"/>
      <c r="AO31" s="73"/>
      <c r="AP31" s="335"/>
      <c r="AQ31" s="303"/>
      <c r="BB31" s="360"/>
      <c r="BC31" s="337"/>
      <c r="BF31" s="360"/>
      <c r="BG31" s="337"/>
    </row>
    <row r="32" spans="1:59" x14ac:dyDescent="0.4">
      <c r="A32" s="346" t="s">
        <v>272</v>
      </c>
      <c r="B32" s="371">
        <f>SUM(B33:B40)</f>
        <v>1</v>
      </c>
      <c r="C32" s="371">
        <f t="shared" ref="C32:Y32" si="19">SUM(C33:C40)</f>
        <v>1</v>
      </c>
      <c r="D32" s="371">
        <f t="shared" si="19"/>
        <v>1.0000000000000002</v>
      </c>
      <c r="E32" s="372">
        <f t="shared" si="19"/>
        <v>0.99999999999999989</v>
      </c>
      <c r="F32" s="371">
        <f t="shared" si="19"/>
        <v>1</v>
      </c>
      <c r="G32" s="371">
        <f t="shared" si="19"/>
        <v>1.0000000000000002</v>
      </c>
      <c r="H32" s="371">
        <f t="shared" si="19"/>
        <v>1</v>
      </c>
      <c r="I32" s="372">
        <f t="shared" si="19"/>
        <v>0.99999999999999989</v>
      </c>
      <c r="J32" s="371">
        <f t="shared" si="19"/>
        <v>1.0000000000000002</v>
      </c>
      <c r="K32" s="371">
        <f t="shared" si="19"/>
        <v>1.0000000000000002</v>
      </c>
      <c r="L32" s="371">
        <f t="shared" si="19"/>
        <v>0.99999999999999989</v>
      </c>
      <c r="M32" s="372">
        <f t="shared" si="19"/>
        <v>1</v>
      </c>
      <c r="N32" s="371">
        <f t="shared" si="19"/>
        <v>1</v>
      </c>
      <c r="O32" s="371">
        <f t="shared" si="19"/>
        <v>0.99999999999999989</v>
      </c>
      <c r="P32" s="371">
        <f t="shared" si="19"/>
        <v>1</v>
      </c>
      <c r="Q32" s="372">
        <f t="shared" si="19"/>
        <v>1</v>
      </c>
      <c r="R32" s="371">
        <f t="shared" si="19"/>
        <v>0.99999999999999989</v>
      </c>
      <c r="S32" s="371">
        <f t="shared" si="19"/>
        <v>0.99999999999999978</v>
      </c>
      <c r="T32" s="371">
        <f t="shared" si="19"/>
        <v>1</v>
      </c>
      <c r="U32" s="372">
        <f t="shared" si="19"/>
        <v>0.99999999999999989</v>
      </c>
      <c r="V32" s="371">
        <f t="shared" si="19"/>
        <v>0.99999999999999989</v>
      </c>
      <c r="W32" s="371">
        <f t="shared" si="19"/>
        <v>0.99999999999999989</v>
      </c>
      <c r="X32" s="371">
        <f t="shared" si="19"/>
        <v>0.95660755998335256</v>
      </c>
      <c r="Y32" s="372">
        <f t="shared" si="19"/>
        <v>0.9163341455586318</v>
      </c>
      <c r="Z32" s="93"/>
      <c r="AA32" s="93"/>
      <c r="AB32" s="93"/>
      <c r="AC32" s="93"/>
      <c r="AD32" s="185"/>
      <c r="AE32" s="185"/>
      <c r="AF32" s="371">
        <f t="shared" ref="AF32:AO32" si="20">SUM(AF33:AF40)</f>
        <v>1</v>
      </c>
      <c r="AG32" s="371">
        <f t="shared" si="20"/>
        <v>1</v>
      </c>
      <c r="AH32" s="371">
        <f t="shared" si="20"/>
        <v>1</v>
      </c>
      <c r="AI32" s="371">
        <f t="shared" si="20"/>
        <v>1</v>
      </c>
      <c r="AJ32" s="371">
        <f t="shared" si="20"/>
        <v>1</v>
      </c>
      <c r="AK32" s="371">
        <f t="shared" si="20"/>
        <v>1</v>
      </c>
      <c r="AL32" s="371">
        <f t="shared" si="20"/>
        <v>0.99999999999999989</v>
      </c>
      <c r="AM32" s="371">
        <f t="shared" si="20"/>
        <v>1</v>
      </c>
      <c r="AN32" s="371">
        <f t="shared" si="20"/>
        <v>1</v>
      </c>
      <c r="AO32" s="371">
        <f t="shared" si="20"/>
        <v>1</v>
      </c>
      <c r="AP32" s="346"/>
      <c r="BC32" s="373"/>
    </row>
    <row r="33" spans="1:58" s="375" customFormat="1" x14ac:dyDescent="0.4">
      <c r="A33" s="205" t="s">
        <v>262</v>
      </c>
      <c r="B33" s="90">
        <f t="shared" ref="B33:Y38" si="21">+B13/B$12</f>
        <v>7.7754591046294341E-2</v>
      </c>
      <c r="C33" s="90">
        <f t="shared" si="21"/>
        <v>8.5277349599628488E-2</v>
      </c>
      <c r="D33" s="90">
        <f t="shared" si="21"/>
        <v>6.9363650596608095E-2</v>
      </c>
      <c r="E33" s="144">
        <f t="shared" si="21"/>
        <v>5.0442837444486313E-2</v>
      </c>
      <c r="F33" s="90">
        <f t="shared" si="21"/>
        <v>8.5082260866172016E-2</v>
      </c>
      <c r="G33" s="90">
        <f t="shared" si="21"/>
        <v>8.2443471333770821E-2</v>
      </c>
      <c r="H33" s="90">
        <f t="shared" si="21"/>
        <v>5.1650374573589085E-2</v>
      </c>
      <c r="I33" s="144">
        <f t="shared" si="21"/>
        <v>4.2356645043888891E-2</v>
      </c>
      <c r="J33" s="90">
        <f t="shared" si="21"/>
        <v>3.5506315724000932E-2</v>
      </c>
      <c r="K33" s="90">
        <f t="shared" si="21"/>
        <v>2.8868306856940581E-2</v>
      </c>
      <c r="L33" s="90">
        <f t="shared" si="21"/>
        <v>2.6395578520969503E-2</v>
      </c>
      <c r="M33" s="144">
        <f t="shared" si="21"/>
        <v>2.6252306208588979E-2</v>
      </c>
      <c r="N33" s="90">
        <f t="shared" si="21"/>
        <v>2.2081825418009991E-2</v>
      </c>
      <c r="O33" s="90">
        <f t="shared" si="21"/>
        <v>1.8161410486386191E-2</v>
      </c>
      <c r="P33" s="90">
        <f t="shared" si="21"/>
        <v>1.5440444035837447E-2</v>
      </c>
      <c r="Q33" s="144">
        <f t="shared" si="21"/>
        <v>1.3763420006195314E-2</v>
      </c>
      <c r="R33" s="90">
        <f t="shared" si="21"/>
        <v>1.3623381928342882E-2</v>
      </c>
      <c r="S33" s="90">
        <f t="shared" si="21"/>
        <v>1.1203394469878237E-2</v>
      </c>
      <c r="T33" s="90">
        <f t="shared" si="21"/>
        <v>9.2489692870525008E-3</v>
      </c>
      <c r="U33" s="144">
        <f t="shared" si="21"/>
        <v>9.3639594725458651E-3</v>
      </c>
      <c r="V33" s="90">
        <f t="shared" si="21"/>
        <v>7.342574173688424E-3</v>
      </c>
      <c r="W33" s="90">
        <f t="shared" si="21"/>
        <v>6.4957366044631855E-3</v>
      </c>
      <c r="X33" s="90">
        <f t="shared" si="21"/>
        <v>6.0836101833841964E-3</v>
      </c>
      <c r="Y33" s="144">
        <f t="shared" si="21"/>
        <v>5.8649668454433014E-3</v>
      </c>
      <c r="Z33" s="93"/>
      <c r="AA33" s="93"/>
      <c r="AB33" s="94"/>
      <c r="AC33" s="94"/>
      <c r="AD33" s="94"/>
      <c r="AE33" s="94"/>
      <c r="AF33" s="90">
        <f t="shared" ref="AF33:AO38" si="22">+AF13/AF$12</f>
        <v>0.24218128461546556</v>
      </c>
      <c r="AG33" s="90">
        <f t="shared" si="22"/>
        <v>0.21645703383935652</v>
      </c>
      <c r="AH33" s="90">
        <f t="shared" si="22"/>
        <v>7.1151407698145208E-2</v>
      </c>
      <c r="AI33" s="90">
        <f t="shared" si="22"/>
        <v>0.11657065015952288</v>
      </c>
      <c r="AJ33" s="90">
        <f t="shared" si="22"/>
        <v>6.9114380980640641E-2</v>
      </c>
      <c r="AK33" s="90">
        <f t="shared" si="22"/>
        <v>6.040859190923787E-2</v>
      </c>
      <c r="AL33" s="90">
        <f t="shared" si="22"/>
        <v>2.8822370126627122E-2</v>
      </c>
      <c r="AM33" s="90">
        <f t="shared" si="22"/>
        <v>1.6823033207344965E-2</v>
      </c>
      <c r="AN33" s="90">
        <f t="shared" si="22"/>
        <v>1.068323633648169E-2</v>
      </c>
      <c r="AO33" s="90">
        <f t="shared" si="22"/>
        <v>6.39980364105218E-3</v>
      </c>
      <c r="AP33" s="374"/>
    </row>
    <row r="34" spans="1:58" x14ac:dyDescent="0.4">
      <c r="A34" s="205" t="s">
        <v>263</v>
      </c>
      <c r="B34" s="90">
        <f>+B14/B$12</f>
        <v>0.55209111133862354</v>
      </c>
      <c r="C34" s="90">
        <f t="shared" si="21"/>
        <v>0.53822750189834467</v>
      </c>
      <c r="D34" s="90">
        <f t="shared" si="21"/>
        <v>0.46515004972999813</v>
      </c>
      <c r="E34" s="144">
        <f t="shared" si="21"/>
        <v>0.28549454877102853</v>
      </c>
      <c r="F34" s="90">
        <f t="shared" si="21"/>
        <v>0.43528075133578198</v>
      </c>
      <c r="G34" s="90">
        <f t="shared" si="21"/>
        <v>0.3295161773768181</v>
      </c>
      <c r="H34" s="90">
        <f t="shared" si="21"/>
        <v>9.4372592318666973E-2</v>
      </c>
      <c r="I34" s="144">
        <f t="shared" si="21"/>
        <v>7.7446943753860922E-2</v>
      </c>
      <c r="J34" s="90">
        <f t="shared" si="21"/>
        <v>4.2021369622785104E-2</v>
      </c>
      <c r="K34" s="90">
        <f t="shared" si="21"/>
        <v>3.4165352503737284E-2</v>
      </c>
      <c r="L34" s="90">
        <f t="shared" si="21"/>
        <v>2.9955112699291919E-2</v>
      </c>
      <c r="M34" s="144">
        <f t="shared" si="21"/>
        <v>2.97925196248254E-2</v>
      </c>
      <c r="N34" s="90">
        <f t="shared" si="21"/>
        <v>2.8766372922937055E-2</v>
      </c>
      <c r="O34" s="90">
        <f t="shared" si="21"/>
        <v>2.38223478787302E-2</v>
      </c>
      <c r="P34" s="90">
        <f t="shared" si="21"/>
        <v>2.0253252328584746E-2</v>
      </c>
      <c r="Q34" s="144">
        <f t="shared" si="21"/>
        <v>1.8053497531727317E-2</v>
      </c>
      <c r="R34" s="90">
        <f t="shared" si="21"/>
        <v>1.6976318917179545E-2</v>
      </c>
      <c r="S34" s="90">
        <f t="shared" si="21"/>
        <v>1.5229890530800476E-2</v>
      </c>
      <c r="T34" s="90">
        <f t="shared" si="21"/>
        <v>1.3830350181598476E-2</v>
      </c>
      <c r="U34" s="144">
        <f t="shared" si="21"/>
        <v>1.2729363237646996E-2</v>
      </c>
      <c r="V34" s="90">
        <f t="shared" si="21"/>
        <v>1.3038324928365172E-2</v>
      </c>
      <c r="W34" s="90">
        <f t="shared" si="21"/>
        <v>1.1534582081793537E-2</v>
      </c>
      <c r="X34" s="90">
        <f t="shared" si="21"/>
        <v>1.0802762686785254E-2</v>
      </c>
      <c r="Y34" s="144">
        <f t="shared" si="21"/>
        <v>1.041451425836472E-2</v>
      </c>
      <c r="Z34" s="93"/>
      <c r="AA34" s="93"/>
      <c r="AB34" s="93"/>
      <c r="AC34" s="93"/>
      <c r="AD34" s="94"/>
      <c r="AE34" s="90"/>
      <c r="AF34" s="90">
        <f t="shared" si="22"/>
        <v>0.72709494138059161</v>
      </c>
      <c r="AG34" s="90">
        <f t="shared" si="22"/>
        <v>0.75679790417230275</v>
      </c>
      <c r="AH34" s="90">
        <f t="shared" si="22"/>
        <v>0.80937003406902008</v>
      </c>
      <c r="AI34" s="90">
        <f t="shared" si="22"/>
        <v>0.53810321283400098</v>
      </c>
      <c r="AJ34" s="90">
        <f t="shared" si="22"/>
        <v>0.44848107690618738</v>
      </c>
      <c r="AK34" s="90">
        <f t="shared" si="22"/>
        <v>0.19452208196282653</v>
      </c>
      <c r="AL34" s="90">
        <f t="shared" si="22"/>
        <v>3.3410076154194675E-2</v>
      </c>
      <c r="AM34" s="90">
        <f t="shared" si="22"/>
        <v>2.2029010894213399E-2</v>
      </c>
      <c r="AN34" s="90">
        <f t="shared" si="22"/>
        <v>1.4522787745869166E-2</v>
      </c>
      <c r="AO34" s="90">
        <f t="shared" si="22"/>
        <v>1.1364232403505529E-2</v>
      </c>
      <c r="AP34" s="335"/>
    </row>
    <row r="35" spans="1:58" x14ac:dyDescent="0.4">
      <c r="A35" s="205" t="s">
        <v>264</v>
      </c>
      <c r="B35" s="90">
        <f>+B15/B$12</f>
        <v>0.1548388838939137</v>
      </c>
      <c r="C35" s="90">
        <f t="shared" si="21"/>
        <v>0.17970322712565384</v>
      </c>
      <c r="D35" s="90">
        <f t="shared" si="21"/>
        <v>0.17540233484199741</v>
      </c>
      <c r="E35" s="144">
        <f t="shared" si="21"/>
        <v>0.18856193107684041</v>
      </c>
      <c r="F35" s="90">
        <f t="shared" si="21"/>
        <v>0.20455667559689661</v>
      </c>
      <c r="G35" s="90">
        <f t="shared" si="21"/>
        <v>0.10005916379240287</v>
      </c>
      <c r="H35" s="90">
        <f t="shared" si="21"/>
        <v>2.8656689172285459E-2</v>
      </c>
      <c r="I35" s="144">
        <f t="shared" si="21"/>
        <v>2.3517135006779651E-2</v>
      </c>
      <c r="J35" s="90">
        <f t="shared" si="21"/>
        <v>1.6117882019782547E-2</v>
      </c>
      <c r="K35" s="90">
        <f t="shared" si="21"/>
        <v>1.3104597155275259E-2</v>
      </c>
      <c r="L35" s="90">
        <f t="shared" si="21"/>
        <v>1.5319601326993499E-2</v>
      </c>
      <c r="M35" s="144">
        <f t="shared" si="21"/>
        <v>1.5236448207044926E-2</v>
      </c>
      <c r="N35" s="90">
        <f t="shared" si="21"/>
        <v>1.1033743285167976E-2</v>
      </c>
      <c r="O35" s="90">
        <f t="shared" si="21"/>
        <v>9.1373935688044295E-3</v>
      </c>
      <c r="P35" s="90">
        <f t="shared" si="21"/>
        <v>7.7684172238881742E-3</v>
      </c>
      <c r="Q35" s="144">
        <f t="shared" si="21"/>
        <v>6.9246706109987663E-3</v>
      </c>
      <c r="R35" s="90">
        <f t="shared" si="21"/>
        <v>6.5115037394910917E-3</v>
      </c>
      <c r="S35" s="90">
        <f t="shared" si="21"/>
        <v>5.8416367898809088E-3</v>
      </c>
      <c r="T35" s="90">
        <f t="shared" si="21"/>
        <v>5.304823581914175E-3</v>
      </c>
      <c r="U35" s="144">
        <f t="shared" si="21"/>
        <v>4.8825246938191819E-3</v>
      </c>
      <c r="V35" s="90">
        <f t="shared" si="21"/>
        <v>5.0010312566544863E-3</v>
      </c>
      <c r="W35" s="90">
        <f t="shared" si="21"/>
        <v>4.4242497284295813E-3</v>
      </c>
      <c r="X35" s="90">
        <f t="shared" si="21"/>
        <v>4.1435501992515417E-3</v>
      </c>
      <c r="Y35" s="144">
        <f t="shared" si="21"/>
        <v>3.9946321030585267E-3</v>
      </c>
      <c r="Z35" s="93"/>
      <c r="AA35" s="93"/>
      <c r="AB35" s="93"/>
      <c r="AC35" s="93"/>
      <c r="AD35" s="90"/>
      <c r="AE35" s="90"/>
      <c r="AF35" s="90">
        <f t="shared" si="22"/>
        <v>0</v>
      </c>
      <c r="AG35" s="90">
        <f t="shared" si="22"/>
        <v>0</v>
      </c>
      <c r="AH35" s="90">
        <f t="shared" si="22"/>
        <v>4.3406778912681966E-3</v>
      </c>
      <c r="AI35" s="90">
        <f t="shared" si="22"/>
        <v>0.13033752288877379</v>
      </c>
      <c r="AJ35" s="90">
        <f t="shared" si="22"/>
        <v>0.17569343064213735</v>
      </c>
      <c r="AK35" s="90">
        <f t="shared" si="22"/>
        <v>7.147444578508344E-2</v>
      </c>
      <c r="AL35" s="90">
        <f t="shared" si="22"/>
        <v>1.490590977094417E-2</v>
      </c>
      <c r="AM35" s="90">
        <f t="shared" si="22"/>
        <v>8.4495341725585385E-3</v>
      </c>
      <c r="AN35" s="90">
        <f t="shared" si="22"/>
        <v>5.5704176610021881E-3</v>
      </c>
      <c r="AO35" s="90">
        <f t="shared" si="22"/>
        <v>4.358909734959563E-3</v>
      </c>
      <c r="AP35" s="335"/>
    </row>
    <row r="36" spans="1:58" x14ac:dyDescent="0.4">
      <c r="A36" s="205" t="s">
        <v>265</v>
      </c>
      <c r="B36" s="90">
        <f>+B16/B$12</f>
        <v>0.17427753165548732</v>
      </c>
      <c r="C36" s="90">
        <f t="shared" si="21"/>
        <v>0.16990123291880002</v>
      </c>
      <c r="D36" s="90">
        <f t="shared" si="21"/>
        <v>0.27639155793284448</v>
      </c>
      <c r="E36" s="144">
        <f t="shared" si="21"/>
        <v>0.45814499136236597</v>
      </c>
      <c r="F36" s="90">
        <f t="shared" si="21"/>
        <v>0.25033159601018812</v>
      </c>
      <c r="G36" s="90">
        <f t="shared" si="21"/>
        <v>0.21224671107479395</v>
      </c>
      <c r="H36" s="90">
        <f t="shared" si="21"/>
        <v>0.20262305475353357</v>
      </c>
      <c r="I36" s="144">
        <f t="shared" si="21"/>
        <v>0.16628277277520964</v>
      </c>
      <c r="J36" s="90">
        <f t="shared" si="21"/>
        <v>0.18451447430054096</v>
      </c>
      <c r="K36" s="90">
        <f t="shared" si="21"/>
        <v>0.25503222746629967</v>
      </c>
      <c r="L36" s="90">
        <f t="shared" si="21"/>
        <v>0.26306386117059538</v>
      </c>
      <c r="M36" s="144">
        <f t="shared" si="21"/>
        <v>0.26163597931289267</v>
      </c>
      <c r="N36" s="90">
        <f t="shared" si="21"/>
        <v>0.2393284029956691</v>
      </c>
      <c r="O36" s="90">
        <f t="shared" si="21"/>
        <v>0.14864659394227306</v>
      </c>
      <c r="P36" s="90">
        <f t="shared" si="21"/>
        <v>8.4250776909792019E-2</v>
      </c>
      <c r="Q36" s="144">
        <f t="shared" si="21"/>
        <v>3.7550047970328251E-2</v>
      </c>
      <c r="R36" s="90">
        <f t="shared" si="21"/>
        <v>3.3451190200357167E-2</v>
      </c>
      <c r="S36" s="90">
        <f t="shared" si="21"/>
        <v>3.0009919545094577E-2</v>
      </c>
      <c r="T36" s="90">
        <f t="shared" si="21"/>
        <v>1.362608928116963E-2</v>
      </c>
      <c r="U36" s="144">
        <f t="shared" si="21"/>
        <v>1.2541362849900697E-2</v>
      </c>
      <c r="V36" s="90">
        <f t="shared" si="21"/>
        <v>1.2169668765944728E-2</v>
      </c>
      <c r="W36" s="90">
        <f t="shared" si="21"/>
        <v>1.0766110221999909E-2</v>
      </c>
      <c r="X36" s="90">
        <f t="shared" si="21"/>
        <v>1.0083047046118346E-2</v>
      </c>
      <c r="Y36" s="144">
        <f t="shared" si="21"/>
        <v>9.7206650071113669E-3</v>
      </c>
      <c r="Z36" s="93"/>
      <c r="AA36" s="93"/>
      <c r="AB36" s="93"/>
      <c r="AC36" s="93"/>
      <c r="AD36" s="90"/>
      <c r="AE36" s="90"/>
      <c r="AF36" s="90">
        <f t="shared" si="22"/>
        <v>0</v>
      </c>
      <c r="AG36" s="90">
        <f t="shared" si="22"/>
        <v>0</v>
      </c>
      <c r="AH36" s="90">
        <f t="shared" si="22"/>
        <v>3.8583803477939528E-2</v>
      </c>
      <c r="AI36" s="90">
        <f t="shared" si="22"/>
        <v>0.15852577360166792</v>
      </c>
      <c r="AJ36" s="90">
        <f t="shared" si="22"/>
        <v>0.28295354404325057</v>
      </c>
      <c r="AK36" s="90">
        <f t="shared" si="22"/>
        <v>0.20024287269691754</v>
      </c>
      <c r="AL36" s="90">
        <f t="shared" si="22"/>
        <v>0.24472654881317563</v>
      </c>
      <c r="AM36" s="90">
        <f t="shared" si="22"/>
        <v>0.11442922672924184</v>
      </c>
      <c r="AN36" s="90">
        <f t="shared" si="22"/>
        <v>2.1462450318139887E-2</v>
      </c>
      <c r="AO36" s="90">
        <f t="shared" si="22"/>
        <v>1.0607109800508632E-2</v>
      </c>
      <c r="AP36" s="335"/>
    </row>
    <row r="37" spans="1:58" x14ac:dyDescent="0.4">
      <c r="A37" s="205" t="s">
        <v>266</v>
      </c>
      <c r="B37" s="90">
        <f>+B17/B$12</f>
        <v>0</v>
      </c>
      <c r="C37" s="90">
        <f t="shared" si="21"/>
        <v>0</v>
      </c>
      <c r="D37" s="90">
        <f t="shared" si="21"/>
        <v>0</v>
      </c>
      <c r="E37" s="144">
        <f t="shared" si="21"/>
        <v>0</v>
      </c>
      <c r="F37" s="90">
        <f t="shared" si="21"/>
        <v>0</v>
      </c>
      <c r="G37" s="90">
        <f t="shared" si="21"/>
        <v>0.25435915374836426</v>
      </c>
      <c r="H37" s="90">
        <f t="shared" si="21"/>
        <v>0.61004012556153131</v>
      </c>
      <c r="I37" s="144">
        <f t="shared" si="21"/>
        <v>0.6849266592883636</v>
      </c>
      <c r="J37" s="90">
        <f t="shared" si="21"/>
        <v>0.71348611671933038</v>
      </c>
      <c r="K37" s="90">
        <f t="shared" si="21"/>
        <v>0.66184834117551816</v>
      </c>
      <c r="L37" s="90">
        <f t="shared" si="21"/>
        <v>0.65765965292648842</v>
      </c>
      <c r="M37" s="144">
        <f t="shared" si="21"/>
        <v>0.61561406897151205</v>
      </c>
      <c r="N37" s="90">
        <f t="shared" si="21"/>
        <v>0.63723685733176449</v>
      </c>
      <c r="O37" s="90">
        <f t="shared" si="21"/>
        <v>0.74970994548227032</v>
      </c>
      <c r="P37" s="90">
        <f t="shared" si="21"/>
        <v>0.68545532684641508</v>
      </c>
      <c r="Q37" s="144">
        <f t="shared" si="21"/>
        <v>0.66111399817040328</v>
      </c>
      <c r="R37" s="90">
        <f t="shared" si="21"/>
        <v>0.66366673477041505</v>
      </c>
      <c r="S37" s="90">
        <f t="shared" si="21"/>
        <v>0.57329906744133208</v>
      </c>
      <c r="T37" s="90">
        <f t="shared" si="21"/>
        <v>0.5836998893463996</v>
      </c>
      <c r="U37" s="144">
        <f t="shared" si="21"/>
        <v>0.57594144466300645</v>
      </c>
      <c r="V37" s="90">
        <f t="shared" si="21"/>
        <v>0.51364091655463917</v>
      </c>
      <c r="W37" s="90">
        <f t="shared" si="21"/>
        <v>0.32029962477809859</v>
      </c>
      <c r="X37" s="90">
        <f t="shared" si="21"/>
        <v>0.23727592169747586</v>
      </c>
      <c r="Y37" s="144">
        <f t="shared" si="21"/>
        <v>0.16829970811173503</v>
      </c>
      <c r="Z37" s="93"/>
      <c r="AA37" s="93"/>
      <c r="AB37" s="93"/>
      <c r="AC37" s="93"/>
      <c r="AD37" s="90"/>
      <c r="AE37" s="90"/>
      <c r="AF37" s="90">
        <f t="shared" si="22"/>
        <v>0</v>
      </c>
      <c r="AG37" s="90">
        <f t="shared" si="22"/>
        <v>0</v>
      </c>
      <c r="AH37" s="90">
        <f t="shared" si="22"/>
        <v>0</v>
      </c>
      <c r="AI37" s="90">
        <f t="shared" si="22"/>
        <v>0</v>
      </c>
      <c r="AJ37" s="90">
        <f t="shared" si="22"/>
        <v>0</v>
      </c>
      <c r="AK37" s="90">
        <f t="shared" si="22"/>
        <v>0.45933263043129668</v>
      </c>
      <c r="AL37" s="90">
        <f t="shared" si="22"/>
        <v>0.65849404128887723</v>
      </c>
      <c r="AM37" s="90">
        <f t="shared" si="22"/>
        <v>0.68371328417733124</v>
      </c>
      <c r="AN37" s="90">
        <f t="shared" si="22"/>
        <v>0.59610990268755992</v>
      </c>
      <c r="AO37" s="90">
        <f t="shared" si="22"/>
        <v>0.29912882485919046</v>
      </c>
      <c r="AP37" s="335"/>
    </row>
    <row r="38" spans="1:58" x14ac:dyDescent="0.4">
      <c r="A38" s="205" t="s">
        <v>267</v>
      </c>
      <c r="B38" s="90">
        <f>+B18/B$12</f>
        <v>0</v>
      </c>
      <c r="C38" s="90">
        <f t="shared" si="21"/>
        <v>0</v>
      </c>
      <c r="D38" s="90">
        <f t="shared" si="21"/>
        <v>0</v>
      </c>
      <c r="E38" s="144">
        <f t="shared" si="21"/>
        <v>0</v>
      </c>
      <c r="F38" s="90">
        <f t="shared" si="21"/>
        <v>0</v>
      </c>
      <c r="G38" s="90">
        <f t="shared" si="21"/>
        <v>0</v>
      </c>
      <c r="H38" s="90">
        <f t="shared" si="21"/>
        <v>0</v>
      </c>
      <c r="I38" s="144">
        <f t="shared" si="21"/>
        <v>0</v>
      </c>
      <c r="J38" s="90">
        <f t="shared" si="21"/>
        <v>0</v>
      </c>
      <c r="K38" s="90">
        <f t="shared" si="21"/>
        <v>0</v>
      </c>
      <c r="L38" s="90">
        <f t="shared" si="21"/>
        <v>0</v>
      </c>
      <c r="M38" s="144">
        <f t="shared" si="21"/>
        <v>4.5690106681479409E-2</v>
      </c>
      <c r="N38" s="90">
        <f t="shared" si="21"/>
        <v>5.1598126099738018E-2</v>
      </c>
      <c r="O38" s="90">
        <f t="shared" si="21"/>
        <v>4.2730048488610319E-2</v>
      </c>
      <c r="P38" s="90">
        <f t="shared" si="21"/>
        <v>0.18164088159110023</v>
      </c>
      <c r="Q38" s="144">
        <f t="shared" si="21"/>
        <v>0.25905988069580121</v>
      </c>
      <c r="R38" s="90">
        <f t="shared" si="21"/>
        <v>0.25962933570538643</v>
      </c>
      <c r="S38" s="90">
        <f t="shared" si="21"/>
        <v>0.3591722195211936</v>
      </c>
      <c r="T38" s="90">
        <f t="shared" si="21"/>
        <v>0.37055860082193121</v>
      </c>
      <c r="U38" s="144">
        <f t="shared" si="21"/>
        <v>0.38191804563483595</v>
      </c>
      <c r="V38" s="90">
        <f t="shared" si="21"/>
        <v>0.44384234336701689</v>
      </c>
      <c r="W38" s="90">
        <f t="shared" si="21"/>
        <v>0.64229914550317224</v>
      </c>
      <c r="X38" s="90">
        <f t="shared" si="21"/>
        <v>0.6851508077024403</v>
      </c>
      <c r="Y38" s="144">
        <f t="shared" si="21"/>
        <v>0.71578044923096829</v>
      </c>
      <c r="Z38" s="93"/>
      <c r="AA38" s="93"/>
      <c r="AB38" s="93"/>
      <c r="AC38" s="93"/>
      <c r="AD38" s="90"/>
      <c r="AE38" s="90"/>
      <c r="AF38" s="90">
        <f t="shared" si="22"/>
        <v>0</v>
      </c>
      <c r="AG38" s="90">
        <f t="shared" si="22"/>
        <v>0</v>
      </c>
      <c r="AH38" s="90">
        <f t="shared" si="22"/>
        <v>0</v>
      </c>
      <c r="AI38" s="90">
        <f t="shared" si="22"/>
        <v>0</v>
      </c>
      <c r="AJ38" s="90">
        <f t="shared" si="22"/>
        <v>0</v>
      </c>
      <c r="AK38" s="90">
        <f t="shared" si="22"/>
        <v>0</v>
      </c>
      <c r="AL38" s="90">
        <f t="shared" si="22"/>
        <v>1.2540775993499466E-2</v>
      </c>
      <c r="AM38" s="90">
        <f t="shared" si="22"/>
        <v>0.14836143584156988</v>
      </c>
      <c r="AN38" s="90">
        <f t="shared" si="22"/>
        <v>0.3473598783636655</v>
      </c>
      <c r="AO38" s="90">
        <f t="shared" si="22"/>
        <v>0.63037056450234485</v>
      </c>
      <c r="AP38" s="335"/>
    </row>
    <row r="39" spans="1:58" x14ac:dyDescent="0.4">
      <c r="A39" s="205" t="s">
        <v>268</v>
      </c>
      <c r="B39" s="90"/>
      <c r="C39" s="90"/>
      <c r="D39" s="90"/>
      <c r="E39" s="144"/>
      <c r="F39" s="90"/>
      <c r="G39" s="90"/>
      <c r="H39" s="90"/>
      <c r="I39" s="144"/>
      <c r="J39" s="90"/>
      <c r="K39" s="90"/>
      <c r="L39" s="90"/>
      <c r="M39" s="144"/>
      <c r="N39" s="90"/>
      <c r="O39" s="90"/>
      <c r="P39" s="90"/>
      <c r="Q39" s="144"/>
      <c r="R39" s="90"/>
      <c r="S39" s="90"/>
      <c r="T39" s="90"/>
      <c r="U39" s="144"/>
      <c r="V39" s="90"/>
      <c r="W39" s="90"/>
      <c r="X39" s="90"/>
      <c r="Y39" s="144"/>
      <c r="Z39" s="93"/>
      <c r="AA39" s="93"/>
      <c r="AB39" s="93"/>
      <c r="AC39" s="93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>
        <f>+AO19/AO$12</f>
        <v>3.4235809894323024E-2</v>
      </c>
      <c r="AP39" s="335"/>
    </row>
    <row r="40" spans="1:58" s="375" customFormat="1" x14ac:dyDescent="0.4">
      <c r="A40" s="205" t="s">
        <v>271</v>
      </c>
      <c r="B40" s="90">
        <f>+B20/B$12</f>
        <v>4.1037882065681146E-2</v>
      </c>
      <c r="C40" s="90">
        <f t="shared" ref="C40:Y40" si="23">+C20/C$12</f>
        <v>2.6890688457572892E-2</v>
      </c>
      <c r="D40" s="90">
        <f t="shared" si="23"/>
        <v>1.3692406898551923E-2</v>
      </c>
      <c r="E40" s="144">
        <f t="shared" si="23"/>
        <v>1.7355691345278701E-2</v>
      </c>
      <c r="F40" s="90">
        <f t="shared" si="23"/>
        <v>2.4748716190961285E-2</v>
      </c>
      <c r="G40" s="90">
        <f t="shared" si="23"/>
        <v>2.1375322673850075E-2</v>
      </c>
      <c r="H40" s="90">
        <f t="shared" si="23"/>
        <v>1.2657163620393548E-2</v>
      </c>
      <c r="I40" s="144">
        <f t="shared" si="23"/>
        <v>5.4698441318972689E-3</v>
      </c>
      <c r="J40" s="90">
        <f t="shared" si="23"/>
        <v>8.3538416135602415E-3</v>
      </c>
      <c r="K40" s="90">
        <f t="shared" si="23"/>
        <v>6.9811748422291828E-3</v>
      </c>
      <c r="L40" s="90">
        <f t="shared" si="23"/>
        <v>7.6061933556611722E-3</v>
      </c>
      <c r="M40" s="144">
        <f t="shared" si="23"/>
        <v>5.7785709936565141E-3</v>
      </c>
      <c r="N40" s="90">
        <f t="shared" si="23"/>
        <v>9.954671946713383E-3</v>
      </c>
      <c r="O40" s="90">
        <f t="shared" si="23"/>
        <v>7.7922601529254844E-3</v>
      </c>
      <c r="P40" s="90">
        <f t="shared" si="23"/>
        <v>5.1909010643822473E-3</v>
      </c>
      <c r="Q40" s="144">
        <f t="shared" si="23"/>
        <v>3.5344850145459998E-3</v>
      </c>
      <c r="R40" s="90">
        <f t="shared" si="23"/>
        <v>6.1415347388277062E-3</v>
      </c>
      <c r="S40" s="90">
        <f t="shared" si="23"/>
        <v>5.2438717018199093E-3</v>
      </c>
      <c r="T40" s="90">
        <f t="shared" si="23"/>
        <v>3.7312774999345866E-3</v>
      </c>
      <c r="U40" s="144">
        <f t="shared" si="23"/>
        <v>2.6232994482448227E-3</v>
      </c>
      <c r="V40" s="90">
        <f t="shared" si="23"/>
        <v>4.9651409536910565E-3</v>
      </c>
      <c r="W40" s="90">
        <f t="shared" si="23"/>
        <v>4.1805510820428935E-3</v>
      </c>
      <c r="X40" s="90">
        <f t="shared" si="23"/>
        <v>3.0678604678971194E-3</v>
      </c>
      <c r="Y40" s="144">
        <f t="shared" si="23"/>
        <v>2.2592100019505471E-3</v>
      </c>
      <c r="Z40" s="93"/>
      <c r="AA40" s="93"/>
      <c r="AB40" s="94"/>
      <c r="AC40" s="94"/>
      <c r="AD40" s="94"/>
      <c r="AE40" s="94"/>
      <c r="AF40" s="90">
        <f t="shared" ref="AF40:AO40" si="24">+AF20/AF$12</f>
        <v>3.0723774003942828E-2</v>
      </c>
      <c r="AG40" s="90">
        <f t="shared" si="24"/>
        <v>2.6745061988340757E-2</v>
      </c>
      <c r="AH40" s="90">
        <f t="shared" si="24"/>
        <v>7.6554076863626905E-2</v>
      </c>
      <c r="AI40" s="90">
        <f t="shared" si="24"/>
        <v>5.6462840516034528E-2</v>
      </c>
      <c r="AJ40" s="90">
        <f t="shared" si="24"/>
        <v>2.3757567427784003E-2</v>
      </c>
      <c r="AK40" s="90">
        <f t="shared" si="24"/>
        <v>1.4019377214637828E-2</v>
      </c>
      <c r="AL40" s="90">
        <f t="shared" si="24"/>
        <v>7.1002778526816817E-3</v>
      </c>
      <c r="AM40" s="90">
        <f t="shared" si="24"/>
        <v>6.1944749777401572E-3</v>
      </c>
      <c r="AN40" s="90">
        <f t="shared" si="24"/>
        <v>4.2913268872817392E-3</v>
      </c>
      <c r="AO40" s="90">
        <f t="shared" si="24"/>
        <v>3.5347451641157997E-3</v>
      </c>
      <c r="AP40" s="374"/>
    </row>
    <row r="41" spans="1:58" x14ac:dyDescent="0.4">
      <c r="A41" s="335"/>
      <c r="B41" s="90"/>
      <c r="C41" s="90"/>
      <c r="D41" s="90"/>
      <c r="E41" s="144"/>
      <c r="F41" s="90"/>
      <c r="G41" s="90"/>
      <c r="H41" s="90"/>
      <c r="I41" s="144"/>
      <c r="J41" s="90"/>
      <c r="K41" s="90"/>
      <c r="L41" s="90"/>
      <c r="M41" s="144"/>
      <c r="N41" s="90"/>
      <c r="O41" s="90"/>
      <c r="P41" s="90"/>
      <c r="Q41" s="144"/>
      <c r="R41" s="90"/>
      <c r="S41" s="90"/>
      <c r="T41" s="90"/>
      <c r="U41" s="144"/>
      <c r="V41" s="90"/>
      <c r="W41" s="90"/>
      <c r="X41" s="90"/>
      <c r="Y41" s="144"/>
      <c r="Z41" s="93"/>
      <c r="AA41" s="93"/>
      <c r="AB41" s="94"/>
      <c r="AC41" s="94"/>
      <c r="AD41" s="94"/>
      <c r="AE41" s="94"/>
      <c r="AF41" s="94"/>
      <c r="AG41" s="94"/>
      <c r="AH41" s="90"/>
      <c r="AI41" s="90"/>
      <c r="AJ41" s="90"/>
      <c r="AK41" s="90"/>
      <c r="AL41" s="90"/>
      <c r="AM41" s="90"/>
      <c r="AN41" s="90"/>
      <c r="AO41" s="90"/>
      <c r="AP41" s="335"/>
    </row>
    <row r="42" spans="1:58" x14ac:dyDescent="0.4">
      <c r="A42" s="335"/>
      <c r="B42" s="94"/>
      <c r="C42" s="94"/>
      <c r="D42" s="94"/>
      <c r="E42" s="130"/>
      <c r="F42" s="94"/>
      <c r="G42" s="94"/>
      <c r="H42" s="94"/>
      <c r="I42" s="130"/>
      <c r="J42" s="90"/>
      <c r="K42" s="94"/>
      <c r="L42" s="94"/>
      <c r="M42" s="130"/>
      <c r="N42" s="94"/>
      <c r="O42" s="94"/>
      <c r="P42" s="94"/>
      <c r="Q42" s="130"/>
      <c r="R42" s="94"/>
      <c r="S42" s="94"/>
      <c r="T42" s="94"/>
      <c r="U42" s="130"/>
      <c r="V42" s="94"/>
      <c r="W42" s="94"/>
      <c r="X42" s="94"/>
      <c r="Y42" s="130"/>
      <c r="Z42" s="93"/>
      <c r="AA42" s="93"/>
      <c r="AB42" s="93"/>
      <c r="AC42" s="93"/>
      <c r="AD42" s="93"/>
      <c r="AE42" s="192"/>
      <c r="AF42" s="90"/>
      <c r="AG42" s="90"/>
      <c r="AH42" s="90"/>
      <c r="AI42" s="125"/>
      <c r="AJ42" s="125"/>
      <c r="AK42" s="125"/>
      <c r="AL42" s="125"/>
      <c r="AM42" s="125"/>
      <c r="AN42" s="125"/>
      <c r="AO42" s="125"/>
      <c r="AP42" s="374"/>
      <c r="BB42" s="376"/>
      <c r="BC42" s="376"/>
      <c r="BD42" s="376"/>
      <c r="BE42" s="376"/>
      <c r="BF42" s="376"/>
    </row>
    <row r="43" spans="1:58" outlineLevel="1" x14ac:dyDescent="0.4">
      <c r="A43" s="317" t="s">
        <v>273</v>
      </c>
      <c r="B43" s="377"/>
      <c r="C43" s="377"/>
      <c r="D43" s="377"/>
      <c r="E43" s="378"/>
      <c r="F43" s="377"/>
      <c r="G43" s="377"/>
      <c r="H43" s="377"/>
      <c r="I43" s="378"/>
      <c r="J43" s="377"/>
      <c r="K43" s="377"/>
      <c r="L43" s="377"/>
      <c r="M43" s="378"/>
      <c r="N43" s="377"/>
      <c r="O43" s="377"/>
      <c r="P43" s="377"/>
      <c r="Q43" s="378"/>
      <c r="R43" s="377"/>
      <c r="S43" s="377"/>
      <c r="T43" s="377"/>
      <c r="U43" s="378"/>
      <c r="V43" s="377"/>
      <c r="W43" s="377"/>
      <c r="X43" s="377"/>
      <c r="Y43" s="378"/>
      <c r="Z43" s="70"/>
      <c r="AA43" s="70"/>
      <c r="AB43" s="317"/>
      <c r="AC43" s="317"/>
      <c r="AD43" s="317"/>
      <c r="AE43" s="377"/>
      <c r="AF43" s="377"/>
      <c r="AG43" s="377"/>
      <c r="AH43" s="379"/>
      <c r="AI43" s="377"/>
      <c r="AJ43" s="380">
        <v>2022</v>
      </c>
      <c r="AK43" s="380">
        <v>2023</v>
      </c>
      <c r="AL43" s="380">
        <v>2024</v>
      </c>
      <c r="AM43" s="380" t="s">
        <v>253</v>
      </c>
      <c r="AN43" s="380" t="s">
        <v>254</v>
      </c>
      <c r="AO43" s="380" t="str">
        <f>+AO3</f>
        <v>2027E</v>
      </c>
      <c r="AP43" s="317"/>
      <c r="BC43" s="376"/>
      <c r="BD43" s="376"/>
      <c r="BE43" s="376"/>
      <c r="BF43" s="376"/>
    </row>
    <row r="44" spans="1:58" outlineLevel="1" x14ac:dyDescent="0.4">
      <c r="A44" s="346" t="s">
        <v>274</v>
      </c>
      <c r="B44" s="381">
        <f>+SUM(B45:B53)</f>
        <v>2002.9099999999999</v>
      </c>
      <c r="C44" s="381">
        <f t="shared" ref="C44:Y44" si="25">+SUM(C45:C53)</f>
        <v>2084.81</v>
      </c>
      <c r="D44" s="381">
        <f t="shared" si="25"/>
        <v>2597.8793749999995</v>
      </c>
      <c r="E44" s="382">
        <f t="shared" si="25"/>
        <v>2728.6131249999999</v>
      </c>
      <c r="F44" s="381">
        <f t="shared" si="25"/>
        <v>1791.6957849999999</v>
      </c>
      <c r="G44" s="381">
        <f t="shared" si="25"/>
        <v>2120.5015937499998</v>
      </c>
      <c r="H44" s="381">
        <f t="shared" si="25"/>
        <v>2988.0046374999997</v>
      </c>
      <c r="I44" s="382">
        <f t="shared" si="25"/>
        <v>3667.5229875000005</v>
      </c>
      <c r="J44" s="381">
        <f t="shared" si="25"/>
        <v>4802.0930542187498</v>
      </c>
      <c r="K44" s="381">
        <f t="shared" si="25"/>
        <v>5914.4670542187505</v>
      </c>
      <c r="L44" s="381">
        <f t="shared" si="25"/>
        <v>6464.4608328124996</v>
      </c>
      <c r="M44" s="382">
        <f t="shared" si="25"/>
        <v>6511.7108328124996</v>
      </c>
      <c r="N44" s="381">
        <f t="shared" si="25"/>
        <v>6607.7372497851566</v>
      </c>
      <c r="O44" s="381">
        <f t="shared" si="25"/>
        <v>8051.6649515078125</v>
      </c>
      <c r="P44" s="381">
        <f t="shared" si="25"/>
        <v>9495.3859515078129</v>
      </c>
      <c r="Q44" s="382">
        <f t="shared" si="25"/>
        <v>10670.101951507813</v>
      </c>
      <c r="R44" s="381">
        <f t="shared" si="25"/>
        <v>10751.579428932422</v>
      </c>
      <c r="S44" s="381">
        <f t="shared" si="25"/>
        <v>11995.299428932422</v>
      </c>
      <c r="T44" s="381">
        <f t="shared" si="25"/>
        <v>13229.23012893242</v>
      </c>
      <c r="U44" s="382">
        <f t="shared" si="25"/>
        <v>14389.436628932421</v>
      </c>
      <c r="V44" s="381">
        <f t="shared" si="25"/>
        <v>13314.6989949858</v>
      </c>
      <c r="W44" s="381">
        <f t="shared" si="25"/>
        <v>15062.3799043608</v>
      </c>
      <c r="X44" s="381">
        <f t="shared" si="25"/>
        <v>15399.931904360799</v>
      </c>
      <c r="Y44" s="382">
        <f t="shared" si="25"/>
        <v>15312.906779360797</v>
      </c>
      <c r="Z44" s="122"/>
      <c r="AA44" s="122"/>
      <c r="AB44" s="122"/>
      <c r="AC44" s="122"/>
      <c r="AD44" s="122"/>
      <c r="AE44" s="122"/>
      <c r="AF44" s="381">
        <f>+SUM(AF45:AF52)</f>
        <v>4997.8928065</v>
      </c>
      <c r="AG44" s="381">
        <f>+SUM(AG45:AG52)</f>
        <v>4630.4326564399998</v>
      </c>
      <c r="AH44" s="381">
        <f>+SUM(AH45:AH52)</f>
        <v>6509.9152611200007</v>
      </c>
      <c r="AI44" s="381">
        <f>+SUM(AI45:AI52)</f>
        <v>7260.9003914399991</v>
      </c>
      <c r="AJ44" s="381">
        <f>+SUM(AJ45:AJ52)</f>
        <v>9412.7291767999995</v>
      </c>
      <c r="AK44" s="381">
        <f>+SUM(AK45:AK53)</f>
        <v>10567.72500375</v>
      </c>
      <c r="AL44" s="381">
        <f>+SUM(AL45:AL53)</f>
        <v>23692.7317740625</v>
      </c>
      <c r="AM44" s="381">
        <f>+SUM(AM45:AM53)</f>
        <v>34824.890104308593</v>
      </c>
      <c r="AN44" s="381">
        <f>+SUM(AN45:AN53)</f>
        <v>50365.545615729687</v>
      </c>
      <c r="AO44" s="381">
        <f>+SUM(AO45:AO54)</f>
        <v>61192.317583068201</v>
      </c>
      <c r="AP44" s="383"/>
    </row>
    <row r="45" spans="1:58" outlineLevel="1" x14ac:dyDescent="0.4">
      <c r="A45" s="205" t="s">
        <v>262</v>
      </c>
      <c r="B45" s="73">
        <f t="shared" ref="B45:Y53" si="26">+B60*B106</f>
        <v>162.4</v>
      </c>
      <c r="C45" s="73">
        <f t="shared" si="26"/>
        <v>182.70000000000002</v>
      </c>
      <c r="D45" s="73">
        <f t="shared" si="26"/>
        <v>182.70000000000002</v>
      </c>
      <c r="E45" s="108">
        <f t="shared" si="26"/>
        <v>140.07</v>
      </c>
      <c r="F45" s="73">
        <f t="shared" si="26"/>
        <v>156.31</v>
      </c>
      <c r="G45" s="73">
        <f t="shared" si="26"/>
        <v>178.64000000000001</v>
      </c>
      <c r="H45" s="73">
        <f t="shared" si="26"/>
        <v>156.31</v>
      </c>
      <c r="I45" s="108">
        <f t="shared" si="26"/>
        <v>156.19835</v>
      </c>
      <c r="J45" s="73">
        <f t="shared" si="26"/>
        <v>171.941</v>
      </c>
      <c r="K45" s="73">
        <f t="shared" si="26"/>
        <v>171.941</v>
      </c>
      <c r="L45" s="73">
        <f t="shared" si="26"/>
        <v>171.941</v>
      </c>
      <c r="M45" s="108">
        <f t="shared" si="26"/>
        <v>171.941</v>
      </c>
      <c r="N45" s="73">
        <f t="shared" si="26"/>
        <v>147.37800000000001</v>
      </c>
      <c r="O45" s="73">
        <f t="shared" si="26"/>
        <v>147.37800000000001</v>
      </c>
      <c r="P45" s="73">
        <f t="shared" si="26"/>
        <v>147.37800000000001</v>
      </c>
      <c r="Q45" s="108">
        <f t="shared" si="26"/>
        <v>147.37800000000001</v>
      </c>
      <c r="R45" s="73">
        <f t="shared" si="26"/>
        <v>147.37800000000001</v>
      </c>
      <c r="S45" s="73">
        <f t="shared" si="26"/>
        <v>135.09650000000002</v>
      </c>
      <c r="T45" s="73">
        <f t="shared" si="26"/>
        <v>122.81500000000001</v>
      </c>
      <c r="U45" s="108">
        <f t="shared" si="26"/>
        <v>135.09650000000002</v>
      </c>
      <c r="V45" s="73">
        <f t="shared" si="26"/>
        <v>98.25200000000001</v>
      </c>
      <c r="W45" s="73">
        <f t="shared" si="26"/>
        <v>98.25200000000001</v>
      </c>
      <c r="X45" s="73">
        <f t="shared" si="26"/>
        <v>98.25200000000001</v>
      </c>
      <c r="Y45" s="108">
        <f t="shared" si="26"/>
        <v>98.25200000000001</v>
      </c>
      <c r="Z45" s="122"/>
      <c r="AA45" s="122"/>
      <c r="AB45" s="122"/>
      <c r="AC45" s="122"/>
      <c r="AD45" s="122"/>
      <c r="AE45" s="122"/>
      <c r="AF45" s="73">
        <f>+AF119</f>
        <v>1248.7628064999999</v>
      </c>
      <c r="AG45" s="73">
        <f>+AG119</f>
        <v>1029.8326564399999</v>
      </c>
      <c r="AH45" s="73">
        <f>+AH119</f>
        <v>501.58826112000003</v>
      </c>
      <c r="AI45" s="73">
        <f>+AI119</f>
        <v>897.05834144000005</v>
      </c>
      <c r="AJ45" s="73">
        <f>+AJ119</f>
        <v>666.38667680000003</v>
      </c>
      <c r="AK45" s="73">
        <f t="shared" ref="AK45:AK52" si="27">SUM(F45:I45)</f>
        <v>647.45835000000011</v>
      </c>
      <c r="AL45" s="73">
        <f t="shared" ref="AL45:AL52" si="28">SUM(J45:M45)</f>
        <v>687.76400000000001</v>
      </c>
      <c r="AM45" s="73">
        <f t="shared" ref="AM45:AM53" si="29">SUM(N45:Q45)</f>
        <v>589.51200000000006</v>
      </c>
      <c r="AN45" s="73">
        <f t="shared" ref="AN45:AN52" si="30">SUM(R45:U45)</f>
        <v>540.38600000000008</v>
      </c>
      <c r="AO45" s="73">
        <f t="shared" ref="AO45:AO52" si="31">SUM(V45:Y45)</f>
        <v>393.00800000000004</v>
      </c>
      <c r="AP45" s="383"/>
    </row>
    <row r="46" spans="1:58" ht="13.5" customHeight="1" outlineLevel="1" x14ac:dyDescent="0.4">
      <c r="A46" s="205" t="s">
        <v>263</v>
      </c>
      <c r="B46" s="73">
        <f t="shared" si="26"/>
        <v>1153.1099999999999</v>
      </c>
      <c r="C46" s="73">
        <f t="shared" si="26"/>
        <v>1153.1099999999999</v>
      </c>
      <c r="D46" s="73">
        <f t="shared" si="26"/>
        <v>1225.1793749999997</v>
      </c>
      <c r="E46" s="108">
        <f t="shared" si="26"/>
        <v>792.7631249999996</v>
      </c>
      <c r="F46" s="73">
        <f t="shared" si="26"/>
        <v>799.68178499999999</v>
      </c>
      <c r="G46" s="73">
        <f t="shared" si="26"/>
        <v>714.00159374999987</v>
      </c>
      <c r="H46" s="73">
        <f t="shared" si="26"/>
        <v>285.6006375</v>
      </c>
      <c r="I46" s="108">
        <f t="shared" si="26"/>
        <v>285.6006375</v>
      </c>
      <c r="J46" s="73">
        <f t="shared" si="26"/>
        <v>203.49045421874996</v>
      </c>
      <c r="K46" s="73">
        <f t="shared" si="26"/>
        <v>203.49045421874996</v>
      </c>
      <c r="L46" s="73">
        <f t="shared" si="26"/>
        <v>195.12783281249995</v>
      </c>
      <c r="M46" s="108">
        <f t="shared" si="26"/>
        <v>195.12783281249995</v>
      </c>
      <c r="N46" s="73">
        <f t="shared" si="26"/>
        <v>191.99184978515621</v>
      </c>
      <c r="O46" s="73">
        <f t="shared" si="26"/>
        <v>193.31593150781245</v>
      </c>
      <c r="P46" s="73">
        <f t="shared" si="26"/>
        <v>193.31593150781245</v>
      </c>
      <c r="Q46" s="108">
        <f t="shared" si="26"/>
        <v>193.31593150781245</v>
      </c>
      <c r="R46" s="73">
        <f t="shared" si="26"/>
        <v>183.65013493242182</v>
      </c>
      <c r="S46" s="73">
        <f t="shared" si="26"/>
        <v>183.65013493242182</v>
      </c>
      <c r="T46" s="73">
        <f t="shared" si="26"/>
        <v>183.65013493242182</v>
      </c>
      <c r="U46" s="108">
        <f t="shared" si="26"/>
        <v>183.65013493242182</v>
      </c>
      <c r="V46" s="73">
        <f t="shared" si="26"/>
        <v>174.46762818580072</v>
      </c>
      <c r="W46" s="73">
        <f t="shared" si="26"/>
        <v>174.46762818580072</v>
      </c>
      <c r="X46" s="73">
        <f t="shared" si="26"/>
        <v>174.46762818580072</v>
      </c>
      <c r="Y46" s="108">
        <f t="shared" si="26"/>
        <v>174.46762818580072</v>
      </c>
      <c r="Z46" s="122"/>
      <c r="AA46" s="122"/>
      <c r="AB46" s="122"/>
      <c r="AC46" s="122"/>
      <c r="AD46" s="122"/>
      <c r="AE46" s="122"/>
      <c r="AF46" s="73">
        <f t="shared" ref="AF46:AI49" si="32">+AF61*AF107</f>
        <v>3749.13</v>
      </c>
      <c r="AG46" s="73">
        <f t="shared" si="32"/>
        <v>3600.6</v>
      </c>
      <c r="AH46" s="73">
        <f t="shared" si="32"/>
        <v>5705.7269999999999</v>
      </c>
      <c r="AI46" s="73">
        <f t="shared" si="32"/>
        <v>4140.9220499999992</v>
      </c>
      <c r="AJ46" s="73">
        <f>SUM(B46:E46)</f>
        <v>4324.1624999999995</v>
      </c>
      <c r="AK46" s="73">
        <f t="shared" si="27"/>
        <v>2084.8846537499999</v>
      </c>
      <c r="AL46" s="73">
        <f t="shared" si="28"/>
        <v>797.23657406249981</v>
      </c>
      <c r="AM46" s="73">
        <f t="shared" si="29"/>
        <v>771.93964430859364</v>
      </c>
      <c r="AN46" s="73">
        <f t="shared" si="30"/>
        <v>734.60053972968728</v>
      </c>
      <c r="AO46" s="73">
        <f t="shared" si="31"/>
        <v>697.87051274320288</v>
      </c>
      <c r="AP46" s="383"/>
    </row>
    <row r="47" spans="1:58" ht="13.5" customHeight="1" outlineLevel="1" x14ac:dyDescent="0.4">
      <c r="A47" s="205" t="s">
        <v>264</v>
      </c>
      <c r="B47" s="73">
        <f t="shared" si="26"/>
        <v>323.39999999999998</v>
      </c>
      <c r="C47" s="73">
        <f t="shared" si="26"/>
        <v>384.99999999999994</v>
      </c>
      <c r="D47" s="73">
        <f t="shared" si="26"/>
        <v>461.99999999999989</v>
      </c>
      <c r="E47" s="108">
        <f t="shared" si="26"/>
        <v>523.6</v>
      </c>
      <c r="F47" s="73">
        <f t="shared" si="26"/>
        <v>375.80400000000003</v>
      </c>
      <c r="G47" s="73">
        <f t="shared" si="26"/>
        <v>216.81</v>
      </c>
      <c r="H47" s="73">
        <f t="shared" si="26"/>
        <v>86.724000000000004</v>
      </c>
      <c r="I47" s="108">
        <f t="shared" si="26"/>
        <v>86.724000000000004</v>
      </c>
      <c r="J47" s="73">
        <f t="shared" si="26"/>
        <v>78.051599999999993</v>
      </c>
      <c r="K47" s="73">
        <f t="shared" si="26"/>
        <v>78.051599999999993</v>
      </c>
      <c r="L47" s="73">
        <f t="shared" si="26"/>
        <v>99.792000000000016</v>
      </c>
      <c r="M47" s="108">
        <f t="shared" si="26"/>
        <v>99.792000000000016</v>
      </c>
      <c r="N47" s="73">
        <f t="shared" si="26"/>
        <v>73.641149999999996</v>
      </c>
      <c r="O47" s="73">
        <f t="shared" si="26"/>
        <v>74.149019999999993</v>
      </c>
      <c r="P47" s="73">
        <f t="shared" si="26"/>
        <v>74.149019999999993</v>
      </c>
      <c r="Q47" s="108">
        <f t="shared" si="26"/>
        <v>74.149019999999993</v>
      </c>
      <c r="R47" s="73">
        <f t="shared" si="26"/>
        <v>70.441569000000001</v>
      </c>
      <c r="S47" s="73">
        <f t="shared" si="26"/>
        <v>70.441569000000001</v>
      </c>
      <c r="T47" s="73">
        <f t="shared" si="26"/>
        <v>70.441569000000001</v>
      </c>
      <c r="U47" s="108">
        <f t="shared" si="26"/>
        <v>70.441569000000001</v>
      </c>
      <c r="V47" s="73">
        <f t="shared" si="26"/>
        <v>66.919490550000006</v>
      </c>
      <c r="W47" s="73">
        <f t="shared" si="26"/>
        <v>66.919490550000006</v>
      </c>
      <c r="X47" s="73">
        <f t="shared" si="26"/>
        <v>66.919490550000006</v>
      </c>
      <c r="Y47" s="108">
        <f t="shared" si="26"/>
        <v>66.919490550000006</v>
      </c>
      <c r="Z47" s="122"/>
      <c r="AA47" s="122"/>
      <c r="AB47" s="122"/>
      <c r="AC47" s="122"/>
      <c r="AD47" s="122"/>
      <c r="AE47" s="122"/>
      <c r="AF47" s="73">
        <f t="shared" si="32"/>
        <v>0</v>
      </c>
      <c r="AG47" s="73">
        <f t="shared" si="32"/>
        <v>0</v>
      </c>
      <c r="AH47" s="73">
        <f t="shared" si="32"/>
        <v>30.599999999999998</v>
      </c>
      <c r="AI47" s="73">
        <f t="shared" si="32"/>
        <v>1003</v>
      </c>
      <c r="AJ47" s="73">
        <f>SUM(B47:E47)</f>
        <v>1693.9999999999995</v>
      </c>
      <c r="AK47" s="73">
        <f t="shared" si="27"/>
        <v>766.06200000000013</v>
      </c>
      <c r="AL47" s="73">
        <f t="shared" si="28"/>
        <v>355.68720000000002</v>
      </c>
      <c r="AM47" s="73">
        <f t="shared" si="29"/>
        <v>296.08821</v>
      </c>
      <c r="AN47" s="73">
        <f t="shared" si="30"/>
        <v>281.766276</v>
      </c>
      <c r="AO47" s="73">
        <f t="shared" si="31"/>
        <v>267.67796220000002</v>
      </c>
      <c r="AP47" s="383"/>
    </row>
    <row r="48" spans="1:58" ht="13.5" customHeight="1" outlineLevel="1" x14ac:dyDescent="0.4">
      <c r="A48" s="205" t="s">
        <v>265</v>
      </c>
      <c r="B48" s="73">
        <f t="shared" si="26"/>
        <v>364</v>
      </c>
      <c r="C48" s="73">
        <f t="shared" si="26"/>
        <v>364</v>
      </c>
      <c r="D48" s="73">
        <f t="shared" si="26"/>
        <v>728</v>
      </c>
      <c r="E48" s="108">
        <f t="shared" si="26"/>
        <v>1272.18</v>
      </c>
      <c r="F48" s="73">
        <f t="shared" si="26"/>
        <v>459.9</v>
      </c>
      <c r="G48" s="73">
        <f t="shared" si="26"/>
        <v>459.9</v>
      </c>
      <c r="H48" s="73">
        <f t="shared" si="26"/>
        <v>613.20000000000005</v>
      </c>
      <c r="I48" s="108">
        <f t="shared" si="26"/>
        <v>613.20000000000005</v>
      </c>
      <c r="J48" s="73">
        <f t="shared" si="26"/>
        <v>893.52</v>
      </c>
      <c r="K48" s="73">
        <f t="shared" si="26"/>
        <v>1518.9839999999999</v>
      </c>
      <c r="L48" s="73">
        <f t="shared" si="26"/>
        <v>1713.6000000000001</v>
      </c>
      <c r="M48" s="108">
        <f t="shared" si="26"/>
        <v>1713.6000000000001</v>
      </c>
      <c r="N48" s="73">
        <f t="shared" si="26"/>
        <v>1597.3200000000004</v>
      </c>
      <c r="O48" s="384">
        <f t="shared" ref="O48:Y53" si="33">+O63*O109-O188</f>
        <v>1206.2520000000002</v>
      </c>
      <c r="P48" s="384">
        <f t="shared" si="33"/>
        <v>804.16800000000012</v>
      </c>
      <c r="Q48" s="385">
        <f t="shared" si="33"/>
        <v>402.08400000000006</v>
      </c>
      <c r="R48" s="384">
        <f t="shared" si="33"/>
        <v>361.87560000000008</v>
      </c>
      <c r="S48" s="384">
        <f t="shared" si="33"/>
        <v>361.87560000000008</v>
      </c>
      <c r="T48" s="384">
        <f t="shared" si="33"/>
        <v>180.93780000000004</v>
      </c>
      <c r="U48" s="385">
        <f t="shared" si="33"/>
        <v>180.93780000000004</v>
      </c>
      <c r="V48" s="384">
        <f t="shared" si="33"/>
        <v>162.84402000000003</v>
      </c>
      <c r="W48" s="384">
        <f t="shared" si="33"/>
        <v>162.84402000000003</v>
      </c>
      <c r="X48" s="384">
        <f t="shared" si="33"/>
        <v>162.84402000000003</v>
      </c>
      <c r="Y48" s="385">
        <f t="shared" si="33"/>
        <v>162.84402000000003</v>
      </c>
      <c r="Z48" s="122"/>
      <c r="AA48" s="122"/>
      <c r="AB48" s="122"/>
      <c r="AC48" s="122"/>
      <c r="AD48" s="122"/>
      <c r="AE48" s="122"/>
      <c r="AF48" s="73">
        <f t="shared" si="32"/>
        <v>0</v>
      </c>
      <c r="AG48" s="73">
        <f t="shared" si="32"/>
        <v>0</v>
      </c>
      <c r="AH48" s="73">
        <f t="shared" si="32"/>
        <v>272</v>
      </c>
      <c r="AI48" s="73">
        <f t="shared" si="32"/>
        <v>1219.92</v>
      </c>
      <c r="AJ48" s="73">
        <f>+AJ63*AJ109</f>
        <v>2728.1800000000003</v>
      </c>
      <c r="AK48" s="73">
        <f t="shared" si="27"/>
        <v>2146.1999999999998</v>
      </c>
      <c r="AL48" s="73">
        <f t="shared" si="28"/>
        <v>5839.7040000000006</v>
      </c>
      <c r="AM48" s="73">
        <f t="shared" si="29"/>
        <v>4009.8240000000005</v>
      </c>
      <c r="AN48" s="73">
        <f t="shared" si="30"/>
        <v>1085.6268000000002</v>
      </c>
      <c r="AO48" s="73">
        <f t="shared" si="31"/>
        <v>651.37608000000012</v>
      </c>
      <c r="AP48" s="383"/>
    </row>
    <row r="49" spans="1:44" ht="13.5" customHeight="1" outlineLevel="1" x14ac:dyDescent="0.4">
      <c r="A49" s="205" t="s">
        <v>275</v>
      </c>
      <c r="B49" s="73">
        <f t="shared" si="26"/>
        <v>0</v>
      </c>
      <c r="C49" s="73">
        <f t="shared" si="26"/>
        <v>0</v>
      </c>
      <c r="D49" s="73">
        <f t="shared" si="26"/>
        <v>0</v>
      </c>
      <c r="E49" s="108">
        <f t="shared" si="26"/>
        <v>0</v>
      </c>
      <c r="F49" s="73">
        <f t="shared" si="26"/>
        <v>0</v>
      </c>
      <c r="G49" s="73">
        <f t="shared" si="26"/>
        <v>321.20000000000005</v>
      </c>
      <c r="H49" s="73">
        <f t="shared" si="26"/>
        <v>1156.32</v>
      </c>
      <c r="I49" s="108">
        <f t="shared" si="26"/>
        <v>1606</v>
      </c>
      <c r="J49" s="73">
        <f t="shared" si="26"/>
        <v>1767.3299999999997</v>
      </c>
      <c r="K49" s="73">
        <f t="shared" si="26"/>
        <v>2628</v>
      </c>
      <c r="L49" s="73">
        <f t="shared" si="26"/>
        <v>3024</v>
      </c>
      <c r="M49" s="108">
        <f t="shared" si="26"/>
        <v>3150</v>
      </c>
      <c r="N49" s="73">
        <f>+N64*N110</f>
        <v>3099.375</v>
      </c>
      <c r="O49" s="384">
        <f t="shared" si="33"/>
        <v>2792.25</v>
      </c>
      <c r="P49" s="384">
        <f t="shared" si="33"/>
        <v>2978.4</v>
      </c>
      <c r="Q49" s="385">
        <f t="shared" si="33"/>
        <v>3350.7000000000003</v>
      </c>
      <c r="R49" s="384">
        <f t="shared" si="33"/>
        <v>3611.31</v>
      </c>
      <c r="S49" s="384">
        <f t="shared" si="33"/>
        <v>3164.5499999999997</v>
      </c>
      <c r="T49" s="384">
        <f t="shared" si="33"/>
        <v>3164.5499999999997</v>
      </c>
      <c r="U49" s="385">
        <f t="shared" si="33"/>
        <v>3164.5499999999997</v>
      </c>
      <c r="V49" s="384">
        <f t="shared" si="33"/>
        <v>3101.259</v>
      </c>
      <c r="W49" s="384">
        <f t="shared" si="33"/>
        <v>2420.8807499999998</v>
      </c>
      <c r="X49" s="384">
        <f t="shared" si="33"/>
        <v>1882.9072499999997</v>
      </c>
      <c r="Y49" s="385">
        <f t="shared" si="33"/>
        <v>1344.9337499999999</v>
      </c>
      <c r="Z49" s="122"/>
      <c r="AA49" s="122"/>
      <c r="AB49" s="122"/>
      <c r="AC49" s="122"/>
      <c r="AD49" s="122"/>
      <c r="AE49" s="122"/>
      <c r="AF49" s="73">
        <f t="shared" si="32"/>
        <v>0</v>
      </c>
      <c r="AG49" s="73">
        <f t="shared" si="32"/>
        <v>0</v>
      </c>
      <c r="AH49" s="73">
        <f t="shared" si="32"/>
        <v>0</v>
      </c>
      <c r="AI49" s="73">
        <f t="shared" si="32"/>
        <v>0</v>
      </c>
      <c r="AJ49" s="73">
        <f>+AJ64*AJ110</f>
        <v>0</v>
      </c>
      <c r="AK49" s="73">
        <f t="shared" si="27"/>
        <v>3083.52</v>
      </c>
      <c r="AL49" s="73">
        <f t="shared" si="28"/>
        <v>10569.33</v>
      </c>
      <c r="AM49" s="73">
        <f t="shared" si="29"/>
        <v>12220.725</v>
      </c>
      <c r="AN49" s="73">
        <f t="shared" si="30"/>
        <v>13104.96</v>
      </c>
      <c r="AO49" s="73">
        <f t="shared" si="31"/>
        <v>8749.9807500000006</v>
      </c>
      <c r="AP49" s="383"/>
    </row>
    <row r="50" spans="1:44" ht="13.5" customHeight="1" outlineLevel="1" x14ac:dyDescent="0.4">
      <c r="A50" s="205" t="s">
        <v>276</v>
      </c>
      <c r="B50" s="73"/>
      <c r="C50" s="73"/>
      <c r="D50" s="73"/>
      <c r="E50" s="108"/>
      <c r="F50" s="73"/>
      <c r="G50" s="73"/>
      <c r="H50" s="73"/>
      <c r="I50" s="108"/>
      <c r="J50" s="73"/>
      <c r="K50" s="73"/>
      <c r="L50" s="73">
        <f t="shared" si="26"/>
        <v>0</v>
      </c>
      <c r="M50" s="108">
        <f t="shared" si="26"/>
        <v>0</v>
      </c>
      <c r="N50" s="73">
        <f t="shared" si="26"/>
        <v>378.8125</v>
      </c>
      <c r="O50" s="384">
        <f t="shared" si="33"/>
        <v>2956.5</v>
      </c>
      <c r="P50" s="384">
        <f t="shared" si="33"/>
        <v>3285</v>
      </c>
      <c r="Q50" s="385">
        <f t="shared" si="33"/>
        <v>3449.25</v>
      </c>
      <c r="R50" s="384">
        <f t="shared" si="33"/>
        <v>3432.8250000000003</v>
      </c>
      <c r="S50" s="384">
        <f t="shared" si="33"/>
        <v>3629.9250000000002</v>
      </c>
      <c r="T50" s="384">
        <f t="shared" si="33"/>
        <v>4467.6000000000004</v>
      </c>
      <c r="U50" s="385">
        <f t="shared" si="33"/>
        <v>5026.05</v>
      </c>
      <c r="V50" s="384">
        <f t="shared" si="33"/>
        <v>3713.6924999999997</v>
      </c>
      <c r="W50" s="384">
        <f t="shared" si="33"/>
        <v>2373.4124999999999</v>
      </c>
      <c r="X50" s="384">
        <f t="shared" si="33"/>
        <v>1898.73</v>
      </c>
      <c r="Y50" s="385">
        <f t="shared" si="33"/>
        <v>1424.0474999999999</v>
      </c>
      <c r="Z50" s="122"/>
      <c r="AA50" s="122"/>
      <c r="AB50" s="122"/>
      <c r="AC50" s="122"/>
      <c r="AD50" s="122"/>
      <c r="AE50" s="122"/>
      <c r="AF50" s="73"/>
      <c r="AG50" s="73"/>
      <c r="AH50" s="73"/>
      <c r="AI50" s="73"/>
      <c r="AJ50" s="73"/>
      <c r="AK50" s="73">
        <f>SUM(F50:I50)</f>
        <v>0</v>
      </c>
      <c r="AL50" s="73">
        <f>SUM(J50:M50)</f>
        <v>0</v>
      </c>
      <c r="AM50" s="73">
        <f t="shared" si="29"/>
        <v>10069.5625</v>
      </c>
      <c r="AN50" s="73">
        <f>SUM(R50:U50)</f>
        <v>16556.400000000001</v>
      </c>
      <c r="AO50" s="73">
        <f>SUM(V50:Y50)</f>
        <v>9409.8824999999997</v>
      </c>
      <c r="AP50" s="383"/>
    </row>
    <row r="51" spans="1:44" ht="13.5" customHeight="1" outlineLevel="1" x14ac:dyDescent="0.4">
      <c r="A51" s="205" t="s">
        <v>277</v>
      </c>
      <c r="B51" s="73">
        <f t="shared" ref="B51:K53" si="34">+B66*B112</f>
        <v>0</v>
      </c>
      <c r="C51" s="73">
        <f t="shared" si="34"/>
        <v>0</v>
      </c>
      <c r="D51" s="73">
        <f t="shared" si="34"/>
        <v>0</v>
      </c>
      <c r="E51" s="108">
        <f t="shared" si="34"/>
        <v>0</v>
      </c>
      <c r="F51" s="73">
        <f t="shared" si="34"/>
        <v>0</v>
      </c>
      <c r="G51" s="73">
        <f t="shared" si="34"/>
        <v>229.95000000000002</v>
      </c>
      <c r="H51" s="73">
        <f t="shared" si="34"/>
        <v>689.85</v>
      </c>
      <c r="I51" s="108">
        <f t="shared" si="34"/>
        <v>919.80000000000007</v>
      </c>
      <c r="J51" s="73">
        <f t="shared" si="34"/>
        <v>1687.76</v>
      </c>
      <c r="K51" s="73">
        <f t="shared" si="34"/>
        <v>1314</v>
      </c>
      <c r="L51" s="73">
        <f t="shared" si="26"/>
        <v>1260</v>
      </c>
      <c r="M51" s="108">
        <f t="shared" si="26"/>
        <v>882.00000000000011</v>
      </c>
      <c r="N51" s="73">
        <f t="shared" si="26"/>
        <v>774.84375</v>
      </c>
      <c r="O51" s="384">
        <f t="shared" si="33"/>
        <v>335.07</v>
      </c>
      <c r="P51" s="384">
        <f t="shared" si="33"/>
        <v>279.22500000000002</v>
      </c>
      <c r="Q51" s="385">
        <f t="shared" si="33"/>
        <v>279.22500000000002</v>
      </c>
      <c r="R51" s="384">
        <f t="shared" si="33"/>
        <v>135.42412499999998</v>
      </c>
      <c r="S51" s="384">
        <f t="shared" si="33"/>
        <v>118.670625</v>
      </c>
      <c r="T51" s="384">
        <f t="shared" si="33"/>
        <v>118.670625</v>
      </c>
      <c r="U51" s="385">
        <f t="shared" si="33"/>
        <v>118.670625</v>
      </c>
      <c r="V51" s="384">
        <f t="shared" si="33"/>
        <v>58.14860625</v>
      </c>
      <c r="W51" s="384">
        <f t="shared" si="33"/>
        <v>50.435015624999998</v>
      </c>
      <c r="X51" s="384">
        <f t="shared" si="33"/>
        <v>50.435015624999998</v>
      </c>
      <c r="Y51" s="385">
        <f t="shared" si="33"/>
        <v>50.435015624999998</v>
      </c>
      <c r="Z51" s="122"/>
      <c r="AA51" s="122"/>
      <c r="AB51" s="122"/>
      <c r="AC51" s="122"/>
      <c r="AD51" s="122"/>
      <c r="AE51" s="122"/>
      <c r="AF51" s="73"/>
      <c r="AG51" s="73"/>
      <c r="AH51" s="73"/>
      <c r="AI51" s="73"/>
      <c r="AJ51" s="73"/>
      <c r="AK51" s="73">
        <f>SUM(F51:I51)</f>
        <v>1839.6000000000001</v>
      </c>
      <c r="AL51" s="73">
        <f>SUM(J51:M51)</f>
        <v>5143.76</v>
      </c>
      <c r="AM51" s="73">
        <f t="shared" si="29"/>
        <v>1668.36375</v>
      </c>
      <c r="AN51" s="73">
        <f>SUM(R51:U51)</f>
        <v>491.43599999999992</v>
      </c>
      <c r="AO51" s="73">
        <f>SUM(V51:Y51)</f>
        <v>209.45365312500002</v>
      </c>
      <c r="AP51" s="383"/>
    </row>
    <row r="52" spans="1:44" ht="13.5" customHeight="1" outlineLevel="1" x14ac:dyDescent="0.4">
      <c r="A52" s="205" t="s">
        <v>278</v>
      </c>
      <c r="B52" s="73">
        <f t="shared" si="34"/>
        <v>0</v>
      </c>
      <c r="C52" s="73">
        <f t="shared" si="34"/>
        <v>0</v>
      </c>
      <c r="D52" s="73">
        <f t="shared" si="34"/>
        <v>0</v>
      </c>
      <c r="E52" s="108">
        <f t="shared" si="34"/>
        <v>0</v>
      </c>
      <c r="F52" s="73">
        <f t="shared" si="34"/>
        <v>0</v>
      </c>
      <c r="G52" s="73">
        <f t="shared" si="34"/>
        <v>0</v>
      </c>
      <c r="H52" s="73">
        <f t="shared" si="34"/>
        <v>0</v>
      </c>
      <c r="I52" s="108">
        <f t="shared" si="34"/>
        <v>0</v>
      </c>
      <c r="J52" s="73">
        <f t="shared" si="34"/>
        <v>0</v>
      </c>
      <c r="K52" s="73">
        <f t="shared" si="34"/>
        <v>0</v>
      </c>
      <c r="L52" s="73">
        <f t="shared" si="26"/>
        <v>0</v>
      </c>
      <c r="M52" s="108">
        <f t="shared" si="26"/>
        <v>0</v>
      </c>
      <c r="N52" s="73">
        <f t="shared" si="26"/>
        <v>0</v>
      </c>
      <c r="O52" s="384">
        <f t="shared" si="33"/>
        <v>0</v>
      </c>
      <c r="P52" s="384">
        <f t="shared" si="33"/>
        <v>0</v>
      </c>
      <c r="Q52" s="385">
        <f t="shared" si="33"/>
        <v>0</v>
      </c>
      <c r="R52" s="384">
        <f t="shared" si="33"/>
        <v>0</v>
      </c>
      <c r="S52" s="384">
        <f t="shared" si="33"/>
        <v>794.24</v>
      </c>
      <c r="T52" s="384">
        <f t="shared" si="33"/>
        <v>794.24</v>
      </c>
      <c r="U52" s="385">
        <f t="shared" si="33"/>
        <v>794.24</v>
      </c>
      <c r="V52" s="384">
        <f t="shared" si="33"/>
        <v>1429.6320000000001</v>
      </c>
      <c r="W52" s="384">
        <f t="shared" si="33"/>
        <v>2700.4159999999997</v>
      </c>
      <c r="X52" s="384">
        <f t="shared" si="33"/>
        <v>4050.6239999999993</v>
      </c>
      <c r="Y52" s="385">
        <f t="shared" si="33"/>
        <v>4725.7279999999992</v>
      </c>
      <c r="Z52" s="122"/>
      <c r="AA52" s="122"/>
      <c r="AB52" s="122"/>
      <c r="AC52" s="122"/>
      <c r="AD52" s="122"/>
      <c r="AE52" s="122"/>
      <c r="AF52" s="73">
        <f>+AF67*AF113</f>
        <v>0</v>
      </c>
      <c r="AG52" s="73">
        <f>+AG67*AG113</f>
        <v>0</v>
      </c>
      <c r="AH52" s="73">
        <f>+AH67*AH113</f>
        <v>0</v>
      </c>
      <c r="AI52" s="73">
        <f>+AI67*AI113</f>
        <v>0</v>
      </c>
      <c r="AJ52" s="73">
        <f>+AJ67*AJ113</f>
        <v>0</v>
      </c>
      <c r="AK52" s="73">
        <f t="shared" si="27"/>
        <v>0</v>
      </c>
      <c r="AL52" s="73">
        <f t="shared" si="28"/>
        <v>0</v>
      </c>
      <c r="AM52" s="73">
        <f t="shared" si="29"/>
        <v>0</v>
      </c>
      <c r="AN52" s="73">
        <f t="shared" si="30"/>
        <v>2382.7200000000003</v>
      </c>
      <c r="AO52" s="73">
        <f t="shared" si="31"/>
        <v>12906.399999999998</v>
      </c>
      <c r="AP52" s="383"/>
    </row>
    <row r="53" spans="1:44" ht="13.5" customHeight="1" outlineLevel="1" x14ac:dyDescent="0.4">
      <c r="A53" s="205" t="s">
        <v>279</v>
      </c>
      <c r="B53" s="73">
        <f t="shared" si="34"/>
        <v>0</v>
      </c>
      <c r="C53" s="73">
        <f t="shared" si="34"/>
        <v>0</v>
      </c>
      <c r="D53" s="73">
        <f t="shared" si="34"/>
        <v>0</v>
      </c>
      <c r="E53" s="108">
        <f t="shared" si="34"/>
        <v>0</v>
      </c>
      <c r="F53" s="73">
        <f t="shared" si="34"/>
        <v>0</v>
      </c>
      <c r="G53" s="73">
        <f t="shared" si="34"/>
        <v>0</v>
      </c>
      <c r="H53" s="73">
        <f t="shared" si="34"/>
        <v>0</v>
      </c>
      <c r="I53" s="108">
        <f t="shared" si="34"/>
        <v>0</v>
      </c>
      <c r="J53" s="73">
        <f t="shared" si="34"/>
        <v>0</v>
      </c>
      <c r="K53" s="73">
        <f t="shared" si="34"/>
        <v>0</v>
      </c>
      <c r="L53" s="73">
        <f t="shared" si="26"/>
        <v>0</v>
      </c>
      <c r="M53" s="108">
        <f t="shared" si="26"/>
        <v>299.25</v>
      </c>
      <c r="N53" s="73">
        <f t="shared" si="26"/>
        <v>344.375</v>
      </c>
      <c r="O53" s="384">
        <f t="shared" si="33"/>
        <v>346.75</v>
      </c>
      <c r="P53" s="384">
        <f t="shared" si="33"/>
        <v>1733.75</v>
      </c>
      <c r="Q53" s="385">
        <f t="shared" si="33"/>
        <v>2774</v>
      </c>
      <c r="R53" s="384">
        <f t="shared" si="33"/>
        <v>2808.6750000000002</v>
      </c>
      <c r="S53" s="384">
        <f t="shared" si="33"/>
        <v>3536.85</v>
      </c>
      <c r="T53" s="384">
        <f t="shared" si="33"/>
        <v>4126.3249999999998</v>
      </c>
      <c r="U53" s="385">
        <f t="shared" si="33"/>
        <v>4715.8</v>
      </c>
      <c r="V53" s="384">
        <f t="shared" si="33"/>
        <v>4509.4837499999994</v>
      </c>
      <c r="W53" s="384">
        <f t="shared" si="33"/>
        <v>7014.7524999999987</v>
      </c>
      <c r="X53" s="384">
        <f t="shared" si="33"/>
        <v>7014.7524999999987</v>
      </c>
      <c r="Y53" s="385">
        <f t="shared" si="33"/>
        <v>7265.2793749999992</v>
      </c>
      <c r="Z53" s="122"/>
      <c r="AA53" s="122"/>
      <c r="AB53" s="122"/>
      <c r="AC53" s="122"/>
      <c r="AD53" s="122"/>
      <c r="AE53" s="122"/>
      <c r="AF53" s="73"/>
      <c r="AG53" s="73"/>
      <c r="AH53" s="73"/>
      <c r="AI53" s="73"/>
      <c r="AJ53" s="73"/>
      <c r="AK53" s="73">
        <f>SUM(F53:I53)</f>
        <v>0</v>
      </c>
      <c r="AL53" s="73">
        <f>SUM(J53:M53)</f>
        <v>299.25</v>
      </c>
      <c r="AM53" s="73">
        <f t="shared" si="29"/>
        <v>5198.875</v>
      </c>
      <c r="AN53" s="73">
        <f>SUM(R53:U53)</f>
        <v>15187.649999999998</v>
      </c>
      <c r="AO53" s="73">
        <f>SUM(V53:Y53)</f>
        <v>25804.268124999995</v>
      </c>
      <c r="AP53" s="383"/>
    </row>
    <row r="54" spans="1:44" ht="13.5" customHeight="1" outlineLevel="1" x14ac:dyDescent="0.4">
      <c r="A54" s="205" t="s">
        <v>268</v>
      </c>
      <c r="B54" s="73"/>
      <c r="C54" s="73"/>
      <c r="D54" s="73"/>
      <c r="E54" s="108"/>
      <c r="F54" s="73"/>
      <c r="G54" s="73"/>
      <c r="H54" s="73"/>
      <c r="I54" s="108"/>
      <c r="J54" s="73"/>
      <c r="K54" s="73"/>
      <c r="L54" s="73"/>
      <c r="M54" s="108"/>
      <c r="N54" s="73"/>
      <c r="O54" s="384"/>
      <c r="P54" s="384"/>
      <c r="Q54" s="385"/>
      <c r="R54" s="384"/>
      <c r="S54" s="384"/>
      <c r="T54" s="384"/>
      <c r="U54" s="385"/>
      <c r="V54" s="384"/>
      <c r="W54" s="384"/>
      <c r="X54" s="384">
        <f>+X115*X69</f>
        <v>700.80000000000007</v>
      </c>
      <c r="Y54" s="385">
        <f>+Y115*Y69</f>
        <v>1401.6000000000001</v>
      </c>
      <c r="Z54" s="122"/>
      <c r="AA54" s="122"/>
      <c r="AB54" s="122"/>
      <c r="AC54" s="122"/>
      <c r="AD54" s="122"/>
      <c r="AE54" s="122"/>
      <c r="AF54" s="73"/>
      <c r="AG54" s="73"/>
      <c r="AH54" s="73"/>
      <c r="AI54" s="73"/>
      <c r="AJ54" s="73"/>
      <c r="AK54" s="73"/>
      <c r="AL54" s="73"/>
      <c r="AM54" s="73"/>
      <c r="AN54" s="73"/>
      <c r="AO54" s="73">
        <f>SUM(V54:Y54)</f>
        <v>2102.4</v>
      </c>
      <c r="AP54" s="383"/>
    </row>
    <row r="55" spans="1:44" outlineLevel="1" x14ac:dyDescent="0.4">
      <c r="B55" s="73"/>
      <c r="C55" s="73"/>
      <c r="D55" s="73"/>
      <c r="E55" s="108"/>
      <c r="F55" s="73"/>
      <c r="G55" s="73"/>
      <c r="H55" s="73"/>
      <c r="I55" s="108"/>
      <c r="J55" s="73"/>
      <c r="K55" s="73"/>
      <c r="L55" s="73"/>
      <c r="M55" s="108"/>
      <c r="N55" s="73"/>
      <c r="O55" s="73"/>
      <c r="P55" s="73"/>
      <c r="Q55" s="108"/>
      <c r="R55" s="73"/>
      <c r="S55" s="73"/>
      <c r="T55" s="73"/>
      <c r="U55" s="108"/>
      <c r="V55" s="73"/>
      <c r="W55" s="73"/>
      <c r="X55" s="73"/>
      <c r="Y55" s="108"/>
      <c r="Z55" s="122"/>
      <c r="AA55" s="122"/>
      <c r="AB55" s="122"/>
      <c r="AC55" s="122"/>
      <c r="AD55" s="122"/>
      <c r="AE55" s="122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383"/>
    </row>
    <row r="56" spans="1:44" outlineLevel="1" x14ac:dyDescent="0.4">
      <c r="A56" s="205" t="s">
        <v>280</v>
      </c>
      <c r="B56" s="73"/>
      <c r="C56" s="73"/>
      <c r="D56" s="73"/>
      <c r="E56" s="108"/>
      <c r="F56" s="73"/>
      <c r="G56" s="73"/>
      <c r="H56" s="73"/>
      <c r="I56" s="108"/>
      <c r="J56" s="73"/>
      <c r="K56" s="73"/>
      <c r="L56" s="73"/>
      <c r="M56" s="108"/>
      <c r="N56" s="73"/>
      <c r="O56" s="73"/>
      <c r="P56" s="73"/>
      <c r="Q56" s="108"/>
      <c r="R56" s="73"/>
      <c r="S56" s="73"/>
      <c r="T56" s="73"/>
      <c r="U56" s="108"/>
      <c r="V56" s="73"/>
      <c r="W56" s="73"/>
      <c r="X56" s="73"/>
      <c r="Y56" s="108"/>
      <c r="Z56" s="122"/>
      <c r="AA56" s="122"/>
      <c r="AB56" s="122"/>
      <c r="AC56" s="122"/>
      <c r="AD56" s="122"/>
      <c r="AE56" s="122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383"/>
    </row>
    <row r="57" spans="1:44" outlineLevel="1" x14ac:dyDescent="0.4">
      <c r="A57" s="205" t="s">
        <v>281</v>
      </c>
      <c r="B57" s="90">
        <f>+(B50+B53)/B12</f>
        <v>0</v>
      </c>
      <c r="C57" s="90">
        <f t="shared" ref="C57:Y57" si="35">+(C50+C53)/C12</f>
        <v>0</v>
      </c>
      <c r="D57" s="90">
        <f t="shared" si="35"/>
        <v>0</v>
      </c>
      <c r="E57" s="144">
        <f t="shared" si="35"/>
        <v>0</v>
      </c>
      <c r="F57" s="90">
        <f t="shared" si="35"/>
        <v>0</v>
      </c>
      <c r="G57" s="90">
        <f t="shared" si="35"/>
        <v>0</v>
      </c>
      <c r="H57" s="90">
        <f t="shared" si="35"/>
        <v>0</v>
      </c>
      <c r="I57" s="144">
        <f t="shared" si="35"/>
        <v>0</v>
      </c>
      <c r="J57" s="90">
        <f t="shared" si="35"/>
        <v>0</v>
      </c>
      <c r="K57" s="90">
        <f t="shared" si="35"/>
        <v>0</v>
      </c>
      <c r="L57" s="90">
        <f t="shared" si="35"/>
        <v>0</v>
      </c>
      <c r="M57" s="144">
        <f t="shared" si="35"/>
        <v>4.5690106681479409E-2</v>
      </c>
      <c r="N57" s="90">
        <f t="shared" si="35"/>
        <v>0.10835606480944983</v>
      </c>
      <c r="O57" s="90">
        <f t="shared" si="35"/>
        <v>0.40705993560202464</v>
      </c>
      <c r="P57" s="90">
        <f t="shared" si="35"/>
        <v>0.52580255197423753</v>
      </c>
      <c r="Q57" s="144">
        <f>+(Q50+Q53)/Q12</f>
        <v>0.58118039024518564</v>
      </c>
      <c r="R57" s="90">
        <f t="shared" si="35"/>
        <v>0.57695407934530318</v>
      </c>
      <c r="S57" s="90">
        <f t="shared" si="35"/>
        <v>0.5943322543652988</v>
      </c>
      <c r="T57" s="90">
        <f t="shared" si="35"/>
        <v>0.64719251215431861</v>
      </c>
      <c r="U57" s="144">
        <f t="shared" si="35"/>
        <v>0.67523798608861763</v>
      </c>
      <c r="V57" s="386">
        <f t="shared" si="35"/>
        <v>0.61453488538592604</v>
      </c>
      <c r="W57" s="90">
        <f t="shared" si="35"/>
        <v>0.6206799560236953</v>
      </c>
      <c r="X57" s="90">
        <f t="shared" si="35"/>
        <v>0.55190889657632225</v>
      </c>
      <c r="Y57" s="144">
        <f t="shared" si="35"/>
        <v>0.51869289206422708</v>
      </c>
      <c r="Z57" s="122"/>
      <c r="AA57" s="122"/>
      <c r="AB57" s="122"/>
      <c r="AC57" s="122"/>
      <c r="AD57" s="122"/>
      <c r="AE57" s="122"/>
      <c r="AF57" s="90">
        <f t="shared" ref="AF57:AO57" si="36">+(AF50+AF53)/AF12</f>
        <v>0</v>
      </c>
      <c r="AG57" s="90">
        <f t="shared" si="36"/>
        <v>0</v>
      </c>
      <c r="AH57" s="90">
        <f t="shared" si="36"/>
        <v>0</v>
      </c>
      <c r="AI57" s="90">
        <f t="shared" si="36"/>
        <v>0</v>
      </c>
      <c r="AJ57" s="90">
        <f t="shared" si="36"/>
        <v>0</v>
      </c>
      <c r="AK57" s="90">
        <f t="shared" si="36"/>
        <v>0</v>
      </c>
      <c r="AL57" s="90">
        <f t="shared" si="36"/>
        <v>1.2540775993499466E-2</v>
      </c>
      <c r="AM57" s="90">
        <f>+(AM50+AM53)/AM12</f>
        <v>0.43571874887495271</v>
      </c>
      <c r="AN57" s="90">
        <f t="shared" si="36"/>
        <v>0.62756842040151217</v>
      </c>
      <c r="AO57" s="90">
        <f t="shared" si="36"/>
        <v>0.57343272754354835</v>
      </c>
      <c r="AP57" s="383"/>
    </row>
    <row r="58" spans="1:44" outlineLevel="1" x14ac:dyDescent="0.4">
      <c r="B58" s="73"/>
      <c r="C58" s="73"/>
      <c r="D58" s="73"/>
      <c r="E58" s="108"/>
      <c r="F58" s="73"/>
      <c r="G58" s="73"/>
      <c r="H58" s="73"/>
      <c r="I58" s="108"/>
      <c r="J58" s="73"/>
      <c r="K58" s="73"/>
      <c r="L58" s="73"/>
      <c r="M58" s="108"/>
      <c r="N58" s="73"/>
      <c r="O58" s="73"/>
      <c r="P58" s="73"/>
      <c r="Q58" s="108"/>
      <c r="R58" s="73"/>
      <c r="S58" s="73"/>
      <c r="T58" s="73"/>
      <c r="U58" s="108"/>
      <c r="V58" s="73"/>
      <c r="W58" s="73"/>
      <c r="X58" s="73"/>
      <c r="Y58" s="108"/>
      <c r="Z58" s="122"/>
      <c r="AA58" s="122"/>
      <c r="AB58" s="122"/>
      <c r="AC58" s="122"/>
      <c r="AD58" s="122"/>
      <c r="AE58" s="122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383"/>
    </row>
    <row r="59" spans="1:44" x14ac:dyDescent="0.4">
      <c r="A59" s="346" t="s">
        <v>282</v>
      </c>
      <c r="B59" s="73"/>
      <c r="C59" s="73"/>
      <c r="D59" s="73"/>
      <c r="E59" s="108"/>
      <c r="F59" s="73"/>
      <c r="G59" s="73"/>
      <c r="H59" s="73"/>
      <c r="I59" s="108"/>
      <c r="J59" s="73"/>
      <c r="K59" s="73"/>
      <c r="L59" s="73"/>
      <c r="M59" s="108"/>
      <c r="N59" s="73"/>
      <c r="O59" s="73"/>
      <c r="P59" s="73"/>
      <c r="Q59" s="108"/>
      <c r="R59" s="73"/>
      <c r="S59" s="73"/>
      <c r="T59" s="73"/>
      <c r="U59" s="108"/>
      <c r="V59" s="73"/>
      <c r="W59" s="73"/>
      <c r="X59" s="73"/>
      <c r="Y59" s="108"/>
      <c r="Z59" s="122"/>
      <c r="AA59" s="122"/>
      <c r="AB59" s="122"/>
      <c r="AC59" s="122"/>
      <c r="AD59" s="122"/>
      <c r="AE59" s="122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383"/>
    </row>
    <row r="60" spans="1:44" x14ac:dyDescent="0.4">
      <c r="A60" s="205" t="s">
        <v>262</v>
      </c>
      <c r="B60" s="387">
        <v>0.8</v>
      </c>
      <c r="C60" s="387">
        <v>0.9</v>
      </c>
      <c r="D60" s="387">
        <v>0.9</v>
      </c>
      <c r="E60" s="388">
        <v>0.69</v>
      </c>
      <c r="F60" s="387">
        <v>0.7</v>
      </c>
      <c r="G60" s="387">
        <v>0.8</v>
      </c>
      <c r="H60" s="387">
        <v>0.7</v>
      </c>
      <c r="I60" s="388">
        <v>0.69950000000000001</v>
      </c>
      <c r="J60" s="387">
        <v>0.7</v>
      </c>
      <c r="K60" s="387">
        <v>0.7</v>
      </c>
      <c r="L60" s="387">
        <v>0.7</v>
      </c>
      <c r="M60" s="388">
        <v>0.7</v>
      </c>
      <c r="N60" s="387">
        <v>0.6</v>
      </c>
      <c r="O60" s="387">
        <v>0.6</v>
      </c>
      <c r="P60" s="387">
        <v>0.6</v>
      </c>
      <c r="Q60" s="388">
        <v>0.6</v>
      </c>
      <c r="R60" s="387">
        <v>0.6</v>
      </c>
      <c r="S60" s="387">
        <v>0.55000000000000004</v>
      </c>
      <c r="T60" s="387">
        <v>0.5</v>
      </c>
      <c r="U60" s="388">
        <v>0.55000000000000004</v>
      </c>
      <c r="V60" s="387">
        <v>0.4</v>
      </c>
      <c r="W60" s="387">
        <v>0.4</v>
      </c>
      <c r="X60" s="387">
        <v>0.4</v>
      </c>
      <c r="Y60" s="388">
        <v>0.4</v>
      </c>
      <c r="Z60" s="122"/>
      <c r="AA60" s="122"/>
      <c r="AB60" s="122"/>
      <c r="AC60" s="122"/>
      <c r="AD60" s="122"/>
      <c r="AE60" s="122"/>
      <c r="AF60" s="389">
        <f>+AF45/AF106</f>
        <v>11.14966791517857</v>
      </c>
      <c r="AG60" s="389">
        <f>+AG45/AG106</f>
        <v>9.1949344325000002</v>
      </c>
      <c r="AH60" s="389">
        <v>4.47</v>
      </c>
      <c r="AI60" s="389">
        <v>5.64</v>
      </c>
      <c r="AJ60" s="389">
        <f>SUM(B60:E60)</f>
        <v>3.29</v>
      </c>
      <c r="AK60" s="389">
        <f>SUM(F60:I60)</f>
        <v>2.8995000000000002</v>
      </c>
      <c r="AL60" s="389">
        <f>SUM(J60:M60)</f>
        <v>2.8</v>
      </c>
      <c r="AM60" s="389">
        <f>SUM(N60:Q60)</f>
        <v>2.4</v>
      </c>
      <c r="AN60" s="389">
        <f>SUM(R60:U60)</f>
        <v>2.2000000000000002</v>
      </c>
      <c r="AO60" s="389">
        <f>SUM(V60:Y60)</f>
        <v>1.6</v>
      </c>
      <c r="AP60" s="383"/>
    </row>
    <row r="61" spans="1:44" x14ac:dyDescent="0.4">
      <c r="A61" s="205" t="s">
        <v>263</v>
      </c>
      <c r="B61" s="387">
        <v>1.4324347826086956</v>
      </c>
      <c r="C61" s="387">
        <v>1.4324347826086956</v>
      </c>
      <c r="D61" s="387">
        <v>1.5219619565217388</v>
      </c>
      <c r="E61" s="388">
        <v>0.98479891304347777</v>
      </c>
      <c r="F61" s="387">
        <v>1.6350067164179105</v>
      </c>
      <c r="G61" s="387">
        <v>1.4598274253731343</v>
      </c>
      <c r="H61" s="387">
        <v>0.58393097014925377</v>
      </c>
      <c r="I61" s="388">
        <v>0.58393097014925377</v>
      </c>
      <c r="J61" s="387">
        <v>0.43555319824218741</v>
      </c>
      <c r="K61" s="387">
        <v>0.43555319824218741</v>
      </c>
      <c r="L61" s="387">
        <v>0.43555319824218741</v>
      </c>
      <c r="M61" s="388">
        <v>0.43555319824218741</v>
      </c>
      <c r="N61" s="387">
        <v>0.43412515496926218</v>
      </c>
      <c r="O61" s="387">
        <v>0.43412515496926218</v>
      </c>
      <c r="P61" s="387">
        <v>0.43412515496926218</v>
      </c>
      <c r="Q61" s="388">
        <v>0.43412515496926218</v>
      </c>
      <c r="R61" s="387">
        <v>0.43375090914601283</v>
      </c>
      <c r="S61" s="387">
        <v>0.43375090914601283</v>
      </c>
      <c r="T61" s="387">
        <v>0.43375090914601283</v>
      </c>
      <c r="U61" s="388">
        <v>0.43375090914601283</v>
      </c>
      <c r="V61" s="387">
        <v>0.43453954716264193</v>
      </c>
      <c r="W61" s="387">
        <v>0.43453954716264193</v>
      </c>
      <c r="X61" s="387">
        <v>0.43453954716264193</v>
      </c>
      <c r="Y61" s="388">
        <v>0.43453954716264193</v>
      </c>
      <c r="Z61" s="122"/>
      <c r="AA61" s="122"/>
      <c r="AB61" s="122"/>
      <c r="AC61" s="122"/>
      <c r="AD61" s="122"/>
      <c r="AE61" s="122"/>
      <c r="AF61" s="390">
        <v>1.623</v>
      </c>
      <c r="AG61" s="390">
        <v>1.7649999999999999</v>
      </c>
      <c r="AH61" s="390">
        <v>3.2905000000000002</v>
      </c>
      <c r="AI61" s="390">
        <v>2.8094999999999999</v>
      </c>
      <c r="AJ61" s="389">
        <f t="shared" ref="AJ61:AJ67" si="37">SUM(B61:E61)</f>
        <v>5.3716304347826078</v>
      </c>
      <c r="AK61" s="389">
        <f t="shared" ref="AK61:AK67" si="38">SUM(F61:I61)</f>
        <v>4.2626960820895521</v>
      </c>
      <c r="AL61" s="389">
        <f t="shared" ref="AL61:AL67" si="39">SUM(J61:M61)</f>
        <v>1.7422127929687496</v>
      </c>
      <c r="AM61" s="389">
        <f t="shared" ref="AM61:AM67" si="40">SUM(N61:Q61)</f>
        <v>1.7365006198770487</v>
      </c>
      <c r="AN61" s="389">
        <f t="shared" ref="AN61:AN67" si="41">SUM(R61:U61)</f>
        <v>1.7350036365840513</v>
      </c>
      <c r="AO61" s="389">
        <f t="shared" ref="AO61:AO67" si="42">SUM(V61:Y61)</f>
        <v>1.7381581886505677</v>
      </c>
      <c r="AP61" s="383"/>
      <c r="AQ61" s="390"/>
      <c r="AR61" s="390"/>
    </row>
    <row r="62" spans="1:44" x14ac:dyDescent="0.4">
      <c r="A62" s="205" t="s">
        <v>264</v>
      </c>
      <c r="B62" s="387">
        <v>0.21899999999999997</v>
      </c>
      <c r="C62" s="387">
        <v>0.26071428571428568</v>
      </c>
      <c r="D62" s="387">
        <v>0.31285714285714278</v>
      </c>
      <c r="E62" s="388">
        <v>0.35457142857142859</v>
      </c>
      <c r="F62" s="387">
        <v>0.28600000000000003</v>
      </c>
      <c r="G62" s="387">
        <v>0.16500000000000001</v>
      </c>
      <c r="H62" s="387">
        <v>6.6000000000000003E-2</v>
      </c>
      <c r="I62" s="388">
        <v>6.6000000000000003E-2</v>
      </c>
      <c r="J62" s="387">
        <v>6.6000000000000003E-2</v>
      </c>
      <c r="K62" s="387">
        <v>6.6000000000000003E-2</v>
      </c>
      <c r="L62" s="387">
        <v>8.8000000000000009E-2</v>
      </c>
      <c r="M62" s="388">
        <v>8.8000000000000009E-2</v>
      </c>
      <c r="N62" s="387">
        <v>6.9666666666666655E-2</v>
      </c>
      <c r="O62" s="387">
        <v>6.9666666666666655E-2</v>
      </c>
      <c r="P62" s="387">
        <v>6.9666666666666655E-2</v>
      </c>
      <c r="Q62" s="388">
        <v>6.9666666666666655E-2</v>
      </c>
      <c r="R62" s="387">
        <v>6.9666666666666655E-2</v>
      </c>
      <c r="S62" s="387">
        <v>6.9666666666666655E-2</v>
      </c>
      <c r="T62" s="387">
        <v>6.9666666666666655E-2</v>
      </c>
      <c r="U62" s="388">
        <v>6.9666666666666655E-2</v>
      </c>
      <c r="V62" s="387">
        <v>6.9666666666666655E-2</v>
      </c>
      <c r="W62" s="387">
        <v>6.9666666666666655E-2</v>
      </c>
      <c r="X62" s="387">
        <v>6.9666666666666655E-2</v>
      </c>
      <c r="Y62" s="388">
        <v>6.9666666666666655E-2</v>
      </c>
      <c r="Z62" s="122"/>
      <c r="AA62" s="122"/>
      <c r="AB62" s="122"/>
      <c r="AC62" s="122"/>
      <c r="AD62" s="122"/>
      <c r="AE62" s="122"/>
      <c r="AF62" s="389">
        <v>0</v>
      </c>
      <c r="AG62" s="389">
        <v>0</v>
      </c>
      <c r="AH62" s="389">
        <v>1.4999999999999999E-2</v>
      </c>
      <c r="AI62" s="389">
        <v>0.59</v>
      </c>
      <c r="AJ62" s="389">
        <f t="shared" si="37"/>
        <v>1.147142857142857</v>
      </c>
      <c r="AK62" s="389">
        <f t="shared" si="38"/>
        <v>0.58300000000000018</v>
      </c>
      <c r="AL62" s="389">
        <f t="shared" si="39"/>
        <v>0.30800000000000005</v>
      </c>
      <c r="AM62" s="389">
        <f t="shared" si="40"/>
        <v>0.27866666666666662</v>
      </c>
      <c r="AN62" s="389">
        <f t="shared" si="41"/>
        <v>0.27866666666666662</v>
      </c>
      <c r="AO62" s="389">
        <f t="shared" si="42"/>
        <v>0.27866666666666662</v>
      </c>
      <c r="AP62" s="383"/>
    </row>
    <row r="63" spans="1:44" x14ac:dyDescent="0.4">
      <c r="A63" s="205" t="s">
        <v>265</v>
      </c>
      <c r="B63" s="387">
        <v>0.1</v>
      </c>
      <c r="C63" s="387">
        <v>0.1</v>
      </c>
      <c r="D63" s="387">
        <v>0.2</v>
      </c>
      <c r="E63" s="388">
        <v>0.34950000000000003</v>
      </c>
      <c r="F63" s="387">
        <v>0.15</v>
      </c>
      <c r="G63" s="387">
        <v>0.15</v>
      </c>
      <c r="H63" s="387">
        <v>0.2</v>
      </c>
      <c r="I63" s="388">
        <v>0.2</v>
      </c>
      <c r="J63" s="387">
        <v>0.4</v>
      </c>
      <c r="K63" s="387">
        <v>0.68</v>
      </c>
      <c r="L63" s="387">
        <v>0.8</v>
      </c>
      <c r="M63" s="388">
        <v>0.8</v>
      </c>
      <c r="N63" s="387">
        <v>0.8</v>
      </c>
      <c r="O63" s="387">
        <v>0.6</v>
      </c>
      <c r="P63" s="387">
        <v>0.4</v>
      </c>
      <c r="Q63" s="388">
        <v>0.2</v>
      </c>
      <c r="R63" s="387">
        <v>0.2</v>
      </c>
      <c r="S63" s="387">
        <v>0.2</v>
      </c>
      <c r="T63" s="387">
        <v>0.1</v>
      </c>
      <c r="U63" s="388">
        <v>0.1</v>
      </c>
      <c r="V63" s="387">
        <v>0.1</v>
      </c>
      <c r="W63" s="387">
        <v>0.1</v>
      </c>
      <c r="X63" s="387">
        <v>0.1</v>
      </c>
      <c r="Y63" s="388">
        <v>0.1</v>
      </c>
      <c r="Z63" s="122"/>
      <c r="AA63" s="122"/>
      <c r="AB63" s="122"/>
      <c r="AC63" s="122"/>
      <c r="AD63" s="122"/>
      <c r="AE63" s="122"/>
      <c r="AF63" s="389">
        <v>0</v>
      </c>
      <c r="AG63" s="389">
        <v>0</v>
      </c>
      <c r="AH63" s="389">
        <v>0.05</v>
      </c>
      <c r="AI63" s="389">
        <v>0.27600000000000002</v>
      </c>
      <c r="AJ63" s="389">
        <f t="shared" si="37"/>
        <v>0.74950000000000006</v>
      </c>
      <c r="AK63" s="389">
        <f t="shared" si="38"/>
        <v>0.7</v>
      </c>
      <c r="AL63" s="389">
        <f t="shared" si="39"/>
        <v>2.68</v>
      </c>
      <c r="AM63" s="389">
        <f t="shared" si="40"/>
        <v>1.9999999999999998</v>
      </c>
      <c r="AN63" s="389">
        <f t="shared" si="41"/>
        <v>0.6</v>
      </c>
      <c r="AO63" s="389">
        <f t="shared" si="42"/>
        <v>0.4</v>
      </c>
      <c r="AP63" s="383"/>
    </row>
    <row r="64" spans="1:44" x14ac:dyDescent="0.4">
      <c r="A64" s="205" t="s">
        <v>275</v>
      </c>
      <c r="B64" s="391">
        <v>0</v>
      </c>
      <c r="C64" s="391">
        <v>0</v>
      </c>
      <c r="D64" s="391">
        <v>0</v>
      </c>
      <c r="E64" s="392">
        <v>0</v>
      </c>
      <c r="F64" s="387">
        <v>0</v>
      </c>
      <c r="G64" s="387">
        <v>0.05</v>
      </c>
      <c r="H64" s="387">
        <v>0.18</v>
      </c>
      <c r="I64" s="388">
        <v>0.25</v>
      </c>
      <c r="J64" s="387">
        <v>0.3</v>
      </c>
      <c r="K64" s="387">
        <v>0.6</v>
      </c>
      <c r="L64" s="387">
        <v>0.72</v>
      </c>
      <c r="M64" s="388">
        <v>0.75</v>
      </c>
      <c r="N64" s="387">
        <v>0.75</v>
      </c>
      <c r="O64" s="387">
        <v>0.75</v>
      </c>
      <c r="P64" s="387">
        <v>0.8</v>
      </c>
      <c r="Q64" s="388">
        <v>0.9</v>
      </c>
      <c r="R64" s="387">
        <v>1</v>
      </c>
      <c r="S64" s="387">
        <v>1</v>
      </c>
      <c r="T64" s="387">
        <v>1</v>
      </c>
      <c r="U64" s="388">
        <v>1</v>
      </c>
      <c r="V64" s="387">
        <v>1</v>
      </c>
      <c r="W64" s="387">
        <v>0.9</v>
      </c>
      <c r="X64" s="387">
        <v>0.7</v>
      </c>
      <c r="Y64" s="388">
        <v>0.5</v>
      </c>
      <c r="Z64" s="122"/>
      <c r="AA64" s="122"/>
      <c r="AB64" s="122"/>
      <c r="AC64" s="122"/>
      <c r="AD64" s="122"/>
      <c r="AE64" s="122"/>
      <c r="AF64" s="389">
        <v>0</v>
      </c>
      <c r="AG64" s="389">
        <v>0</v>
      </c>
      <c r="AH64" s="389">
        <v>0</v>
      </c>
      <c r="AI64" s="389">
        <v>0</v>
      </c>
      <c r="AJ64" s="389">
        <f t="shared" si="37"/>
        <v>0</v>
      </c>
      <c r="AK64" s="389">
        <f t="shared" si="38"/>
        <v>0.48</v>
      </c>
      <c r="AL64" s="87">
        <f t="shared" si="39"/>
        <v>2.37</v>
      </c>
      <c r="AM64" s="389">
        <f t="shared" si="40"/>
        <v>3.1999999999999997</v>
      </c>
      <c r="AN64" s="389">
        <f t="shared" si="41"/>
        <v>4</v>
      </c>
      <c r="AO64" s="389">
        <f t="shared" si="42"/>
        <v>3.0999999999999996</v>
      </c>
      <c r="AP64" s="393"/>
    </row>
    <row r="65" spans="1:48" x14ac:dyDescent="0.4">
      <c r="A65" s="205" t="s">
        <v>276</v>
      </c>
      <c r="B65" s="391"/>
      <c r="C65" s="391"/>
      <c r="D65" s="391"/>
      <c r="E65" s="392"/>
      <c r="F65" s="387">
        <v>0</v>
      </c>
      <c r="G65" s="387">
        <v>0</v>
      </c>
      <c r="H65" s="387">
        <v>0</v>
      </c>
      <c r="I65" s="388">
        <v>0</v>
      </c>
      <c r="J65" s="387">
        <v>0</v>
      </c>
      <c r="K65" s="387">
        <v>0</v>
      </c>
      <c r="L65" s="387">
        <v>0</v>
      </c>
      <c r="M65" s="388">
        <v>0</v>
      </c>
      <c r="N65" s="387">
        <v>0.11</v>
      </c>
      <c r="O65" s="387">
        <v>0.9</v>
      </c>
      <c r="P65" s="387">
        <v>1</v>
      </c>
      <c r="Q65" s="388">
        <v>1.05</v>
      </c>
      <c r="R65" s="387">
        <v>1.1000000000000001</v>
      </c>
      <c r="S65" s="387">
        <v>1.3</v>
      </c>
      <c r="T65" s="387">
        <v>1.6</v>
      </c>
      <c r="U65" s="388">
        <v>1.8</v>
      </c>
      <c r="V65" s="387">
        <v>1.4</v>
      </c>
      <c r="W65" s="387">
        <v>1</v>
      </c>
      <c r="X65" s="387">
        <v>0.8</v>
      </c>
      <c r="Y65" s="388">
        <v>0.6</v>
      </c>
      <c r="Z65" s="122"/>
      <c r="AA65" s="122"/>
      <c r="AB65" s="122"/>
      <c r="AC65" s="122"/>
      <c r="AD65" s="122"/>
      <c r="AE65" s="122"/>
      <c r="AF65" s="389"/>
      <c r="AG65" s="389"/>
      <c r="AH65" s="389"/>
      <c r="AI65" s="389"/>
      <c r="AJ65" s="389"/>
      <c r="AK65" s="389"/>
      <c r="AL65" s="87">
        <f t="shared" si="39"/>
        <v>0</v>
      </c>
      <c r="AM65" s="389">
        <f t="shared" si="40"/>
        <v>3.0599999999999996</v>
      </c>
      <c r="AN65" s="389">
        <f t="shared" si="41"/>
        <v>5.8</v>
      </c>
      <c r="AO65" s="389">
        <f t="shared" si="42"/>
        <v>3.8000000000000003</v>
      </c>
      <c r="AP65" s="383"/>
    </row>
    <row r="66" spans="1:48" x14ac:dyDescent="0.4">
      <c r="A66" s="205" t="s">
        <v>277</v>
      </c>
      <c r="B66" s="391"/>
      <c r="C66" s="391"/>
      <c r="D66" s="391"/>
      <c r="E66" s="392"/>
      <c r="F66" s="387">
        <v>0</v>
      </c>
      <c r="G66" s="387">
        <v>0.05</v>
      </c>
      <c r="H66" s="387">
        <v>0.15</v>
      </c>
      <c r="I66" s="388">
        <v>0.2</v>
      </c>
      <c r="J66" s="387">
        <v>0.4</v>
      </c>
      <c r="K66" s="387">
        <v>0.4</v>
      </c>
      <c r="L66" s="387">
        <v>0.4</v>
      </c>
      <c r="M66" s="388">
        <v>0.28000000000000003</v>
      </c>
      <c r="N66" s="387">
        <v>0.25</v>
      </c>
      <c r="O66" s="387">
        <v>0.12</v>
      </c>
      <c r="P66" s="387">
        <v>0.1</v>
      </c>
      <c r="Q66" s="388">
        <v>0.1</v>
      </c>
      <c r="R66" s="387">
        <v>0.05</v>
      </c>
      <c r="S66" s="387">
        <v>0.05</v>
      </c>
      <c r="T66" s="387">
        <v>0.05</v>
      </c>
      <c r="U66" s="388">
        <v>0.05</v>
      </c>
      <c r="V66" s="387">
        <v>2.5000000000000001E-2</v>
      </c>
      <c r="W66" s="387">
        <v>2.5000000000000001E-2</v>
      </c>
      <c r="X66" s="387">
        <v>2.5000000000000001E-2</v>
      </c>
      <c r="Y66" s="388">
        <v>2.5000000000000001E-2</v>
      </c>
      <c r="Z66" s="122"/>
      <c r="AA66" s="122"/>
      <c r="AB66" s="122"/>
      <c r="AC66" s="394"/>
      <c r="AD66" s="122"/>
      <c r="AE66" s="122"/>
      <c r="AF66" s="389"/>
      <c r="AG66" s="389"/>
      <c r="AH66" s="389"/>
      <c r="AI66" s="389"/>
      <c r="AJ66" s="389"/>
      <c r="AK66" s="389">
        <f>SUM(F66:I66)</f>
        <v>0.4</v>
      </c>
      <c r="AL66" s="87">
        <f>SUM(J66:M66)</f>
        <v>1.4800000000000002</v>
      </c>
      <c r="AM66" s="389">
        <f>SUM(N66:Q66)</f>
        <v>0.56999999999999995</v>
      </c>
      <c r="AN66" s="389">
        <f>SUM(R66:U66)</f>
        <v>0.2</v>
      </c>
      <c r="AO66" s="389">
        <f>SUM(V66:Y66)</f>
        <v>0.1</v>
      </c>
      <c r="AP66" s="383"/>
      <c r="AR66" s="395"/>
      <c r="AS66" s="395"/>
      <c r="AT66" s="395"/>
      <c r="AU66" s="395"/>
      <c r="AV66" s="395"/>
    </row>
    <row r="67" spans="1:48" x14ac:dyDescent="0.4">
      <c r="A67" s="205" t="s">
        <v>278</v>
      </c>
      <c r="B67" s="391">
        <v>0</v>
      </c>
      <c r="C67" s="391">
        <v>0</v>
      </c>
      <c r="D67" s="391">
        <v>0</v>
      </c>
      <c r="E67" s="392">
        <v>0</v>
      </c>
      <c r="F67" s="391">
        <v>0</v>
      </c>
      <c r="G67" s="391">
        <v>0</v>
      </c>
      <c r="H67" s="391">
        <v>0</v>
      </c>
      <c r="I67" s="392">
        <v>0</v>
      </c>
      <c r="J67" s="391">
        <v>0</v>
      </c>
      <c r="K67" s="391">
        <v>0</v>
      </c>
      <c r="L67" s="387">
        <v>0</v>
      </c>
      <c r="M67" s="388">
        <v>0</v>
      </c>
      <c r="N67" s="387">
        <v>0</v>
      </c>
      <c r="O67" s="387">
        <v>0</v>
      </c>
      <c r="P67" s="387">
        <v>0</v>
      </c>
      <c r="Q67" s="388">
        <v>0</v>
      </c>
      <c r="R67" s="387">
        <v>0</v>
      </c>
      <c r="S67" s="387">
        <v>0.1</v>
      </c>
      <c r="T67" s="387">
        <v>0.1</v>
      </c>
      <c r="U67" s="388">
        <v>0.1</v>
      </c>
      <c r="V67" s="387">
        <v>0.2</v>
      </c>
      <c r="W67" s="387">
        <v>0.4</v>
      </c>
      <c r="X67" s="387">
        <v>0.6</v>
      </c>
      <c r="Y67" s="388">
        <v>0.7</v>
      </c>
      <c r="Z67" s="122"/>
      <c r="AA67" s="122"/>
      <c r="AB67" s="122"/>
      <c r="AC67" s="95"/>
      <c r="AD67" s="122"/>
      <c r="AE67" s="122"/>
      <c r="AF67" s="389">
        <v>0</v>
      </c>
      <c r="AG67" s="389">
        <v>0</v>
      </c>
      <c r="AH67" s="389">
        <v>0</v>
      </c>
      <c r="AI67" s="389">
        <v>0</v>
      </c>
      <c r="AJ67" s="389">
        <f t="shared" si="37"/>
        <v>0</v>
      </c>
      <c r="AK67" s="87">
        <f t="shared" si="38"/>
        <v>0</v>
      </c>
      <c r="AL67" s="389">
        <f t="shared" si="39"/>
        <v>0</v>
      </c>
      <c r="AM67" s="87">
        <f t="shared" si="40"/>
        <v>0</v>
      </c>
      <c r="AN67" s="389">
        <f t="shared" si="41"/>
        <v>0.30000000000000004</v>
      </c>
      <c r="AO67" s="389">
        <f t="shared" si="42"/>
        <v>1.9000000000000001</v>
      </c>
      <c r="AP67" s="383"/>
    </row>
    <row r="68" spans="1:48" x14ac:dyDescent="0.4">
      <c r="A68" s="205" t="s">
        <v>283</v>
      </c>
      <c r="B68" s="391">
        <v>0</v>
      </c>
      <c r="C68" s="391">
        <v>0</v>
      </c>
      <c r="D68" s="391">
        <v>0</v>
      </c>
      <c r="E68" s="392">
        <v>0</v>
      </c>
      <c r="F68" s="391">
        <v>0</v>
      </c>
      <c r="G68" s="391">
        <v>0</v>
      </c>
      <c r="H68" s="391">
        <v>0</v>
      </c>
      <c r="I68" s="392">
        <v>0</v>
      </c>
      <c r="J68" s="391">
        <v>0</v>
      </c>
      <c r="K68" s="391">
        <v>0</v>
      </c>
      <c r="L68" s="387">
        <v>0</v>
      </c>
      <c r="M68" s="388">
        <v>4.4999999999999998E-2</v>
      </c>
      <c r="N68" s="387">
        <v>0.05</v>
      </c>
      <c r="O68" s="387">
        <v>0.05</v>
      </c>
      <c r="P68" s="387">
        <v>0.25</v>
      </c>
      <c r="Q68" s="388">
        <v>0.4</v>
      </c>
      <c r="R68" s="387">
        <v>0.45</v>
      </c>
      <c r="S68" s="387">
        <v>0.6</v>
      </c>
      <c r="T68" s="387">
        <v>0.7</v>
      </c>
      <c r="U68" s="388">
        <v>0.8</v>
      </c>
      <c r="V68" s="387">
        <v>0.85</v>
      </c>
      <c r="W68" s="387">
        <v>1.4</v>
      </c>
      <c r="X68" s="387">
        <v>1.4</v>
      </c>
      <c r="Y68" s="388">
        <v>1.45</v>
      </c>
      <c r="Z68" s="122"/>
      <c r="AA68" s="122"/>
      <c r="AB68" s="122"/>
      <c r="AC68" s="95"/>
      <c r="AD68" s="122"/>
      <c r="AE68" s="122"/>
      <c r="AF68" s="389">
        <v>0</v>
      </c>
      <c r="AG68" s="389">
        <v>0</v>
      </c>
      <c r="AH68" s="389">
        <v>0</v>
      </c>
      <c r="AI68" s="389">
        <v>0</v>
      </c>
      <c r="AJ68" s="389">
        <f>SUM(B68:E68)</f>
        <v>0</v>
      </c>
      <c r="AK68" s="87">
        <f>SUM(F68:I68)</f>
        <v>0</v>
      </c>
      <c r="AL68" s="389">
        <f>SUM(J68:M68)</f>
        <v>4.4999999999999998E-2</v>
      </c>
      <c r="AM68" s="389">
        <f>SUM(N68:Q68)</f>
        <v>0.75</v>
      </c>
      <c r="AN68" s="389">
        <f>SUM(R68:U68)</f>
        <v>2.5499999999999998</v>
      </c>
      <c r="AO68" s="389">
        <f>SUM(V68:Y68)</f>
        <v>5.0999999999999996</v>
      </c>
      <c r="AP68" s="383"/>
    </row>
    <row r="69" spans="1:48" x14ac:dyDescent="0.4">
      <c r="A69" s="205" t="s">
        <v>268</v>
      </c>
      <c r="B69" s="391"/>
      <c r="C69" s="391"/>
      <c r="D69" s="391"/>
      <c r="E69" s="392"/>
      <c r="F69" s="391"/>
      <c r="G69" s="391"/>
      <c r="H69" s="391"/>
      <c r="I69" s="392"/>
      <c r="J69" s="391"/>
      <c r="K69" s="391"/>
      <c r="L69" s="387"/>
      <c r="M69" s="388"/>
      <c r="N69" s="387"/>
      <c r="O69" s="387"/>
      <c r="P69" s="387"/>
      <c r="Q69" s="388"/>
      <c r="R69" s="387"/>
      <c r="S69" s="387"/>
      <c r="T69" s="387"/>
      <c r="U69" s="388"/>
      <c r="V69" s="387"/>
      <c r="W69" s="387"/>
      <c r="X69" s="387">
        <v>0.05</v>
      </c>
      <c r="Y69" s="388">
        <v>0.1</v>
      </c>
      <c r="Z69" s="122"/>
      <c r="AA69" s="122"/>
      <c r="AB69" s="122"/>
      <c r="AC69" s="95"/>
      <c r="AD69" s="122"/>
      <c r="AE69" s="122"/>
      <c r="AF69" s="389"/>
      <c r="AG69" s="389"/>
      <c r="AH69" s="389"/>
      <c r="AI69" s="389"/>
      <c r="AJ69" s="389"/>
      <c r="AK69" s="87"/>
      <c r="AL69" s="389"/>
      <c r="AM69" s="87"/>
      <c r="AO69" s="87">
        <f>SUM(V69:Y69)</f>
        <v>0.15000000000000002</v>
      </c>
      <c r="AP69" s="383"/>
    </row>
    <row r="70" spans="1:48" x14ac:dyDescent="0.4">
      <c r="A70" s="346"/>
      <c r="B70" s="87"/>
      <c r="C70" s="87"/>
      <c r="D70" s="87"/>
      <c r="E70" s="151"/>
      <c r="F70" s="87"/>
      <c r="G70" s="87"/>
      <c r="H70" s="87"/>
      <c r="I70" s="151"/>
      <c r="J70" s="87"/>
      <c r="K70" s="87"/>
      <c r="L70" s="87"/>
      <c r="M70" s="151"/>
      <c r="N70" s="87"/>
      <c r="O70" s="87"/>
      <c r="P70" s="87"/>
      <c r="Q70" s="151"/>
      <c r="R70" s="87"/>
      <c r="S70" s="87"/>
      <c r="T70" s="87"/>
      <c r="U70" s="151"/>
      <c r="V70" s="87"/>
      <c r="W70" s="87"/>
      <c r="X70" s="87"/>
      <c r="Y70" s="151"/>
      <c r="Z70" s="122"/>
      <c r="AA70" s="122"/>
      <c r="AB70" s="122"/>
      <c r="AC70" s="122"/>
      <c r="AD70" s="122"/>
      <c r="AE70" s="122"/>
      <c r="AF70" s="73"/>
      <c r="AG70" s="73"/>
      <c r="AH70" s="73"/>
      <c r="AI70" s="73"/>
      <c r="AJ70" s="73"/>
      <c r="AK70" s="73"/>
      <c r="AL70" s="73"/>
      <c r="AM70" s="389">
        <f>+AM64+AM65+AM66</f>
        <v>6.83</v>
      </c>
      <c r="AN70" s="389">
        <f>+AN64+AN65+AN66</f>
        <v>10</v>
      </c>
      <c r="AO70" s="389">
        <f>+AO64+AO65+AO66</f>
        <v>7</v>
      </c>
      <c r="AP70" s="383"/>
    </row>
    <row r="71" spans="1:48" x14ac:dyDescent="0.4">
      <c r="A71" s="346" t="s">
        <v>284</v>
      </c>
      <c r="B71" s="87"/>
      <c r="C71" s="87"/>
      <c r="D71" s="87"/>
      <c r="E71" s="151"/>
      <c r="F71" s="87"/>
      <c r="G71" s="87"/>
      <c r="H71" s="87"/>
      <c r="I71" s="151"/>
      <c r="J71" s="87"/>
      <c r="K71" s="87"/>
      <c r="L71" s="87"/>
      <c r="M71" s="151"/>
      <c r="N71" s="87"/>
      <c r="O71" s="87"/>
      <c r="P71" s="87"/>
      <c r="Q71" s="151"/>
      <c r="R71" s="87"/>
      <c r="S71" s="87"/>
      <c r="T71" s="87"/>
      <c r="U71" s="151"/>
      <c r="V71" s="87"/>
      <c r="W71" s="87"/>
      <c r="X71" s="87"/>
      <c r="Y71" s="151"/>
      <c r="Z71" s="122"/>
      <c r="AA71" s="122"/>
      <c r="AB71" s="122"/>
      <c r="AC71" s="122"/>
      <c r="AD71" s="122"/>
      <c r="AE71" s="122"/>
      <c r="AF71" s="73"/>
      <c r="AG71" s="73"/>
      <c r="AH71" s="73"/>
      <c r="AI71" s="73"/>
      <c r="AJ71" s="73"/>
      <c r="AK71" s="87"/>
      <c r="AL71" s="73"/>
      <c r="AM71" s="87">
        <f>+AM67+AM68</f>
        <v>0.75</v>
      </c>
      <c r="AN71" s="87">
        <f>+AN67+AN68</f>
        <v>2.8499999999999996</v>
      </c>
      <c r="AO71" s="87">
        <f>+AO67+AO68</f>
        <v>7</v>
      </c>
      <c r="AP71" s="383"/>
    </row>
    <row r="72" spans="1:48" x14ac:dyDescent="0.4">
      <c r="A72" s="205" t="s">
        <v>262</v>
      </c>
      <c r="B72" s="73">
        <f>+$AJ72</f>
        <v>27.746457792397052</v>
      </c>
      <c r="C72" s="73">
        <f>+$AJ72</f>
        <v>27.746457792397052</v>
      </c>
      <c r="D72" s="73">
        <f>+$AJ72</f>
        <v>27.746457792397052</v>
      </c>
      <c r="E72" s="108">
        <f>+$AJ72</f>
        <v>27.746457792397052</v>
      </c>
      <c r="F72" s="73">
        <f>+$AK72</f>
        <v>30.589041095890412</v>
      </c>
      <c r="G72" s="73">
        <f t="shared" ref="G72:I80" si="43">+$AK72</f>
        <v>30.589041095890412</v>
      </c>
      <c r="H72" s="73">
        <f t="shared" si="43"/>
        <v>30.589041095890412</v>
      </c>
      <c r="I72" s="108">
        <f t="shared" si="43"/>
        <v>30.589041095890412</v>
      </c>
      <c r="J72" s="73">
        <f>+$AL72</f>
        <v>33.647945205479459</v>
      </c>
      <c r="K72" s="73">
        <f t="shared" ref="K72:M80" si="44">+$AL72</f>
        <v>33.647945205479459</v>
      </c>
      <c r="L72" s="73">
        <f t="shared" si="44"/>
        <v>33.647945205479459</v>
      </c>
      <c r="M72" s="108">
        <f t="shared" si="44"/>
        <v>33.647945205479459</v>
      </c>
      <c r="N72" s="73">
        <f>+$AM72</f>
        <v>33.647945205479459</v>
      </c>
      <c r="O72" s="73">
        <f t="shared" ref="O72:Q78" si="45">+$AM72</f>
        <v>33.647945205479459</v>
      </c>
      <c r="P72" s="73">
        <f t="shared" si="45"/>
        <v>33.647945205479459</v>
      </c>
      <c r="Q72" s="108">
        <f t="shared" si="45"/>
        <v>33.647945205479459</v>
      </c>
      <c r="R72" s="73">
        <f>+$AN72</f>
        <v>33.647945205479459</v>
      </c>
      <c r="S72" s="73">
        <f t="shared" ref="S72:U80" si="46">+$AN72</f>
        <v>33.647945205479459</v>
      </c>
      <c r="T72" s="73">
        <f t="shared" si="46"/>
        <v>33.647945205479459</v>
      </c>
      <c r="U72" s="108">
        <f t="shared" si="46"/>
        <v>33.647945205479459</v>
      </c>
      <c r="V72" s="73">
        <f>+$AO72</f>
        <v>33.647945205479459</v>
      </c>
      <c r="W72" s="73">
        <f t="shared" ref="W72:Y80" si="47">+$AO72</f>
        <v>33.647945205479459</v>
      </c>
      <c r="X72" s="73">
        <f t="shared" si="47"/>
        <v>33.647945205479459</v>
      </c>
      <c r="Y72" s="108">
        <f t="shared" si="47"/>
        <v>33.647945205479459</v>
      </c>
      <c r="Z72" s="122"/>
      <c r="AA72" s="122"/>
      <c r="AB72" s="122"/>
      <c r="AC72" s="122"/>
      <c r="AD72" s="122"/>
      <c r="AE72" s="122"/>
      <c r="AF72" s="73">
        <f>+AF106/7.3</f>
        <v>15.342465753424658</v>
      </c>
      <c r="AG72" s="73">
        <f>+AG106/7.3</f>
        <v>15.342465753424658</v>
      </c>
      <c r="AH72" s="73">
        <f>+AH106/7.3</f>
        <v>15.342465753424658</v>
      </c>
      <c r="AI72" s="73">
        <f>+AI106/7.3</f>
        <v>21.780821917808218</v>
      </c>
      <c r="AJ72" s="73">
        <f t="shared" ref="AJ72:AO73" si="48">+AJ106/7.3</f>
        <v>27.746457792397052</v>
      </c>
      <c r="AK72" s="73">
        <f t="shared" si="48"/>
        <v>30.589041095890412</v>
      </c>
      <c r="AL72" s="73">
        <f t="shared" si="48"/>
        <v>33.647945205479459</v>
      </c>
      <c r="AM72" s="73">
        <f t="shared" si="48"/>
        <v>33.647945205479459</v>
      </c>
      <c r="AN72" s="73">
        <f t="shared" si="48"/>
        <v>33.647945205479459</v>
      </c>
      <c r="AO72" s="73">
        <f t="shared" si="48"/>
        <v>33.647945205479459</v>
      </c>
      <c r="AP72" s="383"/>
    </row>
    <row r="73" spans="1:48" x14ac:dyDescent="0.4">
      <c r="A73" s="205" t="s">
        <v>263</v>
      </c>
      <c r="B73" s="73">
        <v>115</v>
      </c>
      <c r="C73" s="73">
        <v>115</v>
      </c>
      <c r="D73" s="73">
        <v>115</v>
      </c>
      <c r="E73" s="108">
        <v>115</v>
      </c>
      <c r="F73" s="73">
        <v>67</v>
      </c>
      <c r="G73" s="73">
        <v>67</v>
      </c>
      <c r="H73" s="73">
        <v>67</v>
      </c>
      <c r="I73" s="108">
        <v>67</v>
      </c>
      <c r="J73" s="73">
        <v>64</v>
      </c>
      <c r="K73" s="73">
        <v>64</v>
      </c>
      <c r="L73" s="73">
        <v>64</v>
      </c>
      <c r="M73" s="108">
        <v>64</v>
      </c>
      <c r="N73" s="73">
        <v>61</v>
      </c>
      <c r="O73" s="73">
        <v>61</v>
      </c>
      <c r="P73" s="73">
        <v>61</v>
      </c>
      <c r="Q73" s="108">
        <v>61</v>
      </c>
      <c r="R73" s="73">
        <v>58</v>
      </c>
      <c r="S73" s="73">
        <v>58</v>
      </c>
      <c r="T73" s="73">
        <v>58</v>
      </c>
      <c r="U73" s="108">
        <v>58</v>
      </c>
      <c r="V73" s="73">
        <v>55</v>
      </c>
      <c r="W73" s="73">
        <v>55</v>
      </c>
      <c r="X73" s="73">
        <v>55</v>
      </c>
      <c r="Y73" s="108">
        <v>55</v>
      </c>
      <c r="Z73" s="122"/>
      <c r="AA73" s="122"/>
      <c r="AB73" s="122"/>
      <c r="AC73" s="122"/>
      <c r="AD73" s="122"/>
      <c r="AE73" s="122"/>
      <c r="AF73" s="73">
        <v>350</v>
      </c>
      <c r="AG73" s="73">
        <v>300</v>
      </c>
      <c r="AH73" s="73">
        <v>254.99999999999997</v>
      </c>
      <c r="AI73" s="73">
        <v>216.75</v>
      </c>
      <c r="AJ73" s="73">
        <f>+AJ107/AJ103</f>
        <v>115</v>
      </c>
      <c r="AK73" s="73">
        <f t="shared" si="48"/>
        <v>67</v>
      </c>
      <c r="AL73" s="73">
        <f t="shared" si="48"/>
        <v>62.68493150684931</v>
      </c>
      <c r="AM73" s="73">
        <f t="shared" si="48"/>
        <v>60.895547945205493</v>
      </c>
      <c r="AN73" s="73">
        <f t="shared" si="48"/>
        <v>58</v>
      </c>
      <c r="AO73" s="73">
        <f t="shared" si="48"/>
        <v>54.999999999999993</v>
      </c>
      <c r="AP73" s="383"/>
    </row>
    <row r="74" spans="1:48" x14ac:dyDescent="0.4">
      <c r="A74" s="205" t="s">
        <v>264</v>
      </c>
      <c r="B74" s="73">
        <v>210.95890410958904</v>
      </c>
      <c r="C74" s="73">
        <v>210.95890410958904</v>
      </c>
      <c r="D74" s="73">
        <v>210.95890410958904</v>
      </c>
      <c r="E74" s="108">
        <v>210.95890410958904</v>
      </c>
      <c r="F74" s="73">
        <v>180</v>
      </c>
      <c r="G74" s="73">
        <v>180</v>
      </c>
      <c r="H74" s="73">
        <v>180</v>
      </c>
      <c r="I74" s="108">
        <v>180</v>
      </c>
      <c r="J74" s="73">
        <v>162</v>
      </c>
      <c r="K74" s="73">
        <v>162</v>
      </c>
      <c r="L74" s="73">
        <v>162</v>
      </c>
      <c r="M74" s="108">
        <v>162</v>
      </c>
      <c r="N74" s="73">
        <v>145.80000000000001</v>
      </c>
      <c r="O74" s="73">
        <v>145.80000000000001</v>
      </c>
      <c r="P74" s="73">
        <v>145.80000000000001</v>
      </c>
      <c r="Q74" s="108">
        <v>145.80000000000001</v>
      </c>
      <c r="R74" s="73">
        <v>138.51000000000002</v>
      </c>
      <c r="S74" s="73">
        <v>138.51000000000002</v>
      </c>
      <c r="T74" s="73">
        <v>138.51000000000002</v>
      </c>
      <c r="U74" s="108">
        <v>138.51000000000002</v>
      </c>
      <c r="V74" s="73">
        <v>131.58450000000002</v>
      </c>
      <c r="W74" s="73">
        <v>131.58450000000002</v>
      </c>
      <c r="X74" s="73">
        <v>131.58450000000002</v>
      </c>
      <c r="Y74" s="108">
        <v>131.58450000000002</v>
      </c>
      <c r="Z74" s="122"/>
      <c r="AA74" s="122"/>
      <c r="AB74" s="122"/>
      <c r="AC74" s="122"/>
      <c r="AD74" s="122"/>
      <c r="AE74" s="122"/>
      <c r="AF74" s="73">
        <v>0</v>
      </c>
      <c r="AG74" s="73">
        <v>0</v>
      </c>
      <c r="AH74" s="73">
        <v>300</v>
      </c>
      <c r="AI74" s="73">
        <v>250</v>
      </c>
      <c r="AJ74" s="73">
        <f t="shared" ref="AJ74:AO74" si="49">+AJ108/AJ103</f>
        <v>210.95890410958901</v>
      </c>
      <c r="AK74" s="73">
        <f t="shared" si="49"/>
        <v>179.99999999999997</v>
      </c>
      <c r="AL74" s="73">
        <f t="shared" si="49"/>
        <v>158.19569471624263</v>
      </c>
      <c r="AM74" s="73">
        <f t="shared" si="49"/>
        <v>145.55034246575346</v>
      </c>
      <c r="AN74" s="73">
        <f t="shared" si="49"/>
        <v>138.51000000000002</v>
      </c>
      <c r="AO74" s="73">
        <f t="shared" si="49"/>
        <v>131.58450000000005</v>
      </c>
      <c r="AP74" s="383"/>
    </row>
    <row r="75" spans="1:48" x14ac:dyDescent="0.4">
      <c r="A75" s="205" t="s">
        <v>265</v>
      </c>
      <c r="B75" s="73">
        <f t="shared" ref="B75:E79" si="50">+$AJ75</f>
        <v>520</v>
      </c>
      <c r="C75" s="73">
        <f t="shared" si="50"/>
        <v>520</v>
      </c>
      <c r="D75" s="73">
        <f t="shared" si="50"/>
        <v>520</v>
      </c>
      <c r="E75" s="108">
        <f t="shared" si="50"/>
        <v>520</v>
      </c>
      <c r="F75" s="73">
        <f t="shared" ref="F75:F80" si="51">+$AK75</f>
        <v>420</v>
      </c>
      <c r="G75" s="73">
        <f t="shared" si="43"/>
        <v>420</v>
      </c>
      <c r="H75" s="73">
        <f t="shared" si="43"/>
        <v>420</v>
      </c>
      <c r="I75" s="108">
        <f t="shared" si="43"/>
        <v>420</v>
      </c>
      <c r="J75" s="73">
        <f>+$AL75</f>
        <v>306</v>
      </c>
      <c r="K75" s="73">
        <f t="shared" si="44"/>
        <v>306</v>
      </c>
      <c r="L75" s="73">
        <f t="shared" si="44"/>
        <v>306</v>
      </c>
      <c r="M75" s="108">
        <f t="shared" si="44"/>
        <v>306</v>
      </c>
      <c r="N75" s="73">
        <f>+$AM75</f>
        <v>275.40000000000003</v>
      </c>
      <c r="O75" s="73">
        <f t="shared" si="45"/>
        <v>275.40000000000003</v>
      </c>
      <c r="P75" s="73">
        <f t="shared" si="45"/>
        <v>275.40000000000003</v>
      </c>
      <c r="Q75" s="108">
        <f t="shared" si="45"/>
        <v>275.40000000000003</v>
      </c>
      <c r="R75" s="73">
        <f>+$AN75</f>
        <v>247.86000000000004</v>
      </c>
      <c r="S75" s="73">
        <f t="shared" si="46"/>
        <v>247.86000000000004</v>
      </c>
      <c r="T75" s="73">
        <f t="shared" si="46"/>
        <v>247.86000000000004</v>
      </c>
      <c r="U75" s="108">
        <f t="shared" si="46"/>
        <v>247.86000000000004</v>
      </c>
      <c r="V75" s="73">
        <f>+$AO75</f>
        <v>223.07400000000004</v>
      </c>
      <c r="W75" s="73">
        <f t="shared" si="47"/>
        <v>223.07400000000004</v>
      </c>
      <c r="X75" s="73">
        <f t="shared" si="47"/>
        <v>223.07400000000004</v>
      </c>
      <c r="Y75" s="108">
        <f t="shared" si="47"/>
        <v>223.07400000000004</v>
      </c>
      <c r="Z75" s="122"/>
      <c r="AA75" s="122"/>
      <c r="AB75" s="122"/>
      <c r="AC75" s="122"/>
      <c r="AD75" s="122"/>
      <c r="AE75" s="122"/>
      <c r="AF75" s="73">
        <v>0</v>
      </c>
      <c r="AG75" s="73">
        <v>0</v>
      </c>
      <c r="AH75" s="73">
        <v>800</v>
      </c>
      <c r="AI75" s="73">
        <v>650</v>
      </c>
      <c r="AJ75" s="73">
        <v>520</v>
      </c>
      <c r="AK75" s="73">
        <v>420</v>
      </c>
      <c r="AL75" s="73">
        <v>306</v>
      </c>
      <c r="AM75" s="73">
        <v>275.40000000000003</v>
      </c>
      <c r="AN75" s="73">
        <v>247.86000000000004</v>
      </c>
      <c r="AO75" s="73">
        <v>223.07400000000004</v>
      </c>
      <c r="AP75" s="383"/>
      <c r="AQ75" s="383"/>
    </row>
    <row r="76" spans="1:48" x14ac:dyDescent="0.4">
      <c r="A76" s="205" t="s">
        <v>275</v>
      </c>
      <c r="B76" s="73">
        <f t="shared" si="50"/>
        <v>0</v>
      </c>
      <c r="C76" s="73">
        <f t="shared" si="50"/>
        <v>0</v>
      </c>
      <c r="D76" s="73">
        <f t="shared" si="50"/>
        <v>0</v>
      </c>
      <c r="E76" s="108">
        <f t="shared" si="50"/>
        <v>0</v>
      </c>
      <c r="F76" s="73">
        <f t="shared" si="51"/>
        <v>880</v>
      </c>
      <c r="G76" s="73">
        <f t="shared" si="43"/>
        <v>880</v>
      </c>
      <c r="H76" s="73">
        <f t="shared" si="43"/>
        <v>880</v>
      </c>
      <c r="I76" s="108">
        <f t="shared" si="43"/>
        <v>880</v>
      </c>
      <c r="J76" s="73">
        <v>807</v>
      </c>
      <c r="K76" s="73">
        <f t="shared" si="44"/>
        <v>600</v>
      </c>
      <c r="L76" s="73">
        <f t="shared" si="44"/>
        <v>600</v>
      </c>
      <c r="M76" s="108">
        <f t="shared" si="44"/>
        <v>600</v>
      </c>
      <c r="N76" s="73">
        <f>+M76*0.95</f>
        <v>570</v>
      </c>
      <c r="O76" s="73">
        <f>+$AM76</f>
        <v>510</v>
      </c>
      <c r="P76" s="73">
        <f t="shared" si="45"/>
        <v>510</v>
      </c>
      <c r="Q76" s="108">
        <f t="shared" si="45"/>
        <v>510</v>
      </c>
      <c r="R76" s="73">
        <f>+Q76*0.97</f>
        <v>494.7</v>
      </c>
      <c r="S76" s="73">
        <f t="shared" si="46"/>
        <v>433.5</v>
      </c>
      <c r="T76" s="73">
        <f t="shared" si="46"/>
        <v>433.5</v>
      </c>
      <c r="U76" s="108">
        <f t="shared" si="46"/>
        <v>433.5</v>
      </c>
      <c r="V76" s="73">
        <f>+U76*0.98</f>
        <v>424.83</v>
      </c>
      <c r="W76" s="73">
        <f t="shared" si="47"/>
        <v>368.47499999999997</v>
      </c>
      <c r="X76" s="73">
        <f t="shared" si="47"/>
        <v>368.47499999999997</v>
      </c>
      <c r="Y76" s="108">
        <f t="shared" si="47"/>
        <v>368.47499999999997</v>
      </c>
      <c r="Z76" s="122"/>
      <c r="AA76" s="122"/>
      <c r="AB76" s="122"/>
      <c r="AC76" s="122"/>
      <c r="AD76" s="122"/>
      <c r="AE76" s="122"/>
      <c r="AF76" s="73">
        <v>0</v>
      </c>
      <c r="AG76" s="73">
        <v>0</v>
      </c>
      <c r="AH76" s="73">
        <v>0</v>
      </c>
      <c r="AI76" s="73">
        <v>0</v>
      </c>
      <c r="AJ76" s="73">
        <v>0</v>
      </c>
      <c r="AK76" s="73">
        <v>880</v>
      </c>
      <c r="AL76" s="73">
        <v>600</v>
      </c>
      <c r="AM76" s="73">
        <f>+AL76*0.85</f>
        <v>510</v>
      </c>
      <c r="AN76" s="73">
        <f>+AM76*0.85</f>
        <v>433.5</v>
      </c>
      <c r="AO76" s="73">
        <f>+AN76*0.85</f>
        <v>368.47499999999997</v>
      </c>
      <c r="AP76" s="396"/>
      <c r="AQ76" s="383"/>
    </row>
    <row r="77" spans="1:48" x14ac:dyDescent="0.4">
      <c r="A77" s="205" t="s">
        <v>276</v>
      </c>
      <c r="B77" s="73"/>
      <c r="C77" s="73"/>
      <c r="D77" s="73"/>
      <c r="E77" s="108"/>
      <c r="F77" s="73">
        <v>0</v>
      </c>
      <c r="G77" s="73">
        <v>0</v>
      </c>
      <c r="H77" s="73">
        <v>0</v>
      </c>
      <c r="I77" s="108">
        <v>0</v>
      </c>
      <c r="J77" s="73">
        <v>0</v>
      </c>
      <c r="K77" s="73">
        <v>0</v>
      </c>
      <c r="L77" s="73">
        <v>500</v>
      </c>
      <c r="M77" s="108">
        <v>500</v>
      </c>
      <c r="N77" s="73">
        <f>+M77*0.95</f>
        <v>475</v>
      </c>
      <c r="O77" s="73">
        <f>+$AM$77</f>
        <v>450</v>
      </c>
      <c r="P77" s="73">
        <f>+$AM$77</f>
        <v>450</v>
      </c>
      <c r="Q77" s="108">
        <f>+$AM$77</f>
        <v>450</v>
      </c>
      <c r="R77" s="73">
        <f>+Q77*0.95</f>
        <v>427.5</v>
      </c>
      <c r="S77" s="73">
        <f>+$AN$77</f>
        <v>382.5</v>
      </c>
      <c r="T77" s="73">
        <f>+$AN$77</f>
        <v>382.5</v>
      </c>
      <c r="U77" s="108">
        <f>+$AN$77</f>
        <v>382.5</v>
      </c>
      <c r="V77" s="73">
        <f>+U77*0.95</f>
        <v>363.375</v>
      </c>
      <c r="W77" s="73">
        <f>+$AO$77</f>
        <v>325.125</v>
      </c>
      <c r="X77" s="73">
        <f>+$AO$77</f>
        <v>325.125</v>
      </c>
      <c r="Y77" s="108">
        <f>+$AO$77</f>
        <v>325.125</v>
      </c>
      <c r="Z77" s="122"/>
      <c r="AA77" s="122"/>
      <c r="AB77" s="122"/>
      <c r="AC77" s="122"/>
      <c r="AD77" s="122"/>
      <c r="AE77" s="122"/>
      <c r="AF77" s="73"/>
      <c r="AG77" s="73"/>
      <c r="AH77" s="73"/>
      <c r="AI77" s="73"/>
      <c r="AJ77" s="73"/>
      <c r="AK77" s="73">
        <v>0</v>
      </c>
      <c r="AL77" s="73">
        <v>500</v>
      </c>
      <c r="AM77" s="73">
        <v>450</v>
      </c>
      <c r="AN77" s="73">
        <f t="shared" ref="AN77:AO80" si="52">+AM77*0.85</f>
        <v>382.5</v>
      </c>
      <c r="AO77" s="73">
        <f t="shared" si="52"/>
        <v>325.125</v>
      </c>
      <c r="AP77" s="393"/>
      <c r="AQ77" s="383"/>
    </row>
    <row r="78" spans="1:48" x14ac:dyDescent="0.4">
      <c r="A78" s="205" t="s">
        <v>277</v>
      </c>
      <c r="B78" s="73"/>
      <c r="C78" s="73"/>
      <c r="D78" s="73"/>
      <c r="E78" s="108"/>
      <c r="F78" s="73">
        <f t="shared" si="51"/>
        <v>630</v>
      </c>
      <c r="G78" s="73">
        <f t="shared" si="43"/>
        <v>630</v>
      </c>
      <c r="H78" s="73">
        <f t="shared" si="43"/>
        <v>630</v>
      </c>
      <c r="I78" s="108">
        <f t="shared" si="43"/>
        <v>630</v>
      </c>
      <c r="J78" s="73">
        <v>578</v>
      </c>
      <c r="K78" s="73">
        <f t="shared" si="44"/>
        <v>450</v>
      </c>
      <c r="L78" s="73">
        <f t="shared" si="44"/>
        <v>450</v>
      </c>
      <c r="M78" s="108">
        <f t="shared" si="44"/>
        <v>450</v>
      </c>
      <c r="N78" s="73">
        <f>+M78*0.95</f>
        <v>427.5</v>
      </c>
      <c r="O78" s="73">
        <f t="shared" si="45"/>
        <v>382.5</v>
      </c>
      <c r="P78" s="73">
        <f t="shared" si="45"/>
        <v>382.5</v>
      </c>
      <c r="Q78" s="108">
        <f t="shared" si="45"/>
        <v>382.5</v>
      </c>
      <c r="R78" s="73">
        <f>+Q78*0.97</f>
        <v>371.02499999999998</v>
      </c>
      <c r="S78" s="73">
        <f t="shared" si="46"/>
        <v>325.125</v>
      </c>
      <c r="T78" s="73">
        <f t="shared" si="46"/>
        <v>325.125</v>
      </c>
      <c r="U78" s="108">
        <f t="shared" si="46"/>
        <v>325.125</v>
      </c>
      <c r="V78" s="73">
        <f>+U78*0.98</f>
        <v>318.6225</v>
      </c>
      <c r="W78" s="73">
        <f t="shared" si="47"/>
        <v>276.35624999999999</v>
      </c>
      <c r="X78" s="73">
        <f t="shared" si="47"/>
        <v>276.35624999999999</v>
      </c>
      <c r="Y78" s="108">
        <f t="shared" si="47"/>
        <v>276.35624999999999</v>
      </c>
      <c r="Z78" s="122"/>
      <c r="AA78" s="122"/>
      <c r="AB78" s="122"/>
      <c r="AC78" s="122"/>
      <c r="AD78" s="122"/>
      <c r="AE78" s="122"/>
      <c r="AF78" s="73">
        <v>0</v>
      </c>
      <c r="AG78" s="73">
        <v>0</v>
      </c>
      <c r="AH78" s="73">
        <v>0</v>
      </c>
      <c r="AI78" s="73">
        <v>0</v>
      </c>
      <c r="AJ78" s="73">
        <v>0</v>
      </c>
      <c r="AK78" s="73">
        <v>630</v>
      </c>
      <c r="AL78" s="73">
        <v>450</v>
      </c>
      <c r="AM78" s="73">
        <f>+AL78*0.85</f>
        <v>382.5</v>
      </c>
      <c r="AN78" s="73">
        <f t="shared" si="52"/>
        <v>325.125</v>
      </c>
      <c r="AO78" s="73">
        <f t="shared" si="52"/>
        <v>276.35624999999999</v>
      </c>
      <c r="AP78" s="396"/>
      <c r="AQ78" s="383"/>
    </row>
    <row r="79" spans="1:48" x14ac:dyDescent="0.4">
      <c r="A79" s="205" t="s">
        <v>278</v>
      </c>
      <c r="B79" s="73">
        <f t="shared" si="50"/>
        <v>0</v>
      </c>
      <c r="C79" s="73">
        <f t="shared" si="50"/>
        <v>0</v>
      </c>
      <c r="D79" s="73">
        <f t="shared" si="50"/>
        <v>0</v>
      </c>
      <c r="E79" s="108">
        <f t="shared" si="50"/>
        <v>0</v>
      </c>
      <c r="F79" s="73">
        <f t="shared" si="51"/>
        <v>0</v>
      </c>
      <c r="G79" s="73">
        <f t="shared" si="43"/>
        <v>0</v>
      </c>
      <c r="H79" s="73">
        <f t="shared" si="43"/>
        <v>0</v>
      </c>
      <c r="I79" s="108">
        <f t="shared" si="43"/>
        <v>0</v>
      </c>
      <c r="J79" s="73">
        <f t="shared" ref="J75:J80" si="53">+$AL79</f>
        <v>0</v>
      </c>
      <c r="K79" s="73">
        <f t="shared" si="44"/>
        <v>0</v>
      </c>
      <c r="L79" s="73">
        <f t="shared" si="44"/>
        <v>0</v>
      </c>
      <c r="M79" s="108">
        <v>1280</v>
      </c>
      <c r="N79" s="73">
        <v>1280</v>
      </c>
      <c r="O79" s="73">
        <v>1280</v>
      </c>
      <c r="P79" s="73">
        <v>1280</v>
      </c>
      <c r="Q79" s="108">
        <v>1280</v>
      </c>
      <c r="R79" s="73">
        <f>+Q79*0.9</f>
        <v>1152</v>
      </c>
      <c r="S79" s="73">
        <f t="shared" si="46"/>
        <v>1088</v>
      </c>
      <c r="T79" s="73">
        <f t="shared" si="46"/>
        <v>1088</v>
      </c>
      <c r="U79" s="108">
        <f t="shared" si="46"/>
        <v>1088</v>
      </c>
      <c r="V79" s="73">
        <f>+U79*0.9</f>
        <v>979.2</v>
      </c>
      <c r="W79" s="73">
        <f t="shared" si="47"/>
        <v>924.8</v>
      </c>
      <c r="X79" s="73">
        <f t="shared" si="47"/>
        <v>924.8</v>
      </c>
      <c r="Y79" s="108">
        <f t="shared" si="47"/>
        <v>924.8</v>
      </c>
      <c r="Z79" s="122"/>
      <c r="AA79" s="122"/>
      <c r="AB79" s="122"/>
      <c r="AC79" s="122"/>
      <c r="AD79" s="122"/>
      <c r="AE79" s="122"/>
      <c r="AF79" s="73">
        <v>0</v>
      </c>
      <c r="AG79" s="73">
        <v>0</v>
      </c>
      <c r="AH79" s="73">
        <v>0</v>
      </c>
      <c r="AI79" s="73">
        <v>0</v>
      </c>
      <c r="AJ79" s="73">
        <v>0</v>
      </c>
      <c r="AK79" s="73">
        <v>0</v>
      </c>
      <c r="AL79" s="73">
        <v>0</v>
      </c>
      <c r="AM79" s="73">
        <v>1280</v>
      </c>
      <c r="AN79" s="73">
        <f t="shared" si="52"/>
        <v>1088</v>
      </c>
      <c r="AO79" s="73">
        <f t="shared" si="52"/>
        <v>924.8</v>
      </c>
      <c r="AP79" s="396"/>
    </row>
    <row r="80" spans="1:48" x14ac:dyDescent="0.4">
      <c r="A80" s="205" t="s">
        <v>279</v>
      </c>
      <c r="B80" s="73"/>
      <c r="C80" s="73"/>
      <c r="D80" s="73"/>
      <c r="E80" s="108"/>
      <c r="F80" s="73">
        <f t="shared" si="51"/>
        <v>0</v>
      </c>
      <c r="G80" s="73">
        <f t="shared" si="43"/>
        <v>0</v>
      </c>
      <c r="H80" s="73">
        <f t="shared" si="43"/>
        <v>0</v>
      </c>
      <c r="I80" s="108">
        <f t="shared" si="43"/>
        <v>0</v>
      </c>
      <c r="J80" s="73">
        <f t="shared" si="53"/>
        <v>0</v>
      </c>
      <c r="K80" s="73">
        <f t="shared" si="44"/>
        <v>0</v>
      </c>
      <c r="L80" s="73">
        <f t="shared" si="44"/>
        <v>0</v>
      </c>
      <c r="M80" s="108">
        <v>950</v>
      </c>
      <c r="N80" s="73">
        <f>+$AM$80</f>
        <v>950</v>
      </c>
      <c r="O80" s="73">
        <f>+$AM$80</f>
        <v>950</v>
      </c>
      <c r="P80" s="73">
        <f>+$AM$80</f>
        <v>950</v>
      </c>
      <c r="Q80" s="108">
        <f>+$AM$80</f>
        <v>950</v>
      </c>
      <c r="R80" s="73">
        <f>+Q80*0.9</f>
        <v>855</v>
      </c>
      <c r="S80" s="73">
        <f>+$AN80</f>
        <v>807.5</v>
      </c>
      <c r="T80" s="73">
        <f t="shared" si="46"/>
        <v>807.5</v>
      </c>
      <c r="U80" s="108">
        <f t="shared" si="46"/>
        <v>807.5</v>
      </c>
      <c r="V80" s="73">
        <f>+U80*0.9</f>
        <v>726.75</v>
      </c>
      <c r="W80" s="73">
        <f t="shared" si="47"/>
        <v>686.375</v>
      </c>
      <c r="X80" s="73">
        <f t="shared" si="47"/>
        <v>686.375</v>
      </c>
      <c r="Y80" s="108">
        <f t="shared" si="47"/>
        <v>686.375</v>
      </c>
      <c r="Z80" s="122"/>
      <c r="AA80" s="122"/>
      <c r="AB80" s="122"/>
      <c r="AC80" s="122"/>
      <c r="AD80" s="122"/>
      <c r="AE80" s="122"/>
      <c r="AF80" s="73">
        <v>0</v>
      </c>
      <c r="AG80" s="73">
        <v>0</v>
      </c>
      <c r="AH80" s="73">
        <v>0</v>
      </c>
      <c r="AI80" s="73">
        <v>0</v>
      </c>
      <c r="AJ80" s="73">
        <v>0</v>
      </c>
      <c r="AK80" s="73">
        <v>0</v>
      </c>
      <c r="AL80" s="73">
        <v>0</v>
      </c>
      <c r="AM80" s="73">
        <v>950</v>
      </c>
      <c r="AN80" s="73">
        <f t="shared" si="52"/>
        <v>807.5</v>
      </c>
      <c r="AO80" s="73">
        <f t="shared" si="52"/>
        <v>686.375</v>
      </c>
      <c r="AP80" s="396"/>
    </row>
    <row r="81" spans="1:42" x14ac:dyDescent="0.4">
      <c r="A81" s="205" t="s">
        <v>268</v>
      </c>
      <c r="B81" s="73"/>
      <c r="C81" s="73"/>
      <c r="D81" s="73"/>
      <c r="E81" s="108"/>
      <c r="F81" s="73"/>
      <c r="G81" s="73"/>
      <c r="H81" s="73"/>
      <c r="I81" s="108"/>
      <c r="J81" s="73"/>
      <c r="K81" s="73"/>
      <c r="L81" s="73"/>
      <c r="M81" s="108"/>
      <c r="N81" s="73"/>
      <c r="O81" s="73"/>
      <c r="P81" s="73"/>
      <c r="Q81" s="108"/>
      <c r="R81" s="73"/>
      <c r="S81" s="73"/>
      <c r="T81" s="73"/>
      <c r="U81" s="108"/>
      <c r="V81" s="73"/>
      <c r="W81" s="73"/>
      <c r="X81" s="73">
        <v>1920</v>
      </c>
      <c r="Y81" s="108">
        <v>1920</v>
      </c>
      <c r="Z81" s="122"/>
      <c r="AA81" s="122"/>
      <c r="AB81" s="122"/>
      <c r="AC81" s="122"/>
      <c r="AD81" s="122"/>
      <c r="AE81" s="122"/>
      <c r="AF81" s="73"/>
      <c r="AG81" s="73"/>
      <c r="AH81" s="73"/>
      <c r="AI81" s="73"/>
      <c r="AJ81" s="73"/>
      <c r="AK81" s="73"/>
      <c r="AL81" s="73"/>
      <c r="AM81" s="73"/>
      <c r="AN81" s="73"/>
      <c r="AO81" s="73">
        <v>1920</v>
      </c>
      <c r="AP81" s="396"/>
    </row>
    <row r="82" spans="1:42" x14ac:dyDescent="0.4">
      <c r="A82" s="346"/>
      <c r="B82" s="90"/>
      <c r="C82" s="90"/>
      <c r="D82" s="90"/>
      <c r="E82" s="144"/>
      <c r="F82" s="90"/>
      <c r="G82" s="90"/>
      <c r="H82" s="90"/>
      <c r="I82" s="144"/>
      <c r="J82" s="90"/>
      <c r="K82" s="90"/>
      <c r="L82" s="90"/>
      <c r="M82" s="144"/>
      <c r="N82" s="90"/>
      <c r="O82" s="90"/>
      <c r="P82" s="90"/>
      <c r="Q82" s="144"/>
      <c r="R82" s="90"/>
      <c r="S82" s="90"/>
      <c r="T82" s="90"/>
      <c r="U82" s="144"/>
      <c r="V82" s="90"/>
      <c r="W82" s="90"/>
      <c r="X82" s="90"/>
      <c r="Y82" s="144"/>
      <c r="Z82" s="122"/>
      <c r="AA82" s="122"/>
      <c r="AB82" s="122"/>
      <c r="AC82" s="122"/>
      <c r="AD82" s="122"/>
      <c r="AE82" s="122"/>
      <c r="AF82" s="73"/>
      <c r="AG82" s="73"/>
      <c r="AH82" s="73"/>
      <c r="AI82" s="73"/>
      <c r="AJ82" s="73"/>
      <c r="AK82" s="73"/>
      <c r="AL82" s="73"/>
      <c r="AM82" s="73">
        <f>+SUM(AM49:AM51)/AM70/7.3</f>
        <v>480.52811428227602</v>
      </c>
      <c r="AN82" s="73">
        <f>+SUM(AN49:AN51)/AN70/7.3</f>
        <v>413.05200000000008</v>
      </c>
      <c r="AO82" s="73">
        <f>+SUM(AO49:AO51)/AO70/7.3</f>
        <v>359.4778258928572</v>
      </c>
      <c r="AP82" s="383"/>
    </row>
    <row r="83" spans="1:42" x14ac:dyDescent="0.4">
      <c r="A83" s="346" t="s">
        <v>285</v>
      </c>
      <c r="B83" s="87"/>
      <c r="C83" s="87"/>
      <c r="D83" s="87"/>
      <c r="E83" s="151"/>
      <c r="F83" s="87"/>
      <c r="G83" s="87"/>
      <c r="H83" s="87"/>
      <c r="I83" s="151"/>
      <c r="J83" s="87"/>
      <c r="K83" s="87"/>
      <c r="L83" s="87"/>
      <c r="M83" s="151"/>
      <c r="N83" s="87"/>
      <c r="O83" s="87"/>
      <c r="P83" s="87"/>
      <c r="Q83" s="151"/>
      <c r="R83" s="87"/>
      <c r="S83" s="87"/>
      <c r="T83" s="87"/>
      <c r="U83" s="151"/>
      <c r="V83" s="87"/>
      <c r="W83" s="87"/>
      <c r="X83" s="87"/>
      <c r="Y83" s="151"/>
      <c r="Z83" s="122"/>
      <c r="AA83" s="122"/>
      <c r="AB83" s="122"/>
      <c r="AC83" s="122"/>
      <c r="AD83" s="122"/>
      <c r="AE83" s="122"/>
      <c r="AF83" s="73"/>
      <c r="AG83" s="73"/>
      <c r="AH83" s="73"/>
      <c r="AI83" s="73"/>
      <c r="AJ83" s="73"/>
      <c r="AK83" s="73"/>
      <c r="AL83" s="73"/>
      <c r="AM83" s="73">
        <f>+SUM(AM52:AM53)/AM71/7.3</f>
        <v>949.56621004566205</v>
      </c>
      <c r="AN83" s="73">
        <f>+SUM(AN52:AN53)/AN71/7.3</f>
        <v>844.52631578947376</v>
      </c>
      <c r="AO83" s="73">
        <f>+SUM(AO52:AO53)/AO71/7.3</f>
        <v>757.54732142857131</v>
      </c>
      <c r="AP83" s="383"/>
    </row>
    <row r="84" spans="1:42" x14ac:dyDescent="0.4">
      <c r="A84" s="205" t="s">
        <v>286</v>
      </c>
      <c r="B84" s="87">
        <f>+B72/40</f>
        <v>0.69366144480992631</v>
      </c>
      <c r="C84" s="87">
        <f>+C72/40</f>
        <v>0.69366144480992631</v>
      </c>
      <c r="D84" s="87">
        <f>+D72/40</f>
        <v>0.69366144480992631</v>
      </c>
      <c r="E84" s="151">
        <f>+E72/40</f>
        <v>0.69366144480992631</v>
      </c>
      <c r="F84" s="87">
        <f t="shared" ref="F84:Y84" si="54">+F72/40</f>
        <v>0.76472602739726026</v>
      </c>
      <c r="G84" s="87">
        <f t="shared" si="54"/>
        <v>0.76472602739726026</v>
      </c>
      <c r="H84" s="87">
        <f t="shared" si="54"/>
        <v>0.76472602739726026</v>
      </c>
      <c r="I84" s="151">
        <f t="shared" si="54"/>
        <v>0.76472602739726026</v>
      </c>
      <c r="J84" s="87">
        <f t="shared" si="54"/>
        <v>0.84119863013698648</v>
      </c>
      <c r="K84" s="87">
        <f t="shared" si="54"/>
        <v>0.84119863013698648</v>
      </c>
      <c r="L84" s="87">
        <f t="shared" si="54"/>
        <v>0.84119863013698648</v>
      </c>
      <c r="M84" s="151">
        <f t="shared" si="54"/>
        <v>0.84119863013698648</v>
      </c>
      <c r="N84" s="87">
        <f t="shared" si="54"/>
        <v>0.84119863013698648</v>
      </c>
      <c r="O84" s="87">
        <f t="shared" si="54"/>
        <v>0.84119863013698648</v>
      </c>
      <c r="P84" s="87">
        <f t="shared" si="54"/>
        <v>0.84119863013698648</v>
      </c>
      <c r="Q84" s="151">
        <f t="shared" si="54"/>
        <v>0.84119863013698648</v>
      </c>
      <c r="R84" s="87">
        <f t="shared" si="54"/>
        <v>0.84119863013698648</v>
      </c>
      <c r="S84" s="87">
        <f t="shared" si="54"/>
        <v>0.84119863013698648</v>
      </c>
      <c r="T84" s="87">
        <f t="shared" si="54"/>
        <v>0.84119863013698648</v>
      </c>
      <c r="U84" s="151">
        <f t="shared" si="54"/>
        <v>0.84119863013698648</v>
      </c>
      <c r="V84" s="87">
        <f t="shared" si="54"/>
        <v>0.84119863013698648</v>
      </c>
      <c r="W84" s="87">
        <f t="shared" si="54"/>
        <v>0.84119863013698648</v>
      </c>
      <c r="X84" s="87">
        <f t="shared" si="54"/>
        <v>0.84119863013698648</v>
      </c>
      <c r="Y84" s="151">
        <f t="shared" si="54"/>
        <v>0.84119863013698648</v>
      </c>
      <c r="Z84" s="122"/>
      <c r="AA84" s="122"/>
      <c r="AB84" s="122"/>
      <c r="AC84" s="122"/>
      <c r="AD84" s="122"/>
      <c r="AE84" s="122"/>
      <c r="AF84" s="87">
        <f t="shared" ref="AF84:AO84" si="55">+AF72/40</f>
        <v>0.38356164383561647</v>
      </c>
      <c r="AG84" s="87">
        <f t="shared" si="55"/>
        <v>0.38356164383561647</v>
      </c>
      <c r="AH84" s="87">
        <f t="shared" si="55"/>
        <v>0.38356164383561647</v>
      </c>
      <c r="AI84" s="87">
        <f t="shared" si="55"/>
        <v>0.54452054794520544</v>
      </c>
      <c r="AJ84" s="87">
        <f t="shared" si="55"/>
        <v>0.69366144480992631</v>
      </c>
      <c r="AK84" s="87">
        <f t="shared" si="55"/>
        <v>0.76472602739726026</v>
      </c>
      <c r="AL84" s="87">
        <f t="shared" si="55"/>
        <v>0.84119863013698648</v>
      </c>
      <c r="AM84" s="87">
        <f t="shared" si="55"/>
        <v>0.84119863013698648</v>
      </c>
      <c r="AN84" s="87">
        <f t="shared" si="55"/>
        <v>0.84119863013698648</v>
      </c>
      <c r="AO84" s="87">
        <f t="shared" si="55"/>
        <v>0.84119863013698648</v>
      </c>
      <c r="AP84" s="383"/>
    </row>
    <row r="85" spans="1:42" x14ac:dyDescent="0.4">
      <c r="A85" s="205" t="s">
        <v>263</v>
      </c>
      <c r="B85" s="87">
        <f>+B73/100</f>
        <v>1.1499999999999999</v>
      </c>
      <c r="C85" s="87">
        <f>+C73/100</f>
        <v>1.1499999999999999</v>
      </c>
      <c r="D85" s="87">
        <f>+D73/100</f>
        <v>1.1499999999999999</v>
      </c>
      <c r="E85" s="151">
        <f>+E73/100</f>
        <v>1.1499999999999999</v>
      </c>
      <c r="F85" s="87">
        <f t="shared" ref="F85:Y85" si="56">+F73/100</f>
        <v>0.67</v>
      </c>
      <c r="G85" s="87">
        <f t="shared" si="56"/>
        <v>0.67</v>
      </c>
      <c r="H85" s="87">
        <f t="shared" si="56"/>
        <v>0.67</v>
      </c>
      <c r="I85" s="151">
        <f t="shared" si="56"/>
        <v>0.67</v>
      </c>
      <c r="J85" s="87">
        <f t="shared" si="56"/>
        <v>0.64</v>
      </c>
      <c r="K85" s="87">
        <f t="shared" si="56"/>
        <v>0.64</v>
      </c>
      <c r="L85" s="87">
        <f t="shared" si="56"/>
        <v>0.64</v>
      </c>
      <c r="M85" s="151">
        <f t="shared" si="56"/>
        <v>0.64</v>
      </c>
      <c r="N85" s="87">
        <f t="shared" si="56"/>
        <v>0.61</v>
      </c>
      <c r="O85" s="87">
        <f t="shared" si="56"/>
        <v>0.61</v>
      </c>
      <c r="P85" s="87">
        <f t="shared" si="56"/>
        <v>0.61</v>
      </c>
      <c r="Q85" s="151">
        <f t="shared" si="56"/>
        <v>0.61</v>
      </c>
      <c r="R85" s="87">
        <f t="shared" si="56"/>
        <v>0.57999999999999996</v>
      </c>
      <c r="S85" s="87">
        <f t="shared" si="56"/>
        <v>0.57999999999999996</v>
      </c>
      <c r="T85" s="87">
        <f t="shared" si="56"/>
        <v>0.57999999999999996</v>
      </c>
      <c r="U85" s="151">
        <f t="shared" si="56"/>
        <v>0.57999999999999996</v>
      </c>
      <c r="V85" s="87">
        <f t="shared" si="56"/>
        <v>0.55000000000000004</v>
      </c>
      <c r="W85" s="87">
        <f t="shared" si="56"/>
        <v>0.55000000000000004</v>
      </c>
      <c r="X85" s="87">
        <f t="shared" si="56"/>
        <v>0.55000000000000004</v>
      </c>
      <c r="Y85" s="151">
        <f t="shared" si="56"/>
        <v>0.55000000000000004</v>
      </c>
      <c r="Z85" s="122"/>
      <c r="AA85" s="122"/>
      <c r="AB85" s="122"/>
      <c r="AC85" s="122"/>
      <c r="AD85" s="122"/>
      <c r="AE85" s="122"/>
      <c r="AF85" s="87">
        <f t="shared" ref="AF85:AO85" si="57">+AF73/100</f>
        <v>3.5</v>
      </c>
      <c r="AG85" s="87">
        <f t="shared" si="57"/>
        <v>3</v>
      </c>
      <c r="AH85" s="87">
        <f t="shared" si="57"/>
        <v>2.5499999999999998</v>
      </c>
      <c r="AI85" s="87">
        <f t="shared" si="57"/>
        <v>2.1675</v>
      </c>
      <c r="AJ85" s="87">
        <f t="shared" si="57"/>
        <v>1.1499999999999999</v>
      </c>
      <c r="AK85" s="87">
        <f t="shared" si="57"/>
        <v>0.67</v>
      </c>
      <c r="AL85" s="87">
        <f t="shared" si="57"/>
        <v>0.62684931506849306</v>
      </c>
      <c r="AM85" s="87">
        <f t="shared" si="57"/>
        <v>0.60895547945205497</v>
      </c>
      <c r="AN85" s="87">
        <f t="shared" si="57"/>
        <v>0.57999999999999996</v>
      </c>
      <c r="AO85" s="87">
        <f t="shared" si="57"/>
        <v>0.54999999999999993</v>
      </c>
      <c r="AP85" s="383"/>
    </row>
    <row r="86" spans="1:42" x14ac:dyDescent="0.4">
      <c r="A86" s="205" t="s">
        <v>264</v>
      </c>
      <c r="B86" s="87">
        <f>+B74/200</f>
        <v>1.0547945205479452</v>
      </c>
      <c r="C86" s="87">
        <f>+C74/200</f>
        <v>1.0547945205479452</v>
      </c>
      <c r="D86" s="87">
        <f>+D74/200</f>
        <v>1.0547945205479452</v>
      </c>
      <c r="E86" s="151">
        <f>+E74/200</f>
        <v>1.0547945205479452</v>
      </c>
      <c r="F86" s="87">
        <f t="shared" ref="F86:Y86" si="58">+F74/200</f>
        <v>0.9</v>
      </c>
      <c r="G86" s="87">
        <f t="shared" si="58"/>
        <v>0.9</v>
      </c>
      <c r="H86" s="87">
        <f t="shared" si="58"/>
        <v>0.9</v>
      </c>
      <c r="I86" s="151">
        <f t="shared" si="58"/>
        <v>0.9</v>
      </c>
      <c r="J86" s="87">
        <f t="shared" si="58"/>
        <v>0.81</v>
      </c>
      <c r="K86" s="87">
        <f t="shared" si="58"/>
        <v>0.81</v>
      </c>
      <c r="L86" s="87">
        <f t="shared" si="58"/>
        <v>0.81</v>
      </c>
      <c r="M86" s="151">
        <f t="shared" si="58"/>
        <v>0.81</v>
      </c>
      <c r="N86" s="87">
        <f t="shared" si="58"/>
        <v>0.72900000000000009</v>
      </c>
      <c r="O86" s="87">
        <f t="shared" si="58"/>
        <v>0.72900000000000009</v>
      </c>
      <c r="P86" s="87">
        <f t="shared" si="58"/>
        <v>0.72900000000000009</v>
      </c>
      <c r="Q86" s="151">
        <f t="shared" si="58"/>
        <v>0.72900000000000009</v>
      </c>
      <c r="R86" s="87">
        <f t="shared" si="58"/>
        <v>0.69255000000000011</v>
      </c>
      <c r="S86" s="87">
        <f t="shared" si="58"/>
        <v>0.69255000000000011</v>
      </c>
      <c r="T86" s="87">
        <f t="shared" si="58"/>
        <v>0.69255000000000011</v>
      </c>
      <c r="U86" s="151">
        <f t="shared" si="58"/>
        <v>0.69255000000000011</v>
      </c>
      <c r="V86" s="87">
        <f t="shared" si="58"/>
        <v>0.65792250000000008</v>
      </c>
      <c r="W86" s="87">
        <f t="shared" si="58"/>
        <v>0.65792250000000008</v>
      </c>
      <c r="X86" s="87">
        <f t="shared" si="58"/>
        <v>0.65792250000000008</v>
      </c>
      <c r="Y86" s="151">
        <f t="shared" si="58"/>
        <v>0.65792250000000008</v>
      </c>
      <c r="Z86" s="122"/>
      <c r="AA86" s="122"/>
      <c r="AB86" s="122"/>
      <c r="AC86" s="122"/>
      <c r="AD86" s="122"/>
      <c r="AE86" s="122"/>
      <c r="AF86" s="87">
        <f t="shared" ref="AF86:AO86" si="59">+AF74/200</f>
        <v>0</v>
      </c>
      <c r="AG86" s="87">
        <f t="shared" si="59"/>
        <v>0</v>
      </c>
      <c r="AH86" s="87">
        <f t="shared" si="59"/>
        <v>1.5</v>
      </c>
      <c r="AI86" s="87">
        <f t="shared" si="59"/>
        <v>1.25</v>
      </c>
      <c r="AJ86" s="87">
        <f t="shared" si="59"/>
        <v>1.054794520547945</v>
      </c>
      <c r="AK86" s="87">
        <f t="shared" si="59"/>
        <v>0.89999999999999991</v>
      </c>
      <c r="AL86" s="87">
        <f t="shared" si="59"/>
        <v>0.79097847358121309</v>
      </c>
      <c r="AM86" s="87">
        <f t="shared" si="59"/>
        <v>0.72775171232876734</v>
      </c>
      <c r="AN86" s="87">
        <f t="shared" si="59"/>
        <v>0.69255000000000011</v>
      </c>
      <c r="AO86" s="87">
        <f t="shared" si="59"/>
        <v>0.65792250000000019</v>
      </c>
      <c r="AP86" s="383"/>
    </row>
    <row r="87" spans="1:42" x14ac:dyDescent="0.4">
      <c r="A87" s="205" t="s">
        <v>265</v>
      </c>
      <c r="B87" s="87">
        <f>+B75/400</f>
        <v>1.3</v>
      </c>
      <c r="C87" s="87">
        <f>+C75/400</f>
        <v>1.3</v>
      </c>
      <c r="D87" s="87">
        <f>+D75/400</f>
        <v>1.3</v>
      </c>
      <c r="E87" s="151">
        <f>+E75/400</f>
        <v>1.3</v>
      </c>
      <c r="F87" s="87">
        <f t="shared" ref="F87:Y87" si="60">+F75/400</f>
        <v>1.05</v>
      </c>
      <c r="G87" s="87">
        <f t="shared" si="60"/>
        <v>1.05</v>
      </c>
      <c r="H87" s="87">
        <f t="shared" si="60"/>
        <v>1.05</v>
      </c>
      <c r="I87" s="151">
        <f t="shared" si="60"/>
        <v>1.05</v>
      </c>
      <c r="J87" s="87">
        <f t="shared" si="60"/>
        <v>0.76500000000000001</v>
      </c>
      <c r="K87" s="87">
        <f t="shared" si="60"/>
        <v>0.76500000000000001</v>
      </c>
      <c r="L87" s="87">
        <f t="shared" si="60"/>
        <v>0.76500000000000001</v>
      </c>
      <c r="M87" s="151">
        <f t="shared" si="60"/>
        <v>0.76500000000000001</v>
      </c>
      <c r="N87" s="87">
        <f t="shared" si="60"/>
        <v>0.68850000000000011</v>
      </c>
      <c r="O87" s="87">
        <f t="shared" si="60"/>
        <v>0.68850000000000011</v>
      </c>
      <c r="P87" s="87">
        <f t="shared" si="60"/>
        <v>0.68850000000000011</v>
      </c>
      <c r="Q87" s="151">
        <f t="shared" si="60"/>
        <v>0.68850000000000011</v>
      </c>
      <c r="R87" s="87">
        <f t="shared" si="60"/>
        <v>0.61965000000000015</v>
      </c>
      <c r="S87" s="87">
        <f t="shared" si="60"/>
        <v>0.61965000000000015</v>
      </c>
      <c r="T87" s="87">
        <f t="shared" si="60"/>
        <v>0.61965000000000015</v>
      </c>
      <c r="U87" s="151">
        <f t="shared" si="60"/>
        <v>0.61965000000000015</v>
      </c>
      <c r="V87" s="87">
        <f t="shared" si="60"/>
        <v>0.5576850000000001</v>
      </c>
      <c r="W87" s="87">
        <f t="shared" si="60"/>
        <v>0.5576850000000001</v>
      </c>
      <c r="X87" s="87">
        <f t="shared" si="60"/>
        <v>0.5576850000000001</v>
      </c>
      <c r="Y87" s="151">
        <f t="shared" si="60"/>
        <v>0.5576850000000001</v>
      </c>
      <c r="Z87" s="122"/>
      <c r="AA87" s="122"/>
      <c r="AB87" s="122"/>
      <c r="AC87" s="122"/>
      <c r="AD87" s="122"/>
      <c r="AE87" s="122"/>
      <c r="AF87" s="87">
        <f t="shared" ref="AF87:AO87" si="61">+AF75/400</f>
        <v>0</v>
      </c>
      <c r="AG87" s="87">
        <f t="shared" si="61"/>
        <v>0</v>
      </c>
      <c r="AH87" s="87">
        <f t="shared" si="61"/>
        <v>2</v>
      </c>
      <c r="AI87" s="87">
        <f t="shared" si="61"/>
        <v>1.625</v>
      </c>
      <c r="AJ87" s="87">
        <f t="shared" si="61"/>
        <v>1.3</v>
      </c>
      <c r="AK87" s="87">
        <f t="shared" si="61"/>
        <v>1.05</v>
      </c>
      <c r="AL87" s="87">
        <f t="shared" si="61"/>
        <v>0.76500000000000001</v>
      </c>
      <c r="AM87" s="87">
        <f t="shared" si="61"/>
        <v>0.68850000000000011</v>
      </c>
      <c r="AN87" s="87">
        <f t="shared" si="61"/>
        <v>0.61965000000000015</v>
      </c>
      <c r="AO87" s="87">
        <f t="shared" si="61"/>
        <v>0.5576850000000001</v>
      </c>
      <c r="AP87" s="383"/>
    </row>
    <row r="88" spans="1:42" x14ac:dyDescent="0.4">
      <c r="A88" s="205" t="s">
        <v>266</v>
      </c>
      <c r="B88" s="87">
        <f>+B76/800</f>
        <v>0</v>
      </c>
      <c r="C88" s="87">
        <f>+C76/800</f>
        <v>0</v>
      </c>
      <c r="D88" s="87">
        <f>+D76/800</f>
        <v>0</v>
      </c>
      <c r="E88" s="151">
        <f>+E76/800</f>
        <v>0</v>
      </c>
      <c r="F88" s="87">
        <f t="shared" ref="F88:Y88" si="62">+F76/800</f>
        <v>1.1000000000000001</v>
      </c>
      <c r="G88" s="87">
        <f t="shared" si="62"/>
        <v>1.1000000000000001</v>
      </c>
      <c r="H88" s="87">
        <f t="shared" si="62"/>
        <v>1.1000000000000001</v>
      </c>
      <c r="I88" s="151">
        <f t="shared" si="62"/>
        <v>1.1000000000000001</v>
      </c>
      <c r="J88" s="87">
        <f t="shared" si="62"/>
        <v>1.00875</v>
      </c>
      <c r="K88" s="87">
        <f t="shared" si="62"/>
        <v>0.75</v>
      </c>
      <c r="L88" s="87">
        <f t="shared" si="62"/>
        <v>0.75</v>
      </c>
      <c r="M88" s="151">
        <f t="shared" si="62"/>
        <v>0.75</v>
      </c>
      <c r="N88" s="87">
        <f t="shared" si="62"/>
        <v>0.71250000000000002</v>
      </c>
      <c r="O88" s="87">
        <f t="shared" si="62"/>
        <v>0.63749999999999996</v>
      </c>
      <c r="P88" s="87">
        <f t="shared" si="62"/>
        <v>0.63749999999999996</v>
      </c>
      <c r="Q88" s="151">
        <f t="shared" si="62"/>
        <v>0.63749999999999996</v>
      </c>
      <c r="R88" s="87">
        <f>+R76/800</f>
        <v>0.61837500000000001</v>
      </c>
      <c r="S88" s="87">
        <f t="shared" si="62"/>
        <v>0.541875</v>
      </c>
      <c r="T88" s="87">
        <f t="shared" si="62"/>
        <v>0.541875</v>
      </c>
      <c r="U88" s="151">
        <f t="shared" si="62"/>
        <v>0.541875</v>
      </c>
      <c r="V88" s="87">
        <f t="shared" si="62"/>
        <v>0.53103749999999994</v>
      </c>
      <c r="W88" s="87">
        <f t="shared" si="62"/>
        <v>0.46059374999999997</v>
      </c>
      <c r="X88" s="87">
        <f t="shared" si="62"/>
        <v>0.46059374999999997</v>
      </c>
      <c r="Y88" s="151">
        <f t="shared" si="62"/>
        <v>0.46059374999999997</v>
      </c>
      <c r="Z88" s="122"/>
      <c r="AA88" s="122"/>
      <c r="AB88" s="122"/>
      <c r="AC88" s="122"/>
      <c r="AD88" s="122"/>
      <c r="AE88" s="122"/>
      <c r="AF88" s="87">
        <f t="shared" ref="AF88:AO88" si="63">+AF76/800</f>
        <v>0</v>
      </c>
      <c r="AG88" s="87">
        <f t="shared" si="63"/>
        <v>0</v>
      </c>
      <c r="AH88" s="87">
        <f t="shared" si="63"/>
        <v>0</v>
      </c>
      <c r="AI88" s="87">
        <f t="shared" si="63"/>
        <v>0</v>
      </c>
      <c r="AJ88" s="87">
        <f t="shared" si="63"/>
        <v>0</v>
      </c>
      <c r="AK88" s="87">
        <f t="shared" si="63"/>
        <v>1.1000000000000001</v>
      </c>
      <c r="AL88" s="87">
        <f t="shared" si="63"/>
        <v>0.75</v>
      </c>
      <c r="AM88" s="87">
        <f t="shared" si="63"/>
        <v>0.63749999999999996</v>
      </c>
      <c r="AN88" s="87">
        <f t="shared" si="63"/>
        <v>0.541875</v>
      </c>
      <c r="AO88" s="87">
        <f t="shared" si="63"/>
        <v>0.46059374999999997</v>
      </c>
      <c r="AP88" s="383"/>
    </row>
    <row r="89" spans="1:42" x14ac:dyDescent="0.4">
      <c r="A89" s="205" t="s">
        <v>267</v>
      </c>
      <c r="B89" s="87">
        <f>+B79/1600</f>
        <v>0</v>
      </c>
      <c r="C89" s="87">
        <f>+C79/1600</f>
        <v>0</v>
      </c>
      <c r="D89" s="87">
        <f>+D79/1600</f>
        <v>0</v>
      </c>
      <c r="E89" s="151">
        <f>+E79/1600</f>
        <v>0</v>
      </c>
      <c r="F89" s="87">
        <f t="shared" ref="F89:Y89" si="64">+F79/1600</f>
        <v>0</v>
      </c>
      <c r="G89" s="87">
        <f t="shared" si="64"/>
        <v>0</v>
      </c>
      <c r="H89" s="87">
        <f t="shared" si="64"/>
        <v>0</v>
      </c>
      <c r="I89" s="151">
        <f t="shared" si="64"/>
        <v>0</v>
      </c>
      <c r="J89" s="87">
        <f t="shared" si="64"/>
        <v>0</v>
      </c>
      <c r="K89" s="87">
        <f t="shared" si="64"/>
        <v>0</v>
      </c>
      <c r="L89" s="87">
        <f t="shared" si="64"/>
        <v>0</v>
      </c>
      <c r="M89" s="151">
        <f t="shared" si="64"/>
        <v>0.8</v>
      </c>
      <c r="N89" s="87">
        <f t="shared" si="64"/>
        <v>0.8</v>
      </c>
      <c r="O89" s="87">
        <f t="shared" si="64"/>
        <v>0.8</v>
      </c>
      <c r="P89" s="87">
        <f t="shared" si="64"/>
        <v>0.8</v>
      </c>
      <c r="Q89" s="151">
        <f t="shared" si="64"/>
        <v>0.8</v>
      </c>
      <c r="R89" s="87">
        <f t="shared" si="64"/>
        <v>0.72</v>
      </c>
      <c r="S89" s="87">
        <f t="shared" si="64"/>
        <v>0.68</v>
      </c>
      <c r="T89" s="87">
        <f t="shared" si="64"/>
        <v>0.68</v>
      </c>
      <c r="U89" s="151">
        <f t="shared" si="64"/>
        <v>0.68</v>
      </c>
      <c r="V89" s="87">
        <f t="shared" si="64"/>
        <v>0.61199999999999999</v>
      </c>
      <c r="W89" s="87">
        <f t="shared" si="64"/>
        <v>0.57799999999999996</v>
      </c>
      <c r="X89" s="87">
        <f t="shared" si="64"/>
        <v>0.57799999999999996</v>
      </c>
      <c r="Y89" s="151">
        <f t="shared" si="64"/>
        <v>0.57799999999999996</v>
      </c>
      <c r="Z89" s="122"/>
      <c r="AA89" s="122"/>
      <c r="AB89" s="122"/>
      <c r="AC89" s="122"/>
      <c r="AD89" s="122"/>
      <c r="AE89" s="122"/>
      <c r="AF89" s="87">
        <f t="shared" ref="AF89:AO89" si="65">+AF79/1600</f>
        <v>0</v>
      </c>
      <c r="AG89" s="87">
        <f t="shared" si="65"/>
        <v>0</v>
      </c>
      <c r="AH89" s="87">
        <f t="shared" si="65"/>
        <v>0</v>
      </c>
      <c r="AI89" s="87">
        <f t="shared" si="65"/>
        <v>0</v>
      </c>
      <c r="AJ89" s="87">
        <f t="shared" si="65"/>
        <v>0</v>
      </c>
      <c r="AK89" s="87">
        <f t="shared" si="65"/>
        <v>0</v>
      </c>
      <c r="AL89" s="87">
        <f t="shared" si="65"/>
        <v>0</v>
      </c>
      <c r="AM89" s="87">
        <f t="shared" si="65"/>
        <v>0.8</v>
      </c>
      <c r="AN89" s="87">
        <f t="shared" si="65"/>
        <v>0.68</v>
      </c>
      <c r="AO89" s="87">
        <f t="shared" si="65"/>
        <v>0.57799999999999996</v>
      </c>
      <c r="AP89" s="383"/>
    </row>
    <row r="90" spans="1:42" x14ac:dyDescent="0.4">
      <c r="A90" s="205"/>
      <c r="B90" s="90"/>
      <c r="C90" s="90"/>
      <c r="D90" s="90"/>
      <c r="E90" s="144"/>
      <c r="F90" s="90"/>
      <c r="G90" s="90"/>
      <c r="H90" s="90"/>
      <c r="I90" s="144"/>
      <c r="J90" s="90"/>
      <c r="K90" s="90"/>
      <c r="L90" s="90"/>
      <c r="M90" s="144"/>
      <c r="N90" s="90"/>
      <c r="O90" s="90"/>
      <c r="P90" s="90"/>
      <c r="Q90" s="144"/>
      <c r="R90" s="90"/>
      <c r="S90" s="90"/>
      <c r="T90" s="90"/>
      <c r="U90" s="144"/>
      <c r="V90" s="90"/>
      <c r="W90" s="90"/>
      <c r="X90" s="90"/>
      <c r="Y90" s="144"/>
      <c r="Z90" s="122"/>
      <c r="AA90" s="122"/>
      <c r="AB90" s="122"/>
      <c r="AC90" s="122"/>
      <c r="AD90" s="122"/>
      <c r="AE90" s="122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383"/>
    </row>
    <row r="91" spans="1:42" x14ac:dyDescent="0.4">
      <c r="A91" s="346" t="s">
        <v>287</v>
      </c>
      <c r="B91" s="90"/>
      <c r="C91" s="90"/>
      <c r="D91" s="90"/>
      <c r="E91" s="144"/>
      <c r="F91" s="90"/>
      <c r="G91" s="90"/>
      <c r="H91" s="90"/>
      <c r="I91" s="144"/>
      <c r="J91" s="90"/>
      <c r="K91" s="90"/>
      <c r="L91" s="90"/>
      <c r="M91" s="144"/>
      <c r="N91" s="90"/>
      <c r="O91" s="90"/>
      <c r="P91" s="90"/>
      <c r="Q91" s="144"/>
      <c r="R91" s="90"/>
      <c r="S91" s="90"/>
      <c r="T91" s="90"/>
      <c r="U91" s="144"/>
      <c r="V91" s="90"/>
      <c r="W91" s="90"/>
      <c r="X91" s="90"/>
      <c r="Y91" s="144"/>
      <c r="Z91" s="122"/>
      <c r="AA91" s="122"/>
      <c r="AB91" s="122"/>
      <c r="AC91" s="122"/>
      <c r="AD91" s="122"/>
      <c r="AE91" s="122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383"/>
    </row>
    <row r="92" spans="1:42" x14ac:dyDescent="0.4">
      <c r="A92" s="205" t="s">
        <v>262</v>
      </c>
      <c r="B92" s="90"/>
      <c r="C92" s="90"/>
      <c r="D92" s="90"/>
      <c r="E92" s="144"/>
      <c r="F92" s="90">
        <f>+F84/B84-1</f>
        <v>0.10244851161766211</v>
      </c>
      <c r="G92" s="90">
        <f t="shared" ref="G92:Y95" si="66">+G84/C84-1</f>
        <v>0.10244851161766211</v>
      </c>
      <c r="H92" s="90">
        <f t="shared" si="66"/>
        <v>0.10244851161766211</v>
      </c>
      <c r="I92" s="144">
        <f t="shared" si="66"/>
        <v>0.10244851161766211</v>
      </c>
      <c r="J92" s="90">
        <f t="shared" si="66"/>
        <v>0.10000000000000031</v>
      </c>
      <c r="K92" s="90">
        <f t="shared" si="66"/>
        <v>0.10000000000000031</v>
      </c>
      <c r="L92" s="90">
        <f t="shared" si="66"/>
        <v>0.10000000000000031</v>
      </c>
      <c r="M92" s="144">
        <f t="shared" si="66"/>
        <v>0.10000000000000031</v>
      </c>
      <c r="N92" s="90">
        <f t="shared" si="66"/>
        <v>0</v>
      </c>
      <c r="O92" s="90">
        <f t="shared" si="66"/>
        <v>0</v>
      </c>
      <c r="P92" s="90">
        <f t="shared" si="66"/>
        <v>0</v>
      </c>
      <c r="Q92" s="144">
        <f t="shared" si="66"/>
        <v>0</v>
      </c>
      <c r="R92" s="90">
        <f t="shared" si="66"/>
        <v>0</v>
      </c>
      <c r="S92" s="90">
        <f t="shared" si="66"/>
        <v>0</v>
      </c>
      <c r="T92" s="90">
        <f t="shared" si="66"/>
        <v>0</v>
      </c>
      <c r="U92" s="144">
        <f t="shared" si="66"/>
        <v>0</v>
      </c>
      <c r="V92" s="90">
        <f t="shared" si="66"/>
        <v>0</v>
      </c>
      <c r="W92" s="90">
        <f t="shared" si="66"/>
        <v>0</v>
      </c>
      <c r="X92" s="90">
        <f t="shared" si="66"/>
        <v>0</v>
      </c>
      <c r="Y92" s="144">
        <f t="shared" si="66"/>
        <v>0</v>
      </c>
      <c r="Z92" s="122"/>
      <c r="AA92" s="122"/>
      <c r="AB92" s="122"/>
      <c r="AC92" s="122"/>
      <c r="AD92" s="122"/>
      <c r="AE92" s="122"/>
      <c r="AF92" s="73"/>
      <c r="AG92" s="90">
        <f>+AG72/AF72-1</f>
        <v>0</v>
      </c>
      <c r="AH92" s="90">
        <f t="shared" ref="AH92:AO92" si="67">+AH72/AG72-1</f>
        <v>0</v>
      </c>
      <c r="AI92" s="90">
        <f t="shared" si="67"/>
        <v>0.41964285714285698</v>
      </c>
      <c r="AJ92" s="90">
        <f t="shared" si="67"/>
        <v>0.27389397411634264</v>
      </c>
      <c r="AK92" s="90">
        <f t="shared" si="67"/>
        <v>0.10244851161766211</v>
      </c>
      <c r="AL92" s="90">
        <f t="shared" si="67"/>
        <v>0.10000000000000009</v>
      </c>
      <c r="AM92" s="90">
        <f t="shared" si="67"/>
        <v>0</v>
      </c>
      <c r="AN92" s="90">
        <f t="shared" si="67"/>
        <v>0</v>
      </c>
      <c r="AO92" s="90">
        <f t="shared" si="67"/>
        <v>0</v>
      </c>
      <c r="AP92" s="383"/>
    </row>
    <row r="93" spans="1:42" x14ac:dyDescent="0.4">
      <c r="A93" s="205" t="s">
        <v>263</v>
      </c>
      <c r="B93" s="90"/>
      <c r="C93" s="90"/>
      <c r="D93" s="90"/>
      <c r="E93" s="144"/>
      <c r="F93" s="90">
        <f>+F85/B85-1</f>
        <v>-0.41739130434782601</v>
      </c>
      <c r="G93" s="90">
        <f t="shared" si="66"/>
        <v>-0.41739130434782601</v>
      </c>
      <c r="H93" s="90">
        <f t="shared" si="66"/>
        <v>-0.41739130434782601</v>
      </c>
      <c r="I93" s="144">
        <f t="shared" si="66"/>
        <v>-0.41739130434782601</v>
      </c>
      <c r="J93" s="90">
        <f t="shared" si="66"/>
        <v>-4.4776119402985093E-2</v>
      </c>
      <c r="K93" s="90">
        <f t="shared" si="66"/>
        <v>-4.4776119402985093E-2</v>
      </c>
      <c r="L93" s="90">
        <f t="shared" si="66"/>
        <v>-4.4776119402985093E-2</v>
      </c>
      <c r="M93" s="144">
        <f t="shared" si="66"/>
        <v>-4.4776119402985093E-2</v>
      </c>
      <c r="N93" s="90">
        <f t="shared" si="66"/>
        <v>-4.6875E-2</v>
      </c>
      <c r="O93" s="90">
        <f t="shared" si="66"/>
        <v>-4.6875E-2</v>
      </c>
      <c r="P93" s="90">
        <f t="shared" si="66"/>
        <v>-4.6875E-2</v>
      </c>
      <c r="Q93" s="144">
        <f t="shared" si="66"/>
        <v>-4.6875E-2</v>
      </c>
      <c r="R93" s="90">
        <f t="shared" si="66"/>
        <v>-4.9180327868852514E-2</v>
      </c>
      <c r="S93" s="90">
        <f t="shared" si="66"/>
        <v>-4.9180327868852514E-2</v>
      </c>
      <c r="T93" s="90">
        <f t="shared" si="66"/>
        <v>-4.9180327868852514E-2</v>
      </c>
      <c r="U93" s="144">
        <f t="shared" si="66"/>
        <v>-4.9180327868852514E-2</v>
      </c>
      <c r="V93" s="90">
        <f t="shared" si="66"/>
        <v>-5.1724137931034364E-2</v>
      </c>
      <c r="W93" s="90">
        <f t="shared" si="66"/>
        <v>-5.1724137931034364E-2</v>
      </c>
      <c r="X93" s="90">
        <f t="shared" si="66"/>
        <v>-5.1724137931034364E-2</v>
      </c>
      <c r="Y93" s="144">
        <f t="shared" si="66"/>
        <v>-5.1724137931034364E-2</v>
      </c>
      <c r="Z93" s="122"/>
      <c r="AA93" s="122"/>
      <c r="AB93" s="122"/>
      <c r="AC93" s="122"/>
      <c r="AD93" s="122"/>
      <c r="AE93" s="122"/>
      <c r="AF93" s="73"/>
      <c r="AG93" s="90">
        <f t="shared" ref="AG93:AO98" si="68">+AG73/AF73-1</f>
        <v>-0.1428571428571429</v>
      </c>
      <c r="AH93" s="90">
        <f t="shared" si="68"/>
        <v>-0.15000000000000013</v>
      </c>
      <c r="AI93" s="90">
        <f t="shared" si="68"/>
        <v>-0.14999999999999991</v>
      </c>
      <c r="AJ93" s="90">
        <f t="shared" si="68"/>
        <v>-0.46943483275663211</v>
      </c>
      <c r="AK93" s="90">
        <f t="shared" si="68"/>
        <v>-0.41739130434782612</v>
      </c>
      <c r="AL93" s="90">
        <f t="shared" si="68"/>
        <v>-6.4404007360458038E-2</v>
      </c>
      <c r="AM93" s="90">
        <f t="shared" si="68"/>
        <v>-2.8545673076922795E-2</v>
      </c>
      <c r="AN93" s="90">
        <f t="shared" si="68"/>
        <v>-4.754941934032586E-2</v>
      </c>
      <c r="AO93" s="90">
        <f t="shared" si="68"/>
        <v>-5.1724137931034586E-2</v>
      </c>
      <c r="AP93" s="383"/>
    </row>
    <row r="94" spans="1:42" x14ac:dyDescent="0.4">
      <c r="A94" s="205" t="s">
        <v>264</v>
      </c>
      <c r="B94" s="90"/>
      <c r="C94" s="90"/>
      <c r="D94" s="90"/>
      <c r="E94" s="144"/>
      <c r="F94" s="90">
        <f>+F86/B86-1</f>
        <v>-0.14675324675324675</v>
      </c>
      <c r="G94" s="90">
        <f t="shared" si="66"/>
        <v>-0.14675324675324675</v>
      </c>
      <c r="H94" s="90">
        <f t="shared" si="66"/>
        <v>-0.14675324675324675</v>
      </c>
      <c r="I94" s="144">
        <f t="shared" si="66"/>
        <v>-0.14675324675324675</v>
      </c>
      <c r="J94" s="90">
        <f t="shared" si="66"/>
        <v>-9.9999999999999978E-2</v>
      </c>
      <c r="K94" s="90">
        <f t="shared" si="66"/>
        <v>-9.9999999999999978E-2</v>
      </c>
      <c r="L94" s="90">
        <f t="shared" si="66"/>
        <v>-9.9999999999999978E-2</v>
      </c>
      <c r="M94" s="144">
        <f t="shared" si="66"/>
        <v>-9.9999999999999978E-2</v>
      </c>
      <c r="N94" s="90">
        <f t="shared" si="66"/>
        <v>-9.9999999999999978E-2</v>
      </c>
      <c r="O94" s="90">
        <f t="shared" si="66"/>
        <v>-9.9999999999999978E-2</v>
      </c>
      <c r="P94" s="90">
        <f t="shared" si="66"/>
        <v>-9.9999999999999978E-2</v>
      </c>
      <c r="Q94" s="144">
        <f t="shared" si="66"/>
        <v>-9.9999999999999978E-2</v>
      </c>
      <c r="R94" s="90">
        <f t="shared" si="66"/>
        <v>-4.9999999999999933E-2</v>
      </c>
      <c r="S94" s="90">
        <f t="shared" si="66"/>
        <v>-4.9999999999999933E-2</v>
      </c>
      <c r="T94" s="90">
        <f t="shared" si="66"/>
        <v>-4.9999999999999933E-2</v>
      </c>
      <c r="U94" s="144">
        <f t="shared" si="66"/>
        <v>-4.9999999999999933E-2</v>
      </c>
      <c r="V94" s="90">
        <f t="shared" si="66"/>
        <v>-5.0000000000000044E-2</v>
      </c>
      <c r="W94" s="90">
        <f t="shared" si="66"/>
        <v>-5.0000000000000044E-2</v>
      </c>
      <c r="X94" s="90">
        <f t="shared" si="66"/>
        <v>-5.0000000000000044E-2</v>
      </c>
      <c r="Y94" s="144">
        <f t="shared" si="66"/>
        <v>-5.0000000000000044E-2</v>
      </c>
      <c r="Z94" s="122"/>
      <c r="AA94" s="122"/>
      <c r="AB94" s="122"/>
      <c r="AC94" s="122"/>
      <c r="AD94" s="122"/>
      <c r="AE94" s="122"/>
      <c r="AF94" s="73"/>
      <c r="AG94" s="90"/>
      <c r="AH94" s="90"/>
      <c r="AI94" s="90">
        <f t="shared" si="68"/>
        <v>-0.16666666666666663</v>
      </c>
      <c r="AJ94" s="90">
        <f t="shared" si="68"/>
        <v>-0.15616438356164397</v>
      </c>
      <c r="AK94" s="90">
        <f t="shared" si="68"/>
        <v>-0.14675324675324675</v>
      </c>
      <c r="AL94" s="90">
        <f t="shared" si="68"/>
        <v>-0.1211350293542075</v>
      </c>
      <c r="AM94" s="90">
        <f t="shared" si="68"/>
        <v>-7.9934869739478498E-2</v>
      </c>
      <c r="AN94" s="90">
        <f t="shared" si="68"/>
        <v>-4.8370497427101311E-2</v>
      </c>
      <c r="AO94" s="90">
        <f t="shared" si="68"/>
        <v>-4.9999999999999822E-2</v>
      </c>
      <c r="AP94" s="383"/>
    </row>
    <row r="95" spans="1:42" x14ac:dyDescent="0.4">
      <c r="A95" s="205" t="s">
        <v>265</v>
      </c>
      <c r="B95" s="90"/>
      <c r="C95" s="90"/>
      <c r="D95" s="90"/>
      <c r="E95" s="144"/>
      <c r="F95" s="90">
        <f>+F87/B87-1</f>
        <v>-0.19230769230769229</v>
      </c>
      <c r="G95" s="90">
        <f t="shared" si="66"/>
        <v>-0.19230769230769229</v>
      </c>
      <c r="H95" s="90">
        <f t="shared" si="66"/>
        <v>-0.19230769230769229</v>
      </c>
      <c r="I95" s="144">
        <f t="shared" si="66"/>
        <v>-0.19230769230769229</v>
      </c>
      <c r="J95" s="90">
        <f t="shared" si="66"/>
        <v>-0.27142857142857146</v>
      </c>
      <c r="K95" s="90">
        <f t="shared" si="66"/>
        <v>-0.27142857142857146</v>
      </c>
      <c r="L95" s="90">
        <f t="shared" si="66"/>
        <v>-0.27142857142857146</v>
      </c>
      <c r="M95" s="144">
        <f t="shared" si="66"/>
        <v>-0.27142857142857146</v>
      </c>
      <c r="N95" s="90">
        <f t="shared" si="66"/>
        <v>-9.9999999999999867E-2</v>
      </c>
      <c r="O95" s="90">
        <f t="shared" si="66"/>
        <v>-9.9999999999999867E-2</v>
      </c>
      <c r="P95" s="90">
        <f t="shared" si="66"/>
        <v>-9.9999999999999867E-2</v>
      </c>
      <c r="Q95" s="144">
        <f t="shared" si="66"/>
        <v>-9.9999999999999867E-2</v>
      </c>
      <c r="R95" s="90">
        <f t="shared" si="66"/>
        <v>-9.9999999999999978E-2</v>
      </c>
      <c r="S95" s="90">
        <f t="shared" si="66"/>
        <v>-9.9999999999999978E-2</v>
      </c>
      <c r="T95" s="90">
        <f t="shared" si="66"/>
        <v>-9.9999999999999978E-2</v>
      </c>
      <c r="U95" s="144">
        <f t="shared" si="66"/>
        <v>-9.9999999999999978E-2</v>
      </c>
      <c r="V95" s="90">
        <f t="shared" si="66"/>
        <v>-0.10000000000000009</v>
      </c>
      <c r="W95" s="90">
        <f t="shared" si="66"/>
        <v>-0.10000000000000009</v>
      </c>
      <c r="X95" s="90">
        <f t="shared" si="66"/>
        <v>-0.10000000000000009</v>
      </c>
      <c r="Y95" s="144">
        <f t="shared" si="66"/>
        <v>-0.10000000000000009</v>
      </c>
      <c r="Z95" s="122"/>
      <c r="AA95" s="122"/>
      <c r="AB95" s="122"/>
      <c r="AC95" s="122"/>
      <c r="AD95" s="122"/>
      <c r="AE95" s="122"/>
      <c r="AF95" s="73"/>
      <c r="AG95" s="90"/>
      <c r="AH95" s="90"/>
      <c r="AI95" s="90">
        <f t="shared" si="68"/>
        <v>-0.1875</v>
      </c>
      <c r="AJ95" s="90">
        <f t="shared" si="68"/>
        <v>-0.19999999999999996</v>
      </c>
      <c r="AK95" s="90">
        <f t="shared" si="68"/>
        <v>-0.19230769230769229</v>
      </c>
      <c r="AL95" s="90">
        <f t="shared" si="68"/>
        <v>-0.27142857142857146</v>
      </c>
      <c r="AM95" s="90">
        <f t="shared" si="68"/>
        <v>-9.9999999999999867E-2</v>
      </c>
      <c r="AN95" s="90">
        <f t="shared" si="68"/>
        <v>-9.9999999999999978E-2</v>
      </c>
      <c r="AO95" s="90">
        <f t="shared" si="68"/>
        <v>-9.9999999999999978E-2</v>
      </c>
      <c r="AP95" s="383"/>
    </row>
    <row r="96" spans="1:42" x14ac:dyDescent="0.4">
      <c r="A96" s="205" t="s">
        <v>275</v>
      </c>
      <c r="B96" s="90"/>
      <c r="C96" s="90"/>
      <c r="D96" s="90"/>
      <c r="E96" s="144"/>
      <c r="F96" s="90"/>
      <c r="G96" s="90"/>
      <c r="H96" s="90"/>
      <c r="I96" s="144"/>
      <c r="J96" s="90">
        <f t="shared" ref="J96:Y100" si="69">+J76/F76-1</f>
        <v>-8.2954545454545503E-2</v>
      </c>
      <c r="K96" s="90">
        <f t="shared" si="69"/>
        <v>-0.31818181818181823</v>
      </c>
      <c r="L96" s="90">
        <f t="shared" si="69"/>
        <v>-0.31818181818181823</v>
      </c>
      <c r="M96" s="144">
        <f t="shared" si="69"/>
        <v>-0.31818181818181823</v>
      </c>
      <c r="N96" s="90">
        <f t="shared" si="69"/>
        <v>-0.29368029739776946</v>
      </c>
      <c r="O96" s="90">
        <f t="shared" si="69"/>
        <v>-0.15000000000000002</v>
      </c>
      <c r="P96" s="90">
        <f t="shared" si="69"/>
        <v>-0.15000000000000002</v>
      </c>
      <c r="Q96" s="144">
        <f t="shared" si="69"/>
        <v>-0.15000000000000002</v>
      </c>
      <c r="R96" s="90">
        <f t="shared" si="69"/>
        <v>-0.13210526315789473</v>
      </c>
      <c r="S96" s="90">
        <f t="shared" si="69"/>
        <v>-0.15000000000000002</v>
      </c>
      <c r="T96" s="90">
        <f t="shared" si="69"/>
        <v>-0.15000000000000002</v>
      </c>
      <c r="U96" s="144">
        <f t="shared" si="69"/>
        <v>-0.15000000000000002</v>
      </c>
      <c r="V96" s="90">
        <f t="shared" si="69"/>
        <v>-0.14123711340206191</v>
      </c>
      <c r="W96" s="90">
        <f t="shared" si="69"/>
        <v>-0.15000000000000013</v>
      </c>
      <c r="X96" s="90">
        <f t="shared" si="69"/>
        <v>-0.15000000000000013</v>
      </c>
      <c r="Y96" s="144">
        <f t="shared" si="69"/>
        <v>-0.15000000000000013</v>
      </c>
      <c r="Z96" s="122"/>
      <c r="AA96" s="122"/>
      <c r="AB96" s="122"/>
      <c r="AC96" s="122"/>
      <c r="AD96" s="122"/>
      <c r="AE96" s="122"/>
      <c r="AF96" s="73"/>
      <c r="AG96" s="90"/>
      <c r="AH96" s="90"/>
      <c r="AI96" s="90"/>
      <c r="AJ96" s="90"/>
      <c r="AK96" s="90"/>
      <c r="AL96" s="90">
        <f t="shared" si="68"/>
        <v>-0.31818181818181823</v>
      </c>
      <c r="AM96" s="90">
        <f t="shared" si="68"/>
        <v>-0.15000000000000002</v>
      </c>
      <c r="AN96" s="90">
        <f t="shared" si="68"/>
        <v>-0.15000000000000002</v>
      </c>
      <c r="AO96" s="90">
        <f t="shared" si="68"/>
        <v>-0.15000000000000013</v>
      </c>
      <c r="AP96" s="383"/>
    </row>
    <row r="97" spans="1:42" x14ac:dyDescent="0.4">
      <c r="A97" s="205" t="s">
        <v>276</v>
      </c>
      <c r="B97" s="90"/>
      <c r="C97" s="90"/>
      <c r="D97" s="90"/>
      <c r="E97" s="144"/>
      <c r="F97" s="90"/>
      <c r="G97" s="90"/>
      <c r="H97" s="90"/>
      <c r="I97" s="144"/>
      <c r="J97" s="87">
        <v>0</v>
      </c>
      <c r="K97" s="87">
        <v>0</v>
      </c>
      <c r="L97" s="87">
        <v>0</v>
      </c>
      <c r="M97" s="151">
        <v>0</v>
      </c>
      <c r="N97" s="87">
        <v>0</v>
      </c>
      <c r="O97" s="87">
        <v>0</v>
      </c>
      <c r="P97" s="90">
        <f t="shared" si="69"/>
        <v>-9.9999999999999978E-2</v>
      </c>
      <c r="Q97" s="144">
        <f t="shared" si="69"/>
        <v>-9.9999999999999978E-2</v>
      </c>
      <c r="R97" s="90">
        <f t="shared" si="69"/>
        <v>-9.9999999999999978E-2</v>
      </c>
      <c r="S97" s="90">
        <f t="shared" si="69"/>
        <v>-0.15000000000000002</v>
      </c>
      <c r="T97" s="90">
        <f t="shared" si="69"/>
        <v>-0.15000000000000002</v>
      </c>
      <c r="U97" s="144">
        <f t="shared" si="69"/>
        <v>-0.15000000000000002</v>
      </c>
      <c r="V97" s="90">
        <f t="shared" si="69"/>
        <v>-0.15000000000000002</v>
      </c>
      <c r="W97" s="90">
        <f t="shared" si="69"/>
        <v>-0.15000000000000002</v>
      </c>
      <c r="X97" s="90">
        <f t="shared" si="69"/>
        <v>-0.15000000000000002</v>
      </c>
      <c r="Y97" s="144">
        <f t="shared" si="69"/>
        <v>-0.15000000000000002</v>
      </c>
      <c r="Z97" s="122"/>
      <c r="AA97" s="122"/>
      <c r="AB97" s="122"/>
      <c r="AC97" s="122"/>
      <c r="AD97" s="122"/>
      <c r="AE97" s="122"/>
      <c r="AF97" s="73"/>
      <c r="AG97" s="90"/>
      <c r="AH97" s="90"/>
      <c r="AI97" s="90"/>
      <c r="AJ97" s="90"/>
      <c r="AK97" s="90"/>
      <c r="AL97" s="90" t="e">
        <f t="shared" si="68"/>
        <v>#DIV/0!</v>
      </c>
      <c r="AM97" s="90">
        <f t="shared" si="68"/>
        <v>-9.9999999999999978E-2</v>
      </c>
      <c r="AN97" s="90">
        <f t="shared" si="68"/>
        <v>-0.15000000000000002</v>
      </c>
      <c r="AO97" s="90">
        <f t="shared" si="68"/>
        <v>-0.15000000000000002</v>
      </c>
      <c r="AP97" s="383"/>
    </row>
    <row r="98" spans="1:42" x14ac:dyDescent="0.4">
      <c r="A98" s="205" t="s">
        <v>277</v>
      </c>
      <c r="B98" s="90"/>
      <c r="C98" s="90"/>
      <c r="D98" s="90"/>
      <c r="E98" s="144"/>
      <c r="F98" s="90"/>
      <c r="G98" s="90"/>
      <c r="H98" s="90"/>
      <c r="I98" s="144"/>
      <c r="J98" s="90">
        <f t="shared" ref="J98:O98" si="70">+J78/F78-1</f>
        <v>-8.253968253968258E-2</v>
      </c>
      <c r="K98" s="90">
        <f t="shared" si="70"/>
        <v>-0.2857142857142857</v>
      </c>
      <c r="L98" s="90">
        <f t="shared" si="70"/>
        <v>-0.2857142857142857</v>
      </c>
      <c r="M98" s="144">
        <f t="shared" si="70"/>
        <v>-0.2857142857142857</v>
      </c>
      <c r="N98" s="90">
        <f t="shared" si="70"/>
        <v>-0.26038062283737029</v>
      </c>
      <c r="O98" s="90">
        <f t="shared" si="70"/>
        <v>-0.15000000000000002</v>
      </c>
      <c r="P98" s="90">
        <f t="shared" si="69"/>
        <v>-0.15000000000000002</v>
      </c>
      <c r="Q98" s="144">
        <f t="shared" si="69"/>
        <v>-0.15000000000000002</v>
      </c>
      <c r="R98" s="90">
        <f t="shared" si="69"/>
        <v>-0.13210526315789484</v>
      </c>
      <c r="S98" s="90">
        <f t="shared" si="69"/>
        <v>-0.15000000000000002</v>
      </c>
      <c r="T98" s="90">
        <f t="shared" si="69"/>
        <v>-0.15000000000000002</v>
      </c>
      <c r="U98" s="144">
        <f t="shared" si="69"/>
        <v>-0.15000000000000002</v>
      </c>
      <c r="V98" s="90">
        <f t="shared" si="69"/>
        <v>-0.1412371134020618</v>
      </c>
      <c r="W98" s="90">
        <f t="shared" si="69"/>
        <v>-0.15000000000000002</v>
      </c>
      <c r="X98" s="90">
        <f t="shared" si="69"/>
        <v>-0.15000000000000002</v>
      </c>
      <c r="Y98" s="144">
        <f t="shared" si="69"/>
        <v>-0.15000000000000002</v>
      </c>
      <c r="Z98" s="122"/>
      <c r="AA98" s="122"/>
      <c r="AB98" s="122"/>
      <c r="AC98" s="122"/>
      <c r="AD98" s="122"/>
      <c r="AE98" s="122"/>
      <c r="AF98" s="73"/>
      <c r="AG98" s="90"/>
      <c r="AH98" s="90"/>
      <c r="AI98" s="90"/>
      <c r="AJ98" s="90"/>
      <c r="AK98" s="90"/>
      <c r="AL98" s="90">
        <f t="shared" si="68"/>
        <v>-0.2857142857142857</v>
      </c>
      <c r="AM98" s="90">
        <f t="shared" si="68"/>
        <v>-0.15000000000000002</v>
      </c>
      <c r="AN98" s="90">
        <f t="shared" si="68"/>
        <v>-0.15000000000000002</v>
      </c>
      <c r="AO98" s="90">
        <f t="shared" si="68"/>
        <v>-0.15000000000000002</v>
      </c>
      <c r="AP98" s="383"/>
    </row>
    <row r="99" spans="1:42" x14ac:dyDescent="0.4">
      <c r="A99" s="205" t="s">
        <v>288</v>
      </c>
      <c r="B99" s="90"/>
      <c r="C99" s="90"/>
      <c r="D99" s="90"/>
      <c r="E99" s="144"/>
      <c r="F99" s="90"/>
      <c r="G99" s="90"/>
      <c r="H99" s="90"/>
      <c r="I99" s="144"/>
      <c r="J99" s="90"/>
      <c r="K99" s="90"/>
      <c r="L99" s="90"/>
      <c r="M99" s="144"/>
      <c r="N99" s="90"/>
      <c r="O99" s="90"/>
      <c r="P99" s="90"/>
      <c r="Q99" s="144">
        <f t="shared" si="69"/>
        <v>0</v>
      </c>
      <c r="R99" s="90">
        <f t="shared" si="69"/>
        <v>-9.9999999999999978E-2</v>
      </c>
      <c r="S99" s="90">
        <f t="shared" si="69"/>
        <v>-0.15000000000000002</v>
      </c>
      <c r="T99" s="90">
        <f t="shared" si="69"/>
        <v>-0.15000000000000002</v>
      </c>
      <c r="U99" s="144">
        <f t="shared" si="69"/>
        <v>-0.15000000000000002</v>
      </c>
      <c r="V99" s="90">
        <f t="shared" si="69"/>
        <v>-0.14999999999999991</v>
      </c>
      <c r="W99" s="90">
        <f t="shared" si="69"/>
        <v>-0.15000000000000002</v>
      </c>
      <c r="X99" s="90">
        <f t="shared" si="69"/>
        <v>-0.15000000000000002</v>
      </c>
      <c r="Y99" s="144">
        <f t="shared" si="69"/>
        <v>-0.15000000000000002</v>
      </c>
      <c r="Z99" s="122"/>
      <c r="AA99" s="122"/>
      <c r="AB99" s="122"/>
      <c r="AC99" s="122"/>
      <c r="AD99" s="122"/>
      <c r="AE99" s="122"/>
      <c r="AF99" s="73"/>
      <c r="AG99" s="90"/>
      <c r="AH99" s="90"/>
      <c r="AI99" s="90"/>
      <c r="AJ99" s="90"/>
      <c r="AK99" s="90"/>
      <c r="AL99" s="90"/>
      <c r="AM99" s="90"/>
      <c r="AN99" s="90">
        <f>+AN79/AM79-1</f>
        <v>-0.15000000000000002</v>
      </c>
      <c r="AO99" s="90">
        <f>+AO79/AN79-1</f>
        <v>-0.15000000000000002</v>
      </c>
      <c r="AP99" s="383"/>
    </row>
    <row r="100" spans="1:42" x14ac:dyDescent="0.4">
      <c r="A100" s="205" t="s">
        <v>289</v>
      </c>
      <c r="B100" s="90"/>
      <c r="C100" s="90"/>
      <c r="D100" s="90"/>
      <c r="E100" s="144"/>
      <c r="F100" s="90"/>
      <c r="G100" s="90"/>
      <c r="H100" s="90"/>
      <c r="I100" s="144"/>
      <c r="J100" s="90"/>
      <c r="K100" s="90"/>
      <c r="L100" s="90"/>
      <c r="M100" s="144"/>
      <c r="N100" s="90"/>
      <c r="O100" s="90"/>
      <c r="P100" s="90"/>
      <c r="Q100" s="144">
        <f t="shared" si="69"/>
        <v>0</v>
      </c>
      <c r="R100" s="90">
        <f t="shared" si="69"/>
        <v>-9.9999999999999978E-2</v>
      </c>
      <c r="S100" s="90">
        <f t="shared" si="69"/>
        <v>-0.15000000000000002</v>
      </c>
      <c r="T100" s="90">
        <f t="shared" si="69"/>
        <v>-0.15000000000000002</v>
      </c>
      <c r="U100" s="144">
        <f t="shared" si="69"/>
        <v>-0.15000000000000002</v>
      </c>
      <c r="V100" s="90">
        <f t="shared" si="69"/>
        <v>-0.15000000000000002</v>
      </c>
      <c r="W100" s="90">
        <f t="shared" si="69"/>
        <v>-0.15000000000000002</v>
      </c>
      <c r="X100" s="90">
        <f t="shared" si="69"/>
        <v>-0.15000000000000002</v>
      </c>
      <c r="Y100" s="144">
        <f t="shared" si="69"/>
        <v>-0.15000000000000002</v>
      </c>
      <c r="Z100" s="122"/>
      <c r="AA100" s="122"/>
      <c r="AB100" s="122"/>
      <c r="AC100" s="122"/>
      <c r="AD100" s="122"/>
      <c r="AE100" s="122"/>
      <c r="AF100" s="73"/>
      <c r="AG100" s="90"/>
      <c r="AH100" s="90"/>
      <c r="AI100" s="90"/>
      <c r="AJ100" s="90"/>
      <c r="AK100" s="90"/>
      <c r="AL100" s="90"/>
      <c r="AM100" s="90"/>
      <c r="AN100" s="90">
        <f>+AN80/AM80-1</f>
        <v>-0.15000000000000002</v>
      </c>
      <c r="AO100" s="90">
        <f>+AO80/AN80-1</f>
        <v>-0.15000000000000002</v>
      </c>
      <c r="AP100" s="383"/>
    </row>
    <row r="101" spans="1:42" x14ac:dyDescent="0.4">
      <c r="A101" s="205" t="s">
        <v>268</v>
      </c>
      <c r="B101" s="90"/>
      <c r="C101" s="90"/>
      <c r="D101" s="90"/>
      <c r="E101" s="144"/>
      <c r="F101" s="90"/>
      <c r="G101" s="90"/>
      <c r="H101" s="90"/>
      <c r="I101" s="144"/>
      <c r="J101" s="90"/>
      <c r="K101" s="90"/>
      <c r="L101" s="90"/>
      <c r="M101" s="144"/>
      <c r="N101" s="90"/>
      <c r="O101" s="90"/>
      <c r="P101" s="90"/>
      <c r="Q101" s="144"/>
      <c r="R101" s="90"/>
      <c r="S101" s="90"/>
      <c r="T101" s="90"/>
      <c r="U101" s="144"/>
      <c r="V101" s="90"/>
      <c r="W101" s="90"/>
      <c r="X101" s="90"/>
      <c r="Y101" s="144"/>
      <c r="Z101" s="122"/>
      <c r="AA101" s="122"/>
      <c r="AB101" s="122"/>
      <c r="AC101" s="122"/>
      <c r="AD101" s="122"/>
      <c r="AE101" s="122"/>
      <c r="AF101" s="73"/>
      <c r="AG101" s="90"/>
      <c r="AH101" s="90"/>
      <c r="AI101" s="90"/>
      <c r="AJ101" s="90"/>
      <c r="AK101" s="90"/>
      <c r="AL101" s="90"/>
      <c r="AM101" s="90"/>
      <c r="AN101" s="90"/>
      <c r="AO101" s="90"/>
      <c r="AP101" s="383"/>
    </row>
    <row r="102" spans="1:42" x14ac:dyDescent="0.4">
      <c r="A102" s="346"/>
      <c r="B102" s="90"/>
      <c r="C102" s="90"/>
      <c r="D102" s="90"/>
      <c r="E102" s="144"/>
      <c r="F102" s="90"/>
      <c r="G102" s="90"/>
      <c r="H102" s="90"/>
      <c r="I102" s="144"/>
      <c r="J102" s="90"/>
      <c r="K102" s="90"/>
      <c r="L102" s="90"/>
      <c r="M102" s="144"/>
      <c r="N102" s="90"/>
      <c r="O102" s="90"/>
      <c r="P102" s="90"/>
      <c r="Q102" s="144"/>
      <c r="R102" s="90"/>
      <c r="S102" s="90"/>
      <c r="T102" s="90"/>
      <c r="U102" s="144"/>
      <c r="V102" s="90"/>
      <c r="W102" s="90"/>
      <c r="X102" s="90"/>
      <c r="Y102" s="144"/>
      <c r="Z102" s="122"/>
      <c r="AA102" s="122"/>
      <c r="AB102" s="122"/>
      <c r="AC102" s="122"/>
      <c r="AD102" s="122"/>
      <c r="AE102" s="122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383"/>
    </row>
    <row r="103" spans="1:42" x14ac:dyDescent="0.4">
      <c r="A103" s="346" t="s">
        <v>290</v>
      </c>
      <c r="B103" s="397">
        <v>7</v>
      </c>
      <c r="C103" s="397">
        <v>7</v>
      </c>
      <c r="D103" s="397">
        <v>7</v>
      </c>
      <c r="E103" s="398">
        <v>7</v>
      </c>
      <c r="F103" s="397">
        <v>7.3</v>
      </c>
      <c r="G103" s="397">
        <v>7.3</v>
      </c>
      <c r="H103" s="397">
        <v>7.3</v>
      </c>
      <c r="I103" s="398">
        <v>7.3</v>
      </c>
      <c r="J103" s="397">
        <v>7.3</v>
      </c>
      <c r="K103" s="397">
        <v>7.3</v>
      </c>
      <c r="L103" s="397">
        <v>7</v>
      </c>
      <c r="M103" s="398">
        <v>7</v>
      </c>
      <c r="N103" s="397">
        <v>7.25</v>
      </c>
      <c r="O103" s="397">
        <v>7.3</v>
      </c>
      <c r="P103" s="397">
        <v>7.3</v>
      </c>
      <c r="Q103" s="398">
        <v>7.3</v>
      </c>
      <c r="R103" s="397">
        <v>7.3</v>
      </c>
      <c r="S103" s="397">
        <v>7.3</v>
      </c>
      <c r="T103" s="397">
        <v>7.3</v>
      </c>
      <c r="U103" s="398">
        <v>7.3</v>
      </c>
      <c r="V103" s="397">
        <v>7.3</v>
      </c>
      <c r="W103" s="397">
        <v>7.3</v>
      </c>
      <c r="X103" s="397">
        <v>7.3</v>
      </c>
      <c r="Y103" s="398">
        <v>7.3</v>
      </c>
      <c r="Z103" s="122"/>
      <c r="AA103" s="122"/>
      <c r="AB103" s="122"/>
      <c r="AC103" s="122"/>
      <c r="AD103" s="122"/>
      <c r="AE103" s="122"/>
      <c r="AF103" s="397">
        <v>6.6</v>
      </c>
      <c r="AG103" s="397">
        <v>6.8</v>
      </c>
      <c r="AH103" s="397">
        <v>6.8</v>
      </c>
      <c r="AI103" s="397">
        <v>6.8</v>
      </c>
      <c r="AJ103" s="397">
        <v>7</v>
      </c>
      <c r="AK103" s="397">
        <v>7.3</v>
      </c>
      <c r="AL103" s="397">
        <v>7.3</v>
      </c>
      <c r="AM103" s="397">
        <v>7.3</v>
      </c>
      <c r="AN103" s="397">
        <v>7.3</v>
      </c>
      <c r="AO103" s="397">
        <v>7.3</v>
      </c>
      <c r="AP103" s="383"/>
    </row>
    <row r="104" spans="1:42" x14ac:dyDescent="0.4">
      <c r="A104" s="346"/>
      <c r="B104" s="90"/>
      <c r="C104" s="90"/>
      <c r="D104" s="90"/>
      <c r="E104" s="144"/>
      <c r="F104" s="90"/>
      <c r="G104" s="90"/>
      <c r="H104" s="90"/>
      <c r="I104" s="144"/>
      <c r="J104" s="90"/>
      <c r="K104" s="90"/>
      <c r="L104" s="90"/>
      <c r="M104" s="144"/>
      <c r="N104" s="90"/>
      <c r="O104" s="90"/>
      <c r="P104" s="90"/>
      <c r="Q104" s="144"/>
      <c r="R104" s="90"/>
      <c r="S104" s="90"/>
      <c r="T104" s="90"/>
      <c r="U104" s="144"/>
      <c r="V104" s="90"/>
      <c r="W104" s="90"/>
      <c r="X104" s="90"/>
      <c r="Y104" s="144"/>
      <c r="Z104" s="122"/>
      <c r="AA104" s="122"/>
      <c r="AB104" s="122"/>
      <c r="AC104" s="122"/>
      <c r="AD104" s="122"/>
      <c r="AE104" s="122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383"/>
    </row>
    <row r="105" spans="1:42" x14ac:dyDescent="0.4">
      <c r="A105" s="346" t="s">
        <v>291</v>
      </c>
      <c r="B105" s="90"/>
      <c r="C105" s="90"/>
      <c r="D105" s="90"/>
      <c r="E105" s="144"/>
      <c r="F105" s="90"/>
      <c r="G105" s="90"/>
      <c r="H105" s="90"/>
      <c r="I105" s="144"/>
      <c r="J105" s="90"/>
      <c r="K105" s="90"/>
      <c r="L105" s="90"/>
      <c r="M105" s="144"/>
      <c r="N105" s="90"/>
      <c r="O105" s="90"/>
      <c r="P105" s="90"/>
      <c r="Q105" s="144"/>
      <c r="R105" s="90"/>
      <c r="S105" s="90"/>
      <c r="T105" s="90"/>
      <c r="U105" s="144"/>
      <c r="V105" s="90"/>
      <c r="W105" s="90"/>
      <c r="X105" s="90"/>
      <c r="Y105" s="144"/>
      <c r="Z105" s="122"/>
      <c r="AA105" s="122"/>
      <c r="AB105" s="122"/>
      <c r="AC105" s="122"/>
      <c r="AD105" s="122"/>
      <c r="AE105" s="122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383"/>
    </row>
    <row r="106" spans="1:42" x14ac:dyDescent="0.4">
      <c r="A106" s="205" t="s">
        <v>262</v>
      </c>
      <c r="B106" s="73">
        <v>203</v>
      </c>
      <c r="C106" s="73">
        <v>203</v>
      </c>
      <c r="D106" s="73">
        <v>203</v>
      </c>
      <c r="E106" s="108">
        <v>203</v>
      </c>
      <c r="F106" s="73">
        <v>223.3</v>
      </c>
      <c r="G106" s="73">
        <v>223.3</v>
      </c>
      <c r="H106" s="73">
        <v>223.3</v>
      </c>
      <c r="I106" s="108">
        <v>223.3</v>
      </c>
      <c r="J106" s="73">
        <v>245.63000000000002</v>
      </c>
      <c r="K106" s="73">
        <v>245.63000000000002</v>
      </c>
      <c r="L106" s="73">
        <v>245.63000000000002</v>
      </c>
      <c r="M106" s="108">
        <v>245.63000000000002</v>
      </c>
      <c r="N106" s="73">
        <v>245.63000000000002</v>
      </c>
      <c r="O106" s="73">
        <v>245.63000000000002</v>
      </c>
      <c r="P106" s="73">
        <v>245.63000000000002</v>
      </c>
      <c r="Q106" s="108">
        <v>245.63000000000002</v>
      </c>
      <c r="R106" s="73">
        <v>245.63000000000002</v>
      </c>
      <c r="S106" s="73">
        <v>245.63000000000002</v>
      </c>
      <c r="T106" s="73">
        <v>245.63000000000002</v>
      </c>
      <c r="U106" s="108">
        <v>245.63000000000002</v>
      </c>
      <c r="V106" s="73">
        <v>245.63000000000002</v>
      </c>
      <c r="W106" s="73">
        <v>245.63000000000002</v>
      </c>
      <c r="X106" s="73">
        <v>245.63000000000002</v>
      </c>
      <c r="Y106" s="108">
        <v>245.63000000000002</v>
      </c>
      <c r="Z106" s="122"/>
      <c r="AA106" s="122"/>
      <c r="AB106" s="122"/>
      <c r="AC106" s="122"/>
      <c r="AD106" s="122"/>
      <c r="AE106" s="122"/>
      <c r="AF106" s="73">
        <v>112</v>
      </c>
      <c r="AG106" s="73">
        <v>112</v>
      </c>
      <c r="AH106" s="73">
        <v>112</v>
      </c>
      <c r="AI106" s="73">
        <v>159</v>
      </c>
      <c r="AJ106" s="73">
        <f t="shared" ref="AJ106:AO108" si="71">+AJ45/AJ60</f>
        <v>202.54914188449848</v>
      </c>
      <c r="AK106" s="73">
        <f t="shared" si="71"/>
        <v>223.3</v>
      </c>
      <c r="AL106" s="73">
        <f t="shared" si="71"/>
        <v>245.63000000000002</v>
      </c>
      <c r="AM106" s="73">
        <f t="shared" si="71"/>
        <v>245.63000000000002</v>
      </c>
      <c r="AN106" s="73">
        <f t="shared" si="71"/>
        <v>245.63000000000002</v>
      </c>
      <c r="AO106" s="73">
        <f t="shared" si="71"/>
        <v>245.63000000000002</v>
      </c>
      <c r="AP106" s="383"/>
    </row>
    <row r="107" spans="1:42" x14ac:dyDescent="0.4">
      <c r="A107" s="205" t="s">
        <v>263</v>
      </c>
      <c r="B107" s="73">
        <f t="shared" ref="B107:Y114" si="72">+B$103*B73</f>
        <v>805</v>
      </c>
      <c r="C107" s="73">
        <f t="shared" si="72"/>
        <v>805</v>
      </c>
      <c r="D107" s="73">
        <f t="shared" si="72"/>
        <v>805</v>
      </c>
      <c r="E107" s="108">
        <f t="shared" si="72"/>
        <v>805</v>
      </c>
      <c r="F107" s="87">
        <f t="shared" si="72"/>
        <v>489.09999999999997</v>
      </c>
      <c r="G107" s="73">
        <f t="shared" si="72"/>
        <v>489.09999999999997</v>
      </c>
      <c r="H107" s="73">
        <f t="shared" si="72"/>
        <v>489.09999999999997</v>
      </c>
      <c r="I107" s="108">
        <f t="shared" si="72"/>
        <v>489.09999999999997</v>
      </c>
      <c r="J107" s="73">
        <f t="shared" si="72"/>
        <v>467.2</v>
      </c>
      <c r="K107" s="73">
        <f t="shared" si="72"/>
        <v>467.2</v>
      </c>
      <c r="L107" s="73">
        <f t="shared" si="72"/>
        <v>448</v>
      </c>
      <c r="M107" s="108">
        <f t="shared" si="72"/>
        <v>448</v>
      </c>
      <c r="N107" s="73">
        <f t="shared" si="72"/>
        <v>442.25</v>
      </c>
      <c r="O107" s="73">
        <f t="shared" si="72"/>
        <v>445.3</v>
      </c>
      <c r="P107" s="73">
        <f t="shared" si="72"/>
        <v>445.3</v>
      </c>
      <c r="Q107" s="108">
        <f t="shared" si="72"/>
        <v>445.3</v>
      </c>
      <c r="R107" s="73">
        <f t="shared" si="72"/>
        <v>423.4</v>
      </c>
      <c r="S107" s="73">
        <f t="shared" si="72"/>
        <v>423.4</v>
      </c>
      <c r="T107" s="73">
        <f t="shared" si="72"/>
        <v>423.4</v>
      </c>
      <c r="U107" s="108">
        <f t="shared" si="72"/>
        <v>423.4</v>
      </c>
      <c r="V107" s="73">
        <f t="shared" si="72"/>
        <v>401.5</v>
      </c>
      <c r="W107" s="73">
        <f t="shared" si="72"/>
        <v>401.5</v>
      </c>
      <c r="X107" s="73">
        <f t="shared" si="72"/>
        <v>401.5</v>
      </c>
      <c r="Y107" s="108">
        <f t="shared" si="72"/>
        <v>401.5</v>
      </c>
      <c r="Z107" s="122"/>
      <c r="AA107" s="122"/>
      <c r="AB107" s="122"/>
      <c r="AC107" s="122"/>
      <c r="AD107" s="122"/>
      <c r="AE107" s="122"/>
      <c r="AF107" s="73">
        <f t="shared" ref="AF107:AO110" si="73">+AF$103*AF73</f>
        <v>2310</v>
      </c>
      <c r="AG107" s="73">
        <f t="shared" si="73"/>
        <v>2040</v>
      </c>
      <c r="AH107" s="73">
        <f t="shared" si="73"/>
        <v>1733.9999999999998</v>
      </c>
      <c r="AI107" s="73">
        <f t="shared" si="73"/>
        <v>1473.8999999999999</v>
      </c>
      <c r="AJ107" s="73">
        <f t="shared" si="71"/>
        <v>805</v>
      </c>
      <c r="AK107" s="73">
        <f t="shared" si="71"/>
        <v>489.09999999999997</v>
      </c>
      <c r="AL107" s="73">
        <f t="shared" si="71"/>
        <v>457.59999999999997</v>
      </c>
      <c r="AM107" s="73">
        <f t="shared" si="71"/>
        <v>444.53750000000008</v>
      </c>
      <c r="AN107" s="73">
        <f t="shared" si="71"/>
        <v>423.4</v>
      </c>
      <c r="AO107" s="73">
        <f t="shared" si="71"/>
        <v>401.49999999999994</v>
      </c>
      <c r="AP107" s="383"/>
    </row>
    <row r="108" spans="1:42" x14ac:dyDescent="0.4">
      <c r="A108" s="205" t="s">
        <v>264</v>
      </c>
      <c r="B108" s="73">
        <f t="shared" si="72"/>
        <v>1476.7123287671234</v>
      </c>
      <c r="C108" s="73">
        <f t="shared" si="72"/>
        <v>1476.7123287671234</v>
      </c>
      <c r="D108" s="73">
        <f t="shared" si="72"/>
        <v>1476.7123287671234</v>
      </c>
      <c r="E108" s="108">
        <f t="shared" si="72"/>
        <v>1476.7123287671234</v>
      </c>
      <c r="F108" s="73">
        <f t="shared" si="72"/>
        <v>1314</v>
      </c>
      <c r="G108" s="73">
        <f t="shared" si="72"/>
        <v>1314</v>
      </c>
      <c r="H108" s="73">
        <f t="shared" si="72"/>
        <v>1314</v>
      </c>
      <c r="I108" s="108">
        <f t="shared" si="72"/>
        <v>1314</v>
      </c>
      <c r="J108" s="73">
        <f t="shared" si="72"/>
        <v>1182.5999999999999</v>
      </c>
      <c r="K108" s="73">
        <f t="shared" si="72"/>
        <v>1182.5999999999999</v>
      </c>
      <c r="L108" s="73">
        <f t="shared" si="72"/>
        <v>1134</v>
      </c>
      <c r="M108" s="108">
        <f t="shared" si="72"/>
        <v>1134</v>
      </c>
      <c r="N108" s="73">
        <f t="shared" si="72"/>
        <v>1057.0500000000002</v>
      </c>
      <c r="O108" s="73">
        <f t="shared" si="72"/>
        <v>1064.3400000000001</v>
      </c>
      <c r="P108" s="73">
        <f t="shared" si="72"/>
        <v>1064.3400000000001</v>
      </c>
      <c r="Q108" s="108">
        <f t="shared" si="72"/>
        <v>1064.3400000000001</v>
      </c>
      <c r="R108" s="73">
        <f t="shared" si="72"/>
        <v>1011.1230000000002</v>
      </c>
      <c r="S108" s="73">
        <f t="shared" si="72"/>
        <v>1011.1230000000002</v>
      </c>
      <c r="T108" s="73">
        <f t="shared" si="72"/>
        <v>1011.1230000000002</v>
      </c>
      <c r="U108" s="108">
        <f t="shared" si="72"/>
        <v>1011.1230000000002</v>
      </c>
      <c r="V108" s="73">
        <f t="shared" si="72"/>
        <v>960.56685000000016</v>
      </c>
      <c r="W108" s="73">
        <f t="shared" si="72"/>
        <v>960.56685000000016</v>
      </c>
      <c r="X108" s="73">
        <f t="shared" si="72"/>
        <v>960.56685000000016</v>
      </c>
      <c r="Y108" s="108">
        <f t="shared" si="72"/>
        <v>960.56685000000016</v>
      </c>
      <c r="Z108" s="122"/>
      <c r="AA108" s="122"/>
      <c r="AB108" s="122"/>
      <c r="AC108" s="122"/>
      <c r="AD108" s="122"/>
      <c r="AE108" s="122"/>
      <c r="AF108" s="73">
        <f t="shared" si="73"/>
        <v>0</v>
      </c>
      <c r="AG108" s="73">
        <f t="shared" si="73"/>
        <v>0</v>
      </c>
      <c r="AH108" s="73">
        <f t="shared" si="73"/>
        <v>2040</v>
      </c>
      <c r="AI108" s="73">
        <f t="shared" si="73"/>
        <v>1700</v>
      </c>
      <c r="AJ108" s="73">
        <f t="shared" si="71"/>
        <v>1476.7123287671232</v>
      </c>
      <c r="AK108" s="73">
        <f t="shared" si="71"/>
        <v>1313.9999999999998</v>
      </c>
      <c r="AL108" s="73">
        <f t="shared" si="71"/>
        <v>1154.8285714285712</v>
      </c>
      <c r="AM108" s="73">
        <f t="shared" si="71"/>
        <v>1062.5175000000002</v>
      </c>
      <c r="AN108" s="73">
        <f t="shared" si="71"/>
        <v>1011.1230000000002</v>
      </c>
      <c r="AO108" s="73">
        <f t="shared" si="71"/>
        <v>960.56685000000027</v>
      </c>
      <c r="AP108" s="383"/>
    </row>
    <row r="109" spans="1:42" x14ac:dyDescent="0.4">
      <c r="A109" s="205" t="s">
        <v>265</v>
      </c>
      <c r="B109" s="73">
        <f>+B$103*B75</f>
        <v>3640</v>
      </c>
      <c r="C109" s="73">
        <f t="shared" si="72"/>
        <v>3640</v>
      </c>
      <c r="D109" s="73">
        <f t="shared" si="72"/>
        <v>3640</v>
      </c>
      <c r="E109" s="108">
        <f t="shared" si="72"/>
        <v>3640</v>
      </c>
      <c r="F109" s="73">
        <f t="shared" si="72"/>
        <v>3066</v>
      </c>
      <c r="G109" s="73">
        <f t="shared" si="72"/>
        <v>3066</v>
      </c>
      <c r="H109" s="73">
        <f t="shared" si="72"/>
        <v>3066</v>
      </c>
      <c r="I109" s="108">
        <f t="shared" si="72"/>
        <v>3066</v>
      </c>
      <c r="J109" s="73">
        <f t="shared" si="72"/>
        <v>2233.7999999999997</v>
      </c>
      <c r="K109" s="73">
        <f t="shared" si="72"/>
        <v>2233.7999999999997</v>
      </c>
      <c r="L109" s="73">
        <f t="shared" si="72"/>
        <v>2142</v>
      </c>
      <c r="M109" s="108">
        <f t="shared" si="72"/>
        <v>2142</v>
      </c>
      <c r="N109" s="73">
        <f t="shared" si="72"/>
        <v>1996.6500000000003</v>
      </c>
      <c r="O109" s="73">
        <f t="shared" si="72"/>
        <v>2010.4200000000003</v>
      </c>
      <c r="P109" s="73">
        <f t="shared" si="72"/>
        <v>2010.4200000000003</v>
      </c>
      <c r="Q109" s="108">
        <f t="shared" si="72"/>
        <v>2010.4200000000003</v>
      </c>
      <c r="R109" s="73">
        <f t="shared" si="72"/>
        <v>1809.3780000000002</v>
      </c>
      <c r="S109" s="73">
        <f t="shared" si="72"/>
        <v>1809.3780000000002</v>
      </c>
      <c r="T109" s="73">
        <f t="shared" si="72"/>
        <v>1809.3780000000002</v>
      </c>
      <c r="U109" s="108">
        <f t="shared" si="72"/>
        <v>1809.3780000000002</v>
      </c>
      <c r="V109" s="73">
        <f t="shared" si="72"/>
        <v>1628.4402000000002</v>
      </c>
      <c r="W109" s="73">
        <f t="shared" si="72"/>
        <v>1628.4402000000002</v>
      </c>
      <c r="X109" s="73">
        <f t="shared" si="72"/>
        <v>1628.4402000000002</v>
      </c>
      <c r="Y109" s="108">
        <f t="shared" si="72"/>
        <v>1628.4402000000002</v>
      </c>
      <c r="Z109" s="122"/>
      <c r="AA109" s="122"/>
      <c r="AB109" s="122"/>
      <c r="AC109" s="122"/>
      <c r="AD109" s="122"/>
      <c r="AE109" s="122"/>
      <c r="AF109" s="73">
        <f t="shared" si="73"/>
        <v>0</v>
      </c>
      <c r="AG109" s="73">
        <f t="shared" si="73"/>
        <v>0</v>
      </c>
      <c r="AH109" s="73">
        <f t="shared" si="73"/>
        <v>5440</v>
      </c>
      <c r="AI109" s="73">
        <f t="shared" si="73"/>
        <v>4420</v>
      </c>
      <c r="AJ109" s="73">
        <f t="shared" si="73"/>
        <v>3640</v>
      </c>
      <c r="AK109" s="73">
        <f t="shared" si="73"/>
        <v>3066</v>
      </c>
      <c r="AL109" s="73">
        <f t="shared" si="73"/>
        <v>2233.7999999999997</v>
      </c>
      <c r="AM109" s="73">
        <f t="shared" si="73"/>
        <v>2010.4200000000003</v>
      </c>
      <c r="AN109" s="73">
        <f t="shared" si="73"/>
        <v>1809.3780000000002</v>
      </c>
      <c r="AO109" s="73">
        <f t="shared" si="73"/>
        <v>1628.4402000000002</v>
      </c>
      <c r="AP109" s="383"/>
    </row>
    <row r="110" spans="1:42" x14ac:dyDescent="0.4">
      <c r="A110" s="205" t="s">
        <v>275</v>
      </c>
      <c r="B110" s="73">
        <f t="shared" si="72"/>
        <v>0</v>
      </c>
      <c r="C110" s="73">
        <f t="shared" si="72"/>
        <v>0</v>
      </c>
      <c r="D110" s="73">
        <f t="shared" si="72"/>
        <v>0</v>
      </c>
      <c r="E110" s="108">
        <f t="shared" si="72"/>
        <v>0</v>
      </c>
      <c r="F110" s="73">
        <f t="shared" si="72"/>
        <v>6424</v>
      </c>
      <c r="G110" s="73">
        <f t="shared" si="72"/>
        <v>6424</v>
      </c>
      <c r="H110" s="73">
        <f t="shared" si="72"/>
        <v>6424</v>
      </c>
      <c r="I110" s="108">
        <f t="shared" si="72"/>
        <v>6424</v>
      </c>
      <c r="J110" s="73">
        <f t="shared" si="72"/>
        <v>5891.0999999999995</v>
      </c>
      <c r="K110" s="73">
        <f t="shared" si="72"/>
        <v>4380</v>
      </c>
      <c r="L110" s="73">
        <f t="shared" si="72"/>
        <v>4200</v>
      </c>
      <c r="M110" s="108">
        <f t="shared" si="72"/>
        <v>4200</v>
      </c>
      <c r="N110" s="73">
        <f t="shared" si="72"/>
        <v>4132.5</v>
      </c>
      <c r="O110" s="73">
        <f t="shared" si="72"/>
        <v>3723</v>
      </c>
      <c r="P110" s="73">
        <f t="shared" si="72"/>
        <v>3723</v>
      </c>
      <c r="Q110" s="108">
        <f t="shared" si="72"/>
        <v>3723</v>
      </c>
      <c r="R110" s="73">
        <f t="shared" si="72"/>
        <v>3611.31</v>
      </c>
      <c r="S110" s="73">
        <f t="shared" si="72"/>
        <v>3164.5499999999997</v>
      </c>
      <c r="T110" s="73">
        <f t="shared" si="72"/>
        <v>3164.5499999999997</v>
      </c>
      <c r="U110" s="108">
        <f t="shared" si="72"/>
        <v>3164.5499999999997</v>
      </c>
      <c r="V110" s="73">
        <f t="shared" si="72"/>
        <v>3101.259</v>
      </c>
      <c r="W110" s="73">
        <f t="shared" si="72"/>
        <v>2689.8674999999998</v>
      </c>
      <c r="X110" s="73">
        <f t="shared" si="72"/>
        <v>2689.8674999999998</v>
      </c>
      <c r="Y110" s="108">
        <f t="shared" si="72"/>
        <v>2689.8674999999998</v>
      </c>
      <c r="Z110" s="122"/>
      <c r="AA110" s="122"/>
      <c r="AB110" s="122"/>
      <c r="AC110" s="122"/>
      <c r="AD110" s="122"/>
      <c r="AE110" s="122"/>
      <c r="AF110" s="73">
        <f t="shared" si="73"/>
        <v>0</v>
      </c>
      <c r="AG110" s="73">
        <f t="shared" si="73"/>
        <v>0</v>
      </c>
      <c r="AH110" s="73">
        <f t="shared" si="73"/>
        <v>0</v>
      </c>
      <c r="AI110" s="73">
        <f t="shared" si="73"/>
        <v>0</v>
      </c>
      <c r="AJ110" s="73">
        <f t="shared" si="73"/>
        <v>0</v>
      </c>
      <c r="AK110" s="73">
        <f t="shared" si="73"/>
        <v>6424</v>
      </c>
      <c r="AL110" s="73">
        <f t="shared" si="73"/>
        <v>4380</v>
      </c>
      <c r="AM110" s="73">
        <f t="shared" si="73"/>
        <v>3723</v>
      </c>
      <c r="AN110" s="73">
        <f t="shared" si="73"/>
        <v>3164.5499999999997</v>
      </c>
      <c r="AO110" s="73">
        <f t="shared" si="73"/>
        <v>2689.8674999999998</v>
      </c>
      <c r="AP110" s="383"/>
    </row>
    <row r="111" spans="1:42" x14ac:dyDescent="0.4">
      <c r="A111" s="205" t="s">
        <v>276</v>
      </c>
      <c r="B111" s="73"/>
      <c r="C111" s="73"/>
      <c r="D111" s="73"/>
      <c r="E111" s="108"/>
      <c r="F111" s="73">
        <f t="shared" si="72"/>
        <v>0</v>
      </c>
      <c r="G111" s="73">
        <f t="shared" si="72"/>
        <v>0</v>
      </c>
      <c r="H111" s="73">
        <f t="shared" si="72"/>
        <v>0</v>
      </c>
      <c r="I111" s="108">
        <f t="shared" si="72"/>
        <v>0</v>
      </c>
      <c r="J111" s="73">
        <f t="shared" si="72"/>
        <v>0</v>
      </c>
      <c r="K111" s="73">
        <f t="shared" si="72"/>
        <v>0</v>
      </c>
      <c r="L111" s="73">
        <f t="shared" si="72"/>
        <v>3500</v>
      </c>
      <c r="M111" s="108">
        <f t="shared" si="72"/>
        <v>3500</v>
      </c>
      <c r="N111" s="73">
        <f t="shared" si="72"/>
        <v>3443.75</v>
      </c>
      <c r="O111" s="73">
        <f t="shared" si="72"/>
        <v>3285</v>
      </c>
      <c r="P111" s="73">
        <f t="shared" si="72"/>
        <v>3285</v>
      </c>
      <c r="Q111" s="108">
        <f t="shared" si="72"/>
        <v>3285</v>
      </c>
      <c r="R111" s="73">
        <f t="shared" si="72"/>
        <v>3120.75</v>
      </c>
      <c r="S111" s="73">
        <f t="shared" si="72"/>
        <v>2792.25</v>
      </c>
      <c r="T111" s="73">
        <f t="shared" si="72"/>
        <v>2792.25</v>
      </c>
      <c r="U111" s="108">
        <f t="shared" si="72"/>
        <v>2792.25</v>
      </c>
      <c r="V111" s="73">
        <f t="shared" si="72"/>
        <v>2652.6374999999998</v>
      </c>
      <c r="W111" s="73">
        <f t="shared" si="72"/>
        <v>2373.4124999999999</v>
      </c>
      <c r="X111" s="73">
        <f t="shared" si="72"/>
        <v>2373.4124999999999</v>
      </c>
      <c r="Y111" s="108">
        <f t="shared" si="72"/>
        <v>2373.4124999999999</v>
      </c>
      <c r="Z111" s="122"/>
      <c r="AA111" s="122"/>
      <c r="AB111" s="122"/>
      <c r="AC111" s="122"/>
      <c r="AD111" s="122"/>
      <c r="AE111" s="122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383"/>
    </row>
    <row r="112" spans="1:42" x14ac:dyDescent="0.4">
      <c r="A112" s="205" t="s">
        <v>277</v>
      </c>
      <c r="B112" s="73">
        <f t="shared" ref="B112:E114" si="74">+B$103*B78</f>
        <v>0</v>
      </c>
      <c r="C112" s="73">
        <f t="shared" si="74"/>
        <v>0</v>
      </c>
      <c r="D112" s="73">
        <f t="shared" si="74"/>
        <v>0</v>
      </c>
      <c r="E112" s="108">
        <f t="shared" si="74"/>
        <v>0</v>
      </c>
      <c r="F112" s="73">
        <f t="shared" si="72"/>
        <v>4599</v>
      </c>
      <c r="G112" s="73">
        <f t="shared" si="72"/>
        <v>4599</v>
      </c>
      <c r="H112" s="73">
        <f t="shared" si="72"/>
        <v>4599</v>
      </c>
      <c r="I112" s="108">
        <f t="shared" si="72"/>
        <v>4599</v>
      </c>
      <c r="J112" s="73">
        <f t="shared" si="72"/>
        <v>4219.3999999999996</v>
      </c>
      <c r="K112" s="73">
        <f t="shared" si="72"/>
        <v>3285</v>
      </c>
      <c r="L112" s="73">
        <f t="shared" si="72"/>
        <v>3150</v>
      </c>
      <c r="M112" s="108">
        <f t="shared" si="72"/>
        <v>3150</v>
      </c>
      <c r="N112" s="73">
        <f t="shared" si="72"/>
        <v>3099.375</v>
      </c>
      <c r="O112" s="73">
        <f t="shared" si="72"/>
        <v>2792.25</v>
      </c>
      <c r="P112" s="73">
        <f t="shared" si="72"/>
        <v>2792.25</v>
      </c>
      <c r="Q112" s="108">
        <f t="shared" si="72"/>
        <v>2792.25</v>
      </c>
      <c r="R112" s="73">
        <f t="shared" si="72"/>
        <v>2708.4824999999996</v>
      </c>
      <c r="S112" s="73">
        <f t="shared" si="72"/>
        <v>2373.4124999999999</v>
      </c>
      <c r="T112" s="73">
        <f t="shared" si="72"/>
        <v>2373.4124999999999</v>
      </c>
      <c r="U112" s="108">
        <f t="shared" si="72"/>
        <v>2373.4124999999999</v>
      </c>
      <c r="V112" s="73">
        <f t="shared" si="72"/>
        <v>2325.94425</v>
      </c>
      <c r="W112" s="73">
        <f t="shared" si="72"/>
        <v>2017.4006249999998</v>
      </c>
      <c r="X112" s="73">
        <f t="shared" si="72"/>
        <v>2017.4006249999998</v>
      </c>
      <c r="Y112" s="108">
        <f t="shared" si="72"/>
        <v>2017.4006249999998</v>
      </c>
      <c r="Z112" s="122"/>
      <c r="AA112" s="122"/>
      <c r="AB112" s="122"/>
      <c r="AC112" s="122"/>
      <c r="AD112" s="122"/>
      <c r="AE112" s="122"/>
      <c r="AF112" s="73">
        <f t="shared" ref="AF112:AO115" si="75">+AF$103*AF78</f>
        <v>0</v>
      </c>
      <c r="AG112" s="73">
        <f t="shared" si="75"/>
        <v>0</v>
      </c>
      <c r="AH112" s="73">
        <f t="shared" si="75"/>
        <v>0</v>
      </c>
      <c r="AI112" s="73">
        <f t="shared" si="75"/>
        <v>0</v>
      </c>
      <c r="AJ112" s="73">
        <f t="shared" si="75"/>
        <v>0</v>
      </c>
      <c r="AK112" s="73">
        <f t="shared" si="75"/>
        <v>4599</v>
      </c>
      <c r="AL112" s="73">
        <f t="shared" si="75"/>
        <v>3285</v>
      </c>
      <c r="AM112" s="73">
        <f t="shared" si="75"/>
        <v>2792.25</v>
      </c>
      <c r="AN112" s="73">
        <f t="shared" si="75"/>
        <v>2373.4124999999999</v>
      </c>
      <c r="AO112" s="73">
        <f t="shared" si="75"/>
        <v>2017.4006249999998</v>
      </c>
      <c r="AP112" s="383"/>
    </row>
    <row r="113" spans="1:42" x14ac:dyDescent="0.4">
      <c r="A113" s="205" t="s">
        <v>288</v>
      </c>
      <c r="B113" s="73">
        <f t="shared" si="74"/>
        <v>0</v>
      </c>
      <c r="C113" s="73">
        <f t="shared" si="74"/>
        <v>0</v>
      </c>
      <c r="D113" s="73">
        <f t="shared" si="74"/>
        <v>0</v>
      </c>
      <c r="E113" s="108">
        <f t="shared" si="74"/>
        <v>0</v>
      </c>
      <c r="F113" s="73">
        <f t="shared" si="72"/>
        <v>0</v>
      </c>
      <c r="G113" s="73">
        <f t="shared" si="72"/>
        <v>0</v>
      </c>
      <c r="H113" s="73">
        <f t="shared" si="72"/>
        <v>0</v>
      </c>
      <c r="I113" s="108">
        <f t="shared" si="72"/>
        <v>0</v>
      </c>
      <c r="J113" s="73">
        <f t="shared" si="72"/>
        <v>0</v>
      </c>
      <c r="K113" s="73">
        <f t="shared" si="72"/>
        <v>0</v>
      </c>
      <c r="L113" s="73">
        <f t="shared" si="72"/>
        <v>0</v>
      </c>
      <c r="M113" s="108">
        <f t="shared" si="72"/>
        <v>8960</v>
      </c>
      <c r="N113" s="73">
        <f t="shared" si="72"/>
        <v>9280</v>
      </c>
      <c r="O113" s="73">
        <f>+O$103*O79</f>
        <v>9344</v>
      </c>
      <c r="P113" s="73">
        <f t="shared" si="72"/>
        <v>9344</v>
      </c>
      <c r="Q113" s="108">
        <f t="shared" si="72"/>
        <v>9344</v>
      </c>
      <c r="R113" s="73">
        <f t="shared" si="72"/>
        <v>8409.6</v>
      </c>
      <c r="S113" s="73">
        <f t="shared" si="72"/>
        <v>7942.4</v>
      </c>
      <c r="T113" s="73">
        <f t="shared" si="72"/>
        <v>7942.4</v>
      </c>
      <c r="U113" s="108">
        <f t="shared" si="72"/>
        <v>7942.4</v>
      </c>
      <c r="V113" s="73">
        <f t="shared" si="72"/>
        <v>7148.16</v>
      </c>
      <c r="W113" s="73">
        <f t="shared" si="72"/>
        <v>6751.0399999999991</v>
      </c>
      <c r="X113" s="73">
        <f t="shared" si="72"/>
        <v>6751.0399999999991</v>
      </c>
      <c r="Y113" s="108">
        <f t="shared" si="72"/>
        <v>6751.0399999999991</v>
      </c>
      <c r="Z113" s="122"/>
      <c r="AA113" s="122"/>
      <c r="AB113" s="122"/>
      <c r="AC113" s="122"/>
      <c r="AD113" s="122"/>
      <c r="AE113" s="122"/>
      <c r="AF113" s="73">
        <f t="shared" si="75"/>
        <v>0</v>
      </c>
      <c r="AG113" s="73">
        <f t="shared" si="75"/>
        <v>0</v>
      </c>
      <c r="AH113" s="73">
        <f t="shared" si="75"/>
        <v>0</v>
      </c>
      <c r="AI113" s="73">
        <f t="shared" si="75"/>
        <v>0</v>
      </c>
      <c r="AJ113" s="73">
        <f t="shared" si="75"/>
        <v>0</v>
      </c>
      <c r="AK113" s="73">
        <f t="shared" si="75"/>
        <v>0</v>
      </c>
      <c r="AL113" s="73">
        <f t="shared" si="75"/>
        <v>0</v>
      </c>
      <c r="AM113" s="73">
        <f t="shared" si="75"/>
        <v>9344</v>
      </c>
      <c r="AN113" s="73">
        <f t="shared" si="75"/>
        <v>7942.4</v>
      </c>
      <c r="AO113" s="73">
        <f t="shared" si="75"/>
        <v>6751.0399999999991</v>
      </c>
      <c r="AP113" s="383"/>
    </row>
    <row r="114" spans="1:42" x14ac:dyDescent="0.4">
      <c r="A114" s="205" t="s">
        <v>289</v>
      </c>
      <c r="B114" s="73">
        <f t="shared" si="74"/>
        <v>0</v>
      </c>
      <c r="C114" s="73">
        <f t="shared" si="74"/>
        <v>0</v>
      </c>
      <c r="D114" s="73">
        <f t="shared" si="74"/>
        <v>0</v>
      </c>
      <c r="E114" s="108">
        <f t="shared" si="74"/>
        <v>0</v>
      </c>
      <c r="F114" s="73">
        <f t="shared" si="72"/>
        <v>0</v>
      </c>
      <c r="G114" s="73">
        <f t="shared" si="72"/>
        <v>0</v>
      </c>
      <c r="H114" s="73">
        <f t="shared" si="72"/>
        <v>0</v>
      </c>
      <c r="I114" s="108">
        <f t="shared" si="72"/>
        <v>0</v>
      </c>
      <c r="J114" s="73">
        <f t="shared" si="72"/>
        <v>0</v>
      </c>
      <c r="K114" s="73">
        <f t="shared" si="72"/>
        <v>0</v>
      </c>
      <c r="L114" s="73">
        <f t="shared" si="72"/>
        <v>0</v>
      </c>
      <c r="M114" s="108">
        <f t="shared" si="72"/>
        <v>6650</v>
      </c>
      <c r="N114" s="73">
        <f t="shared" si="72"/>
        <v>6887.5</v>
      </c>
      <c r="O114" s="73">
        <f t="shared" si="72"/>
        <v>6935</v>
      </c>
      <c r="P114" s="73">
        <f t="shared" si="72"/>
        <v>6935</v>
      </c>
      <c r="Q114" s="108">
        <f t="shared" si="72"/>
        <v>6935</v>
      </c>
      <c r="R114" s="73">
        <f t="shared" si="72"/>
        <v>6241.5</v>
      </c>
      <c r="S114" s="73">
        <f t="shared" si="72"/>
        <v>5894.75</v>
      </c>
      <c r="T114" s="73">
        <f t="shared" si="72"/>
        <v>5894.75</v>
      </c>
      <c r="U114" s="108">
        <f t="shared" si="72"/>
        <v>5894.75</v>
      </c>
      <c r="V114" s="73">
        <f t="shared" si="72"/>
        <v>5305.2749999999996</v>
      </c>
      <c r="W114" s="73">
        <f t="shared" si="72"/>
        <v>5010.5374999999995</v>
      </c>
      <c r="X114" s="73">
        <f t="shared" si="72"/>
        <v>5010.5374999999995</v>
      </c>
      <c r="Y114" s="108">
        <f t="shared" si="72"/>
        <v>5010.5374999999995</v>
      </c>
      <c r="Z114" s="122"/>
      <c r="AA114" s="122"/>
      <c r="AB114" s="122"/>
      <c r="AC114" s="122"/>
      <c r="AD114" s="122"/>
      <c r="AE114" s="122"/>
      <c r="AF114" s="73">
        <f t="shared" si="75"/>
        <v>0</v>
      </c>
      <c r="AG114" s="73">
        <f t="shared" si="75"/>
        <v>0</v>
      </c>
      <c r="AH114" s="73">
        <f t="shared" si="75"/>
        <v>0</v>
      </c>
      <c r="AI114" s="73">
        <f t="shared" si="75"/>
        <v>0</v>
      </c>
      <c r="AJ114" s="73">
        <f t="shared" si="75"/>
        <v>0</v>
      </c>
      <c r="AK114" s="73">
        <f t="shared" si="75"/>
        <v>0</v>
      </c>
      <c r="AL114" s="73">
        <f t="shared" si="75"/>
        <v>0</v>
      </c>
      <c r="AM114" s="73">
        <f t="shared" si="75"/>
        <v>6935</v>
      </c>
      <c r="AN114" s="73">
        <f t="shared" si="75"/>
        <v>5894.75</v>
      </c>
      <c r="AO114" s="73">
        <f t="shared" si="75"/>
        <v>5010.5374999999995</v>
      </c>
      <c r="AP114" s="383"/>
    </row>
    <row r="115" spans="1:42" x14ac:dyDescent="0.4">
      <c r="A115" s="205" t="s">
        <v>268</v>
      </c>
      <c r="B115" s="90"/>
      <c r="C115" s="90"/>
      <c r="D115" s="90"/>
      <c r="E115" s="144"/>
      <c r="F115" s="90"/>
      <c r="G115" s="90"/>
      <c r="H115" s="90"/>
      <c r="I115" s="144"/>
      <c r="J115" s="90"/>
      <c r="K115" s="90"/>
      <c r="L115" s="90"/>
      <c r="M115" s="144"/>
      <c r="N115" s="90"/>
      <c r="O115" s="90"/>
      <c r="P115" s="90"/>
      <c r="Q115" s="144"/>
      <c r="R115" s="90"/>
      <c r="S115" s="90"/>
      <c r="T115" s="90"/>
      <c r="U115" s="144"/>
      <c r="V115" s="90"/>
      <c r="W115" s="90"/>
      <c r="X115" s="73">
        <f>+X81*7.3</f>
        <v>14016</v>
      </c>
      <c r="Y115" s="108">
        <f>+Y81*7.3</f>
        <v>14016</v>
      </c>
      <c r="Z115" s="122"/>
      <c r="AA115" s="122"/>
      <c r="AB115" s="122"/>
      <c r="AC115" s="122"/>
      <c r="AD115" s="122"/>
      <c r="AE115" s="122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>
        <f t="shared" si="75"/>
        <v>14016</v>
      </c>
      <c r="AP115" s="383"/>
    </row>
    <row r="116" spans="1:42" x14ac:dyDescent="0.4">
      <c r="A116" s="346"/>
      <c r="B116" s="90"/>
      <c r="C116" s="90"/>
      <c r="D116" s="90"/>
      <c r="E116" s="144"/>
      <c r="F116" s="90"/>
      <c r="G116" s="90"/>
      <c r="H116" s="90"/>
      <c r="I116" s="144"/>
      <c r="J116" s="90"/>
      <c r="K116" s="90"/>
      <c r="L116" s="90"/>
      <c r="M116" s="144"/>
      <c r="N116" s="90"/>
      <c r="O116" s="90"/>
      <c r="P116" s="90"/>
      <c r="Q116" s="144"/>
      <c r="R116" s="90"/>
      <c r="S116" s="90"/>
      <c r="T116" s="90"/>
      <c r="U116" s="144"/>
      <c r="V116" s="90"/>
      <c r="W116" s="90"/>
      <c r="X116" s="90"/>
      <c r="Y116" s="144"/>
      <c r="Z116" s="122"/>
      <c r="AA116" s="122"/>
      <c r="AB116" s="122"/>
      <c r="AC116" s="122"/>
      <c r="AD116" s="122"/>
      <c r="AE116" s="122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383"/>
    </row>
    <row r="117" spans="1:42" outlineLevel="1" x14ac:dyDescent="0.4">
      <c r="A117" s="326" t="s">
        <v>292</v>
      </c>
      <c r="B117" s="399"/>
      <c r="C117" s="399"/>
      <c r="D117" s="399"/>
      <c r="E117" s="400"/>
      <c r="F117" s="399"/>
      <c r="G117" s="399"/>
      <c r="H117" s="399"/>
      <c r="I117" s="400"/>
      <c r="J117" s="399"/>
      <c r="K117" s="399"/>
      <c r="L117" s="399"/>
      <c r="M117" s="400"/>
      <c r="N117" s="399"/>
      <c r="O117" s="399"/>
      <c r="P117" s="399"/>
      <c r="Q117" s="400"/>
      <c r="R117" s="399"/>
      <c r="S117" s="399"/>
      <c r="T117" s="399"/>
      <c r="U117" s="400"/>
      <c r="V117" s="399"/>
      <c r="W117" s="399"/>
      <c r="X117" s="399"/>
      <c r="Y117" s="400"/>
      <c r="Z117" s="326"/>
      <c r="AA117" s="326"/>
      <c r="AB117" s="326"/>
      <c r="AC117" s="326"/>
      <c r="AD117" s="326"/>
      <c r="AE117" s="326"/>
      <c r="AF117" s="326"/>
      <c r="AG117" s="361"/>
      <c r="AH117" s="361"/>
      <c r="AI117" s="361"/>
      <c r="AJ117" s="361"/>
      <c r="AK117" s="361"/>
      <c r="AL117" s="361"/>
      <c r="AM117" s="361"/>
      <c r="AN117" s="361"/>
      <c r="AO117" s="361"/>
      <c r="AP117" s="326"/>
    </row>
    <row r="118" spans="1:42" outlineLevel="1" x14ac:dyDescent="0.4">
      <c r="A118" s="70" t="s">
        <v>293</v>
      </c>
      <c r="B118" s="73"/>
      <c r="C118" s="73"/>
      <c r="D118" s="73"/>
      <c r="E118" s="108"/>
      <c r="F118" s="73"/>
      <c r="G118" s="73"/>
      <c r="H118" s="73"/>
      <c r="I118" s="108"/>
      <c r="J118" s="73"/>
      <c r="K118" s="73"/>
      <c r="L118" s="73"/>
      <c r="M118" s="108"/>
      <c r="N118" s="73"/>
      <c r="O118" s="73"/>
      <c r="P118" s="73"/>
      <c r="Q118" s="108"/>
      <c r="R118" s="73"/>
      <c r="S118" s="73"/>
      <c r="T118" s="73"/>
      <c r="U118" s="108"/>
      <c r="V118" s="73"/>
      <c r="W118" s="73"/>
      <c r="X118" s="73"/>
      <c r="Y118" s="108"/>
      <c r="Z118" s="73"/>
      <c r="AA118" s="73"/>
      <c r="AB118" s="73"/>
      <c r="AC118" s="73"/>
      <c r="AD118" s="73"/>
      <c r="AE118" s="73"/>
      <c r="AF118" s="401">
        <v>3748.9674239300002</v>
      </c>
      <c r="AG118" s="401">
        <v>3601.1698148</v>
      </c>
      <c r="AH118" s="401">
        <v>6008.0372752100002</v>
      </c>
      <c r="AI118" s="401">
        <v>6363.9644621799998</v>
      </c>
      <c r="AJ118" s="401">
        <v>8746.3169401600007</v>
      </c>
      <c r="AK118" s="73"/>
      <c r="AL118" s="73"/>
      <c r="AM118" s="73"/>
      <c r="AN118" s="73"/>
      <c r="AO118" s="73"/>
      <c r="AP118" s="73"/>
    </row>
    <row r="119" spans="1:42" outlineLevel="1" x14ac:dyDescent="0.4">
      <c r="A119" s="70" t="s">
        <v>262</v>
      </c>
      <c r="B119" s="73"/>
      <c r="C119" s="73"/>
      <c r="D119" s="73"/>
      <c r="E119" s="108"/>
      <c r="F119" s="73"/>
      <c r="G119" s="73"/>
      <c r="H119" s="73"/>
      <c r="I119" s="108"/>
      <c r="J119" s="73"/>
      <c r="K119" s="73"/>
      <c r="L119" s="73"/>
      <c r="M119" s="108"/>
      <c r="N119" s="73"/>
      <c r="O119" s="73"/>
      <c r="P119" s="73"/>
      <c r="Q119" s="108"/>
      <c r="R119" s="73"/>
      <c r="S119" s="73"/>
      <c r="T119" s="73"/>
      <c r="U119" s="108"/>
      <c r="V119" s="73"/>
      <c r="W119" s="73"/>
      <c r="X119" s="73"/>
      <c r="Y119" s="108"/>
      <c r="Z119" s="122"/>
      <c r="AA119" s="122"/>
      <c r="AB119" s="122"/>
      <c r="AC119" s="122"/>
      <c r="AD119" s="122"/>
      <c r="AE119" s="122"/>
      <c r="AF119" s="401">
        <v>1248.7628064999999</v>
      </c>
      <c r="AG119" s="401">
        <v>1029.8326564399999</v>
      </c>
      <c r="AH119" s="401">
        <v>501.58826112000003</v>
      </c>
      <c r="AI119" s="401">
        <v>897.05834144000005</v>
      </c>
      <c r="AJ119" s="401">
        <v>666.38667680000003</v>
      </c>
      <c r="AK119" s="73"/>
      <c r="AL119" s="73"/>
      <c r="AM119" s="73"/>
      <c r="AN119" s="73"/>
      <c r="AO119" s="73"/>
      <c r="AP119" s="383"/>
    </row>
    <row r="120" spans="1:42" outlineLevel="1" x14ac:dyDescent="0.4">
      <c r="B120" s="122"/>
      <c r="C120" s="122"/>
      <c r="D120" s="122"/>
      <c r="E120" s="402"/>
      <c r="F120" s="122"/>
      <c r="G120" s="122"/>
      <c r="H120" s="122"/>
      <c r="I120" s="402"/>
      <c r="J120" s="122"/>
      <c r="K120" s="122"/>
      <c r="L120" s="122"/>
      <c r="M120" s="402"/>
      <c r="N120" s="122"/>
      <c r="O120" s="122"/>
      <c r="P120" s="122"/>
      <c r="Q120" s="402"/>
      <c r="R120" s="122"/>
      <c r="S120" s="122"/>
      <c r="T120" s="122"/>
      <c r="U120" s="402"/>
      <c r="V120" s="122"/>
      <c r="W120" s="122"/>
      <c r="X120" s="122"/>
      <c r="Y120" s="402"/>
      <c r="Z120" s="122"/>
      <c r="AA120" s="122"/>
      <c r="AB120" s="122"/>
      <c r="AC120" s="122"/>
      <c r="AD120" s="122"/>
      <c r="AE120" s="122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383"/>
    </row>
    <row r="121" spans="1:42" outlineLevel="1" x14ac:dyDescent="0.4">
      <c r="A121" s="326" t="s">
        <v>294</v>
      </c>
      <c r="B121" s="371"/>
      <c r="C121" s="371"/>
      <c r="D121" s="371"/>
      <c r="E121" s="372"/>
      <c r="F121" s="371"/>
      <c r="G121" s="371"/>
      <c r="H121" s="371"/>
      <c r="I121" s="372"/>
      <c r="J121" s="371"/>
      <c r="K121" s="371"/>
      <c r="L121" s="371"/>
      <c r="M121" s="372"/>
      <c r="N121" s="371"/>
      <c r="O121" s="371"/>
      <c r="P121" s="371"/>
      <c r="Q121" s="372"/>
      <c r="R121" s="371"/>
      <c r="S121" s="371"/>
      <c r="T121" s="371"/>
      <c r="U121" s="372"/>
      <c r="V121" s="371"/>
      <c r="W121" s="371"/>
      <c r="X121" s="371"/>
      <c r="Y121" s="372"/>
      <c r="Z121" s="73"/>
      <c r="AA121" s="73"/>
      <c r="AB121" s="73"/>
      <c r="AC121" s="73"/>
      <c r="AD121" s="73"/>
      <c r="AE121" s="73"/>
      <c r="AF121" s="73"/>
      <c r="AG121" s="122"/>
      <c r="AH121" s="122"/>
      <c r="AI121" s="403"/>
      <c r="AJ121" s="403"/>
      <c r="AK121" s="403"/>
      <c r="AL121" s="403"/>
      <c r="AM121" s="403"/>
      <c r="AN121" s="403"/>
      <c r="AO121" s="403"/>
      <c r="AP121" s="383"/>
    </row>
    <row r="122" spans="1:42" outlineLevel="1" x14ac:dyDescent="0.4">
      <c r="A122" s="70" t="s">
        <v>293</v>
      </c>
      <c r="B122" s="148"/>
      <c r="C122" s="148"/>
      <c r="D122" s="148"/>
      <c r="E122" s="404"/>
      <c r="F122" s="148"/>
      <c r="G122" s="148"/>
      <c r="H122" s="148"/>
      <c r="I122" s="404"/>
      <c r="J122" s="148"/>
      <c r="K122" s="148"/>
      <c r="L122" s="148"/>
      <c r="M122" s="404"/>
      <c r="N122" s="148"/>
      <c r="O122" s="148"/>
      <c r="P122" s="148"/>
      <c r="Q122" s="404"/>
      <c r="R122" s="148"/>
      <c r="S122" s="148"/>
      <c r="T122" s="148"/>
      <c r="U122" s="404"/>
      <c r="V122" s="148"/>
      <c r="W122" s="148"/>
      <c r="X122" s="148"/>
      <c r="Y122" s="404"/>
      <c r="Z122" s="122"/>
      <c r="AA122" s="122"/>
      <c r="AB122" s="122"/>
      <c r="AC122" s="122"/>
      <c r="AD122" s="401"/>
      <c r="AE122" s="401"/>
      <c r="AF122" s="401"/>
      <c r="AG122" s="405"/>
      <c r="AH122" s="405">
        <v>3.77</v>
      </c>
      <c r="AI122" s="405">
        <v>4.7699999999999996</v>
      </c>
      <c r="AJ122" s="405">
        <v>6.18</v>
      </c>
      <c r="AK122" s="90"/>
      <c r="AL122" s="90"/>
      <c r="AM122" s="90"/>
      <c r="AN122" s="90"/>
      <c r="AO122" s="90"/>
      <c r="AP122" s="383"/>
    </row>
    <row r="123" spans="1:42" outlineLevel="1" x14ac:dyDescent="0.4">
      <c r="A123" s="70" t="s">
        <v>262</v>
      </c>
      <c r="B123" s="148"/>
      <c r="C123" s="148"/>
      <c r="D123" s="148"/>
      <c r="E123" s="404"/>
      <c r="F123" s="148"/>
      <c r="G123" s="148"/>
      <c r="H123" s="148"/>
      <c r="I123" s="404"/>
      <c r="J123" s="148"/>
      <c r="K123" s="148"/>
      <c r="L123" s="148"/>
      <c r="M123" s="404"/>
      <c r="N123" s="148"/>
      <c r="O123" s="148"/>
      <c r="P123" s="148"/>
      <c r="Q123" s="404"/>
      <c r="R123" s="148"/>
      <c r="S123" s="148"/>
      <c r="T123" s="148"/>
      <c r="U123" s="404"/>
      <c r="V123" s="148"/>
      <c r="W123" s="148"/>
      <c r="X123" s="148"/>
      <c r="Y123" s="404"/>
      <c r="Z123" s="122"/>
      <c r="AA123" s="122"/>
      <c r="AB123" s="122"/>
      <c r="AC123" s="122"/>
      <c r="AD123" s="401"/>
      <c r="AE123" s="401"/>
      <c r="AF123" s="401"/>
      <c r="AG123" s="401"/>
      <c r="AH123" s="401">
        <v>4.47</v>
      </c>
      <c r="AI123" s="405">
        <v>5.64</v>
      </c>
      <c r="AJ123" s="405">
        <v>3.29</v>
      </c>
      <c r="AK123" s="90"/>
      <c r="AL123" s="90"/>
      <c r="AM123" s="90"/>
      <c r="AN123" s="90"/>
      <c r="AO123" s="90"/>
      <c r="AP123" s="383"/>
    </row>
    <row r="124" spans="1:42" outlineLevel="1" x14ac:dyDescent="0.4">
      <c r="A124" s="205"/>
      <c r="B124" s="148"/>
      <c r="C124" s="148"/>
      <c r="D124" s="148"/>
      <c r="E124" s="404"/>
      <c r="F124" s="148"/>
      <c r="G124" s="148"/>
      <c r="H124" s="148"/>
      <c r="I124" s="404"/>
      <c r="J124" s="148"/>
      <c r="K124" s="148"/>
      <c r="L124" s="148"/>
      <c r="M124" s="404"/>
      <c r="N124" s="148"/>
      <c r="O124" s="148"/>
      <c r="P124" s="148"/>
      <c r="Q124" s="404"/>
      <c r="R124" s="148"/>
      <c r="S124" s="148"/>
      <c r="T124" s="148"/>
      <c r="U124" s="404"/>
      <c r="V124" s="148"/>
      <c r="W124" s="148"/>
      <c r="X124" s="148"/>
      <c r="Y124" s="404"/>
      <c r="Z124" s="122"/>
      <c r="AA124" s="122"/>
      <c r="AB124" s="122"/>
      <c r="AC124" s="122"/>
      <c r="AD124" s="401"/>
      <c r="AE124" s="401"/>
      <c r="AF124" s="401"/>
      <c r="AG124" s="401"/>
      <c r="AH124" s="401"/>
      <c r="AI124" s="401"/>
      <c r="AJ124" s="401"/>
      <c r="AK124" s="90"/>
      <c r="AL124" s="90"/>
      <c r="AM124" s="90"/>
      <c r="AN124" s="90"/>
      <c r="AO124" s="90"/>
      <c r="AP124" s="383"/>
    </row>
    <row r="125" spans="1:42" outlineLevel="1" x14ac:dyDescent="0.4">
      <c r="A125" s="205" t="s">
        <v>291</v>
      </c>
      <c r="B125" s="148"/>
      <c r="C125" s="148"/>
      <c r="D125" s="148"/>
      <c r="E125" s="404"/>
      <c r="F125" s="148"/>
      <c r="G125" s="148"/>
      <c r="H125" s="148"/>
      <c r="I125" s="404"/>
      <c r="J125" s="148"/>
      <c r="K125" s="148"/>
      <c r="L125" s="148"/>
      <c r="M125" s="404"/>
      <c r="N125" s="148"/>
      <c r="O125" s="148"/>
      <c r="P125" s="148"/>
      <c r="Q125" s="404"/>
      <c r="R125" s="148"/>
      <c r="S125" s="148"/>
      <c r="T125" s="148"/>
      <c r="U125" s="404"/>
      <c r="V125" s="148"/>
      <c r="W125" s="148"/>
      <c r="X125" s="148"/>
      <c r="Y125" s="404"/>
      <c r="Z125" s="122"/>
      <c r="AA125" s="122"/>
      <c r="AB125" s="122"/>
      <c r="AC125" s="122"/>
      <c r="AD125" s="401"/>
      <c r="AE125" s="401"/>
      <c r="AF125" s="401"/>
      <c r="AG125" s="401"/>
      <c r="AH125" s="401"/>
      <c r="AI125" s="401"/>
      <c r="AJ125" s="401"/>
      <c r="AK125" s="90"/>
      <c r="AL125" s="90"/>
      <c r="AM125" s="90"/>
      <c r="AN125" s="90"/>
      <c r="AO125" s="90"/>
      <c r="AP125" s="383"/>
    </row>
    <row r="126" spans="1:42" outlineLevel="1" x14ac:dyDescent="0.4">
      <c r="A126" s="70" t="s">
        <v>293</v>
      </c>
      <c r="B126" s="148"/>
      <c r="C126" s="148"/>
      <c r="D126" s="148"/>
      <c r="E126" s="404"/>
      <c r="F126" s="148"/>
      <c r="G126" s="148"/>
      <c r="H126" s="148"/>
      <c r="I126" s="404"/>
      <c r="J126" s="148"/>
      <c r="K126" s="148"/>
      <c r="L126" s="148"/>
      <c r="M126" s="404"/>
      <c r="N126" s="148"/>
      <c r="O126" s="148"/>
      <c r="P126" s="148"/>
      <c r="Q126" s="404"/>
      <c r="R126" s="148"/>
      <c r="S126" s="148"/>
      <c r="T126" s="148"/>
      <c r="U126" s="404"/>
      <c r="V126" s="148"/>
      <c r="W126" s="148"/>
      <c r="X126" s="148"/>
      <c r="Y126" s="404"/>
      <c r="Z126" s="406"/>
      <c r="AA126" s="406"/>
      <c r="AB126" s="406"/>
      <c r="AC126" s="406"/>
      <c r="AD126" s="406"/>
      <c r="AE126" s="406"/>
      <c r="AF126" s="406"/>
      <c r="AG126" s="407"/>
      <c r="AH126" s="73">
        <f t="shared" ref="AH126:AJ127" si="76">+AH118/AH122</f>
        <v>1593.6438395782493</v>
      </c>
      <c r="AI126" s="73">
        <f t="shared" si="76"/>
        <v>1334.1644574800839</v>
      </c>
      <c r="AJ126" s="73">
        <f t="shared" si="76"/>
        <v>1415.2616408025892</v>
      </c>
      <c r="AK126" s="90"/>
      <c r="AL126" s="90"/>
      <c r="AM126" s="90"/>
      <c r="AN126" s="90"/>
      <c r="AO126" s="90"/>
      <c r="AP126" s="383"/>
    </row>
    <row r="127" spans="1:42" outlineLevel="1" x14ac:dyDescent="0.4">
      <c r="A127" s="70" t="s">
        <v>262</v>
      </c>
      <c r="B127" s="73"/>
      <c r="C127" s="73"/>
      <c r="D127" s="73"/>
      <c r="E127" s="108"/>
      <c r="F127" s="73"/>
      <c r="G127" s="73"/>
      <c r="H127" s="73"/>
      <c r="I127" s="108"/>
      <c r="J127" s="73"/>
      <c r="K127" s="73"/>
      <c r="L127" s="73"/>
      <c r="M127" s="108"/>
      <c r="N127" s="73"/>
      <c r="O127" s="73"/>
      <c r="P127" s="73"/>
      <c r="Q127" s="108"/>
      <c r="R127" s="73"/>
      <c r="S127" s="73"/>
      <c r="T127" s="73"/>
      <c r="U127" s="108"/>
      <c r="V127" s="73"/>
      <c r="W127" s="73"/>
      <c r="X127" s="73"/>
      <c r="Y127" s="108"/>
      <c r="Z127" s="73"/>
      <c r="AA127" s="73"/>
      <c r="AB127" s="73"/>
      <c r="AC127" s="73"/>
      <c r="AD127" s="73"/>
      <c r="AE127" s="73"/>
      <c r="AF127" s="73"/>
      <c r="AG127" s="73"/>
      <c r="AH127" s="73">
        <f t="shared" si="76"/>
        <v>112.21213895302014</v>
      </c>
      <c r="AI127" s="73">
        <f t="shared" si="76"/>
        <v>159.05289741843973</v>
      </c>
      <c r="AJ127" s="73">
        <f t="shared" si="76"/>
        <v>202.54914188449848</v>
      </c>
      <c r="AK127" s="73"/>
      <c r="AL127" s="73"/>
      <c r="AM127" s="73"/>
      <c r="AN127" s="73"/>
      <c r="AO127" s="73"/>
      <c r="AP127" s="383"/>
    </row>
    <row r="128" spans="1:42" ht="15" hidden="1" outlineLevel="1" x14ac:dyDescent="0.85">
      <c r="A128" s="408" t="s">
        <v>295</v>
      </c>
      <c r="B128" s="409"/>
      <c r="C128" s="409"/>
      <c r="D128" s="409"/>
      <c r="E128" s="410"/>
      <c r="F128" s="409"/>
      <c r="G128" s="409"/>
      <c r="H128" s="409"/>
      <c r="I128" s="410"/>
      <c r="J128" s="409"/>
      <c r="K128" s="409"/>
      <c r="L128" s="409"/>
      <c r="M128" s="410"/>
      <c r="N128" s="409"/>
      <c r="O128" s="409"/>
      <c r="P128" s="409"/>
      <c r="Q128" s="410"/>
      <c r="R128" s="409"/>
      <c r="S128" s="409"/>
      <c r="T128" s="409"/>
      <c r="U128" s="410"/>
      <c r="V128" s="409"/>
      <c r="W128" s="409"/>
      <c r="X128" s="409"/>
      <c r="Y128" s="410"/>
      <c r="Z128" s="73"/>
      <c r="AA128" s="73"/>
      <c r="AB128" s="411"/>
      <c r="AC128" s="411"/>
      <c r="AD128" s="411"/>
      <c r="AE128" s="411"/>
      <c r="AF128" s="412"/>
      <c r="AG128" s="412"/>
      <c r="AH128" s="413"/>
      <c r="AI128" s="413"/>
      <c r="AJ128" s="413"/>
      <c r="AK128" s="413"/>
      <c r="AL128" s="413"/>
      <c r="AM128" s="413"/>
      <c r="AN128" s="413"/>
      <c r="AO128" s="413"/>
      <c r="AP128" s="414"/>
    </row>
    <row r="129" spans="1:49" s="418" customFormat="1" ht="11.4" hidden="1" x14ac:dyDescent="0.4">
      <c r="A129" s="346" t="s">
        <v>296</v>
      </c>
      <c r="B129" s="324"/>
      <c r="C129" s="324"/>
      <c r="D129" s="324"/>
      <c r="E129" s="325"/>
      <c r="F129" s="324"/>
      <c r="G129" s="324"/>
      <c r="H129" s="324"/>
      <c r="I129" s="325"/>
      <c r="J129" s="324"/>
      <c r="K129" s="324"/>
      <c r="L129" s="324"/>
      <c r="M129" s="325"/>
      <c r="N129" s="324"/>
      <c r="O129" s="324"/>
      <c r="P129" s="324"/>
      <c r="Q129" s="325"/>
      <c r="R129" s="324"/>
      <c r="S129" s="324"/>
      <c r="T129" s="324"/>
      <c r="U129" s="325"/>
      <c r="V129" s="324"/>
      <c r="W129" s="324"/>
      <c r="X129" s="324"/>
      <c r="Y129" s="325"/>
      <c r="Z129" s="73"/>
      <c r="AA129" s="73"/>
      <c r="AB129" s="73"/>
      <c r="AC129" s="73"/>
      <c r="AD129" s="73"/>
      <c r="AE129" s="73"/>
      <c r="AF129" s="72"/>
      <c r="AG129" s="72"/>
      <c r="AH129" s="73"/>
      <c r="AI129" s="73"/>
      <c r="AJ129" s="73"/>
      <c r="AK129" s="73"/>
      <c r="AL129" s="73"/>
      <c r="AM129" s="73"/>
      <c r="AN129" s="73"/>
      <c r="AO129" s="73"/>
      <c r="AP129" s="415"/>
      <c r="AQ129" s="416"/>
      <c r="AR129" s="416"/>
      <c r="AS129" s="417"/>
      <c r="AT129" s="417"/>
      <c r="AU129" s="417"/>
      <c r="AV129" s="417"/>
      <c r="AW129" s="417"/>
    </row>
    <row r="130" spans="1:49" s="418" customFormat="1" ht="11.4" hidden="1" x14ac:dyDescent="0.4">
      <c r="A130" s="205" t="s">
        <v>297</v>
      </c>
      <c r="B130" s="324"/>
      <c r="C130" s="324"/>
      <c r="D130" s="324"/>
      <c r="E130" s="325"/>
      <c r="F130" s="324"/>
      <c r="G130" s="324"/>
      <c r="H130" s="324"/>
      <c r="I130" s="325"/>
      <c r="J130" s="324"/>
      <c r="K130" s="324"/>
      <c r="L130" s="324"/>
      <c r="M130" s="325"/>
      <c r="N130" s="324"/>
      <c r="O130" s="90">
        <v>0</v>
      </c>
      <c r="P130" s="90">
        <v>0</v>
      </c>
      <c r="Q130" s="144">
        <v>0</v>
      </c>
      <c r="R130" s="90">
        <v>0</v>
      </c>
      <c r="S130" s="90">
        <v>0</v>
      </c>
      <c r="T130" s="90">
        <v>0</v>
      </c>
      <c r="U130" s="144">
        <v>0</v>
      </c>
      <c r="V130" s="90">
        <v>0</v>
      </c>
      <c r="W130" s="90">
        <v>0</v>
      </c>
      <c r="X130" s="90">
        <v>0</v>
      </c>
      <c r="Y130" s="144">
        <v>0</v>
      </c>
      <c r="Z130" s="73"/>
      <c r="AA130" s="73"/>
      <c r="AB130" s="73"/>
      <c r="AC130" s="73"/>
      <c r="AD130" s="73"/>
      <c r="AE130" s="73"/>
      <c r="AF130" s="72"/>
      <c r="AG130" s="72"/>
      <c r="AH130" s="73"/>
      <c r="AI130" s="73"/>
      <c r="AJ130" s="73"/>
      <c r="AK130" s="73"/>
      <c r="AL130" s="73"/>
      <c r="AM130" s="73"/>
      <c r="AN130" s="73"/>
      <c r="AO130" s="73"/>
      <c r="AP130" s="415"/>
      <c r="AQ130" s="416"/>
      <c r="AR130" s="416"/>
      <c r="AS130" s="417"/>
      <c r="AT130" s="417"/>
      <c r="AU130" s="417"/>
      <c r="AV130" s="417"/>
      <c r="AW130" s="417"/>
    </row>
    <row r="131" spans="1:49" s="418" customFormat="1" ht="11.4" hidden="1" x14ac:dyDescent="0.4">
      <c r="A131" s="205" t="s">
        <v>298</v>
      </c>
      <c r="B131" s="324"/>
      <c r="C131" s="324"/>
      <c r="D131" s="324"/>
      <c r="E131" s="325"/>
      <c r="F131" s="324"/>
      <c r="G131" s="324"/>
      <c r="H131" s="324"/>
      <c r="I131" s="325"/>
      <c r="J131" s="324"/>
      <c r="K131" s="324"/>
      <c r="L131" s="324"/>
      <c r="M131" s="325"/>
      <c r="N131" s="324"/>
      <c r="O131" s="90">
        <f>+O130-O132</f>
        <v>0</v>
      </c>
      <c r="P131" s="90">
        <f t="shared" ref="P131:Y131" si="77">+P130-P132</f>
        <v>0</v>
      </c>
      <c r="Q131" s="144">
        <f t="shared" si="77"/>
        <v>0</v>
      </c>
      <c r="R131" s="90">
        <f t="shared" si="77"/>
        <v>0</v>
      </c>
      <c r="S131" s="90">
        <f t="shared" si="77"/>
        <v>0</v>
      </c>
      <c r="T131" s="90">
        <f t="shared" si="77"/>
        <v>0</v>
      </c>
      <c r="U131" s="144">
        <f t="shared" si="77"/>
        <v>0</v>
      </c>
      <c r="V131" s="90">
        <f t="shared" si="77"/>
        <v>0</v>
      </c>
      <c r="W131" s="90">
        <f t="shared" si="77"/>
        <v>0</v>
      </c>
      <c r="X131" s="90">
        <f t="shared" si="77"/>
        <v>0</v>
      </c>
      <c r="Y131" s="144">
        <f t="shared" si="77"/>
        <v>0</v>
      </c>
      <c r="Z131" s="73"/>
      <c r="AA131" s="73"/>
      <c r="AB131" s="73"/>
      <c r="AC131" s="73"/>
      <c r="AD131" s="73"/>
      <c r="AE131" s="73"/>
      <c r="AF131" s="72"/>
      <c r="AG131" s="72"/>
      <c r="AH131" s="73"/>
      <c r="AI131" s="73"/>
      <c r="AJ131" s="73"/>
      <c r="AK131" s="73"/>
      <c r="AL131" s="73"/>
      <c r="AM131" s="73"/>
      <c r="AN131" s="73"/>
      <c r="AO131" s="73"/>
      <c r="AP131" s="415"/>
      <c r="AQ131" s="416"/>
      <c r="AR131" s="416"/>
      <c r="AS131" s="417"/>
      <c r="AT131" s="417"/>
      <c r="AU131" s="417"/>
      <c r="AV131" s="417"/>
      <c r="AW131" s="417"/>
    </row>
    <row r="132" spans="1:49" s="418" customFormat="1" ht="11.4" hidden="1" x14ac:dyDescent="0.4">
      <c r="A132" s="205" t="s">
        <v>299</v>
      </c>
      <c r="B132" s="324">
        <v>0</v>
      </c>
      <c r="C132" s="324">
        <v>0</v>
      </c>
      <c r="D132" s="324">
        <v>0</v>
      </c>
      <c r="E132" s="325">
        <v>0</v>
      </c>
      <c r="F132" s="324">
        <v>0</v>
      </c>
      <c r="G132" s="324">
        <v>0</v>
      </c>
      <c r="H132" s="324">
        <v>0</v>
      </c>
      <c r="I132" s="325">
        <v>0</v>
      </c>
      <c r="J132" s="324">
        <v>0</v>
      </c>
      <c r="K132" s="324">
        <v>0</v>
      </c>
      <c r="L132" s="324">
        <v>0</v>
      </c>
      <c r="M132" s="325">
        <v>0</v>
      </c>
      <c r="N132" s="324">
        <v>0</v>
      </c>
      <c r="O132" s="90">
        <f>+O130*O133</f>
        <v>0</v>
      </c>
      <c r="P132" s="90">
        <f t="shared" ref="P132:Y132" si="78">+P130*P133</f>
        <v>0</v>
      </c>
      <c r="Q132" s="144">
        <f t="shared" si="78"/>
        <v>0</v>
      </c>
      <c r="R132" s="90">
        <f t="shared" si="78"/>
        <v>0</v>
      </c>
      <c r="S132" s="90">
        <f t="shared" si="78"/>
        <v>0</v>
      </c>
      <c r="T132" s="90">
        <f t="shared" si="78"/>
        <v>0</v>
      </c>
      <c r="U132" s="144">
        <f t="shared" si="78"/>
        <v>0</v>
      </c>
      <c r="V132" s="90">
        <f t="shared" si="78"/>
        <v>0</v>
      </c>
      <c r="W132" s="90">
        <f t="shared" si="78"/>
        <v>0</v>
      </c>
      <c r="X132" s="90">
        <f t="shared" si="78"/>
        <v>0</v>
      </c>
      <c r="Y132" s="144">
        <f t="shared" si="78"/>
        <v>0</v>
      </c>
      <c r="Z132" s="419"/>
      <c r="AA132" s="419"/>
      <c r="AB132" s="73"/>
      <c r="AC132" s="73"/>
      <c r="AD132" s="73"/>
      <c r="AE132" s="73"/>
      <c r="AF132" s="72"/>
      <c r="AG132" s="72"/>
      <c r="AH132" s="73"/>
      <c r="AI132" s="73"/>
      <c r="AJ132" s="73"/>
      <c r="AK132" s="73"/>
      <c r="AL132" s="73"/>
      <c r="AM132" s="73"/>
      <c r="AN132" s="73"/>
      <c r="AO132" s="73"/>
      <c r="AP132" s="415"/>
      <c r="AQ132" s="416"/>
      <c r="AR132" s="416"/>
      <c r="AS132" s="417"/>
      <c r="AT132" s="417"/>
      <c r="AU132" s="417"/>
      <c r="AV132" s="417"/>
      <c r="AW132" s="417"/>
    </row>
    <row r="133" spans="1:49" s="418" customFormat="1" ht="11.4" hidden="1" x14ac:dyDescent="0.4">
      <c r="A133" s="205" t="s">
        <v>300</v>
      </c>
      <c r="B133" s="324"/>
      <c r="C133" s="324"/>
      <c r="D133" s="324"/>
      <c r="E133" s="325"/>
      <c r="F133" s="324"/>
      <c r="G133" s="324"/>
      <c r="H133" s="324"/>
      <c r="I133" s="325"/>
      <c r="J133" s="324"/>
      <c r="K133" s="324"/>
      <c r="L133" s="324"/>
      <c r="M133" s="325"/>
      <c r="N133" s="324"/>
      <c r="O133" s="420">
        <v>0.5</v>
      </c>
      <c r="P133" s="420">
        <v>0.5</v>
      </c>
      <c r="Q133" s="421">
        <v>0.5</v>
      </c>
      <c r="R133" s="420">
        <v>0.5</v>
      </c>
      <c r="S133" s="420">
        <v>0.5</v>
      </c>
      <c r="T133" s="420">
        <v>0.5</v>
      </c>
      <c r="U133" s="421">
        <v>0.5</v>
      </c>
      <c r="V133" s="420">
        <v>0.5</v>
      </c>
      <c r="W133" s="420">
        <v>0.5</v>
      </c>
      <c r="X133" s="420">
        <v>0.5</v>
      </c>
      <c r="Y133" s="421">
        <v>0.5</v>
      </c>
      <c r="Z133" s="419"/>
      <c r="AA133" s="419"/>
      <c r="AB133" s="73"/>
      <c r="AC133" s="73"/>
      <c r="AD133" s="73"/>
      <c r="AE133" s="73"/>
      <c r="AF133" s="72"/>
      <c r="AG133" s="72"/>
      <c r="AH133" s="73"/>
      <c r="AI133" s="73"/>
      <c r="AJ133" s="73"/>
      <c r="AK133" s="73"/>
      <c r="AL133" s="73"/>
      <c r="AM133" s="73"/>
      <c r="AN133" s="73"/>
      <c r="AO133" s="73"/>
      <c r="AP133" s="415"/>
      <c r="AQ133" s="416"/>
      <c r="AR133" s="416"/>
      <c r="AS133" s="417"/>
      <c r="AT133" s="417"/>
      <c r="AU133" s="417"/>
      <c r="AV133" s="417"/>
      <c r="AW133" s="417"/>
    </row>
    <row r="134" spans="1:49" s="418" customFormat="1" ht="11.4" hidden="1" x14ac:dyDescent="0.4">
      <c r="A134" s="205" t="s">
        <v>301</v>
      </c>
      <c r="B134" s="324"/>
      <c r="C134" s="324"/>
      <c r="D134" s="324"/>
      <c r="E134" s="325"/>
      <c r="F134" s="324"/>
      <c r="G134" s="324"/>
      <c r="H134" s="324"/>
      <c r="I134" s="325"/>
      <c r="J134" s="324"/>
      <c r="K134" s="324"/>
      <c r="L134" s="324"/>
      <c r="M134" s="325"/>
      <c r="N134" s="324"/>
      <c r="O134" s="150">
        <f>+O130/(O130+(1/O133))</f>
        <v>0</v>
      </c>
      <c r="P134" s="150">
        <f t="shared" ref="P134:Y134" si="79">+P130/(P130+(1/P133))</f>
        <v>0</v>
      </c>
      <c r="Q134" s="422">
        <f t="shared" si="79"/>
        <v>0</v>
      </c>
      <c r="R134" s="150">
        <f t="shared" si="79"/>
        <v>0</v>
      </c>
      <c r="S134" s="150">
        <f t="shared" si="79"/>
        <v>0</v>
      </c>
      <c r="T134" s="150">
        <f t="shared" si="79"/>
        <v>0</v>
      </c>
      <c r="U134" s="422">
        <f t="shared" si="79"/>
        <v>0</v>
      </c>
      <c r="V134" s="150">
        <f t="shared" si="79"/>
        <v>0</v>
      </c>
      <c r="W134" s="150">
        <f t="shared" si="79"/>
        <v>0</v>
      </c>
      <c r="X134" s="150">
        <f t="shared" si="79"/>
        <v>0</v>
      </c>
      <c r="Y134" s="422">
        <f t="shared" si="79"/>
        <v>0</v>
      </c>
      <c r="Z134" s="419"/>
      <c r="AA134" s="419"/>
      <c r="AB134" s="73"/>
      <c r="AC134" s="73"/>
      <c r="AD134" s="73"/>
      <c r="AE134" s="73"/>
      <c r="AF134" s="72"/>
      <c r="AG134" s="72"/>
      <c r="AH134" s="73"/>
      <c r="AI134" s="73"/>
      <c r="AJ134" s="73"/>
      <c r="AK134" s="73"/>
      <c r="AL134" s="73"/>
      <c r="AM134" s="73"/>
      <c r="AN134" s="73"/>
      <c r="AO134" s="73"/>
      <c r="AP134" s="415"/>
      <c r="AQ134" s="416"/>
      <c r="AR134" s="416"/>
      <c r="AS134" s="417"/>
      <c r="AT134" s="417"/>
      <c r="AU134" s="417"/>
      <c r="AV134" s="417"/>
      <c r="AW134" s="417"/>
    </row>
    <row r="135" spans="1:49" s="418" customFormat="1" ht="11.4" hidden="1" x14ac:dyDescent="0.4">
      <c r="A135" s="205"/>
      <c r="B135" s="324"/>
      <c r="C135" s="324"/>
      <c r="D135" s="324"/>
      <c r="E135" s="325"/>
      <c r="F135" s="324"/>
      <c r="G135" s="324"/>
      <c r="H135" s="324"/>
      <c r="I135" s="325"/>
      <c r="J135" s="324"/>
      <c r="K135" s="324"/>
      <c r="L135" s="324"/>
      <c r="M135" s="325"/>
      <c r="N135" s="324"/>
      <c r="O135" s="423"/>
      <c r="P135" s="148"/>
      <c r="Q135" s="404"/>
      <c r="R135" s="148"/>
      <c r="S135" s="148"/>
      <c r="T135" s="148"/>
      <c r="U135" s="404"/>
      <c r="V135" s="148"/>
      <c r="W135" s="148"/>
      <c r="X135" s="148"/>
      <c r="Y135" s="404"/>
      <c r="Z135" s="419"/>
      <c r="AA135" s="419"/>
      <c r="AB135" s="73"/>
      <c r="AC135" s="73"/>
      <c r="AD135" s="73"/>
      <c r="AE135" s="73"/>
      <c r="AF135" s="72"/>
      <c r="AG135" s="72"/>
      <c r="AH135" s="73"/>
      <c r="AI135" s="73"/>
      <c r="AJ135" s="73"/>
      <c r="AK135" s="73"/>
      <c r="AL135" s="73"/>
      <c r="AM135" s="73"/>
      <c r="AN135" s="73"/>
      <c r="AO135" s="73"/>
      <c r="AP135" s="415"/>
      <c r="AQ135" s="416"/>
      <c r="AR135" s="416"/>
      <c r="AS135" s="417"/>
      <c r="AT135" s="417"/>
      <c r="AU135" s="417"/>
      <c r="AV135" s="417"/>
      <c r="AW135" s="417"/>
    </row>
    <row r="136" spans="1:49" s="418" customFormat="1" ht="11.4" hidden="1" x14ac:dyDescent="0.4">
      <c r="A136" s="418" t="s">
        <v>302</v>
      </c>
      <c r="B136" s="324"/>
      <c r="C136" s="324"/>
      <c r="D136" s="324"/>
      <c r="E136" s="325"/>
      <c r="F136" s="324"/>
      <c r="G136" s="324"/>
      <c r="H136" s="324"/>
      <c r="I136" s="325"/>
      <c r="J136" s="324"/>
      <c r="K136" s="324"/>
      <c r="L136" s="324"/>
      <c r="M136" s="325"/>
      <c r="N136" s="324"/>
      <c r="O136" s="324"/>
      <c r="P136" s="324"/>
      <c r="Q136" s="325"/>
      <c r="R136" s="324"/>
      <c r="S136" s="324"/>
      <c r="T136" s="324"/>
      <c r="U136" s="325"/>
      <c r="V136" s="324"/>
      <c r="W136" s="324"/>
      <c r="X136" s="324"/>
      <c r="Y136" s="325"/>
      <c r="Z136" s="419"/>
      <c r="AA136" s="419"/>
      <c r="AB136" s="73"/>
      <c r="AC136" s="73"/>
      <c r="AD136" s="73"/>
      <c r="AE136" s="73"/>
      <c r="AF136" s="72"/>
      <c r="AG136" s="72"/>
      <c r="AH136" s="73"/>
      <c r="AI136" s="73"/>
      <c r="AJ136" s="73"/>
      <c r="AK136" s="73"/>
      <c r="AL136" s="73"/>
      <c r="AM136" s="73"/>
      <c r="AN136" s="73"/>
      <c r="AO136" s="73"/>
      <c r="AP136" s="415"/>
      <c r="AQ136" s="416"/>
      <c r="AR136" s="416"/>
      <c r="AS136" s="417"/>
      <c r="AT136" s="417"/>
      <c r="AU136" s="417"/>
      <c r="AV136" s="417"/>
      <c r="AW136" s="417"/>
    </row>
    <row r="137" spans="1:49" s="418" customFormat="1" ht="11.4" hidden="1" x14ac:dyDescent="0.4">
      <c r="A137" s="205" t="s">
        <v>303</v>
      </c>
      <c r="B137" s="324"/>
      <c r="C137" s="324"/>
      <c r="D137" s="324"/>
      <c r="E137" s="325"/>
      <c r="F137" s="324"/>
      <c r="G137" s="324"/>
      <c r="H137" s="324"/>
      <c r="I137" s="325"/>
      <c r="J137" s="324"/>
      <c r="K137" s="324"/>
      <c r="L137" s="324"/>
      <c r="M137" s="325"/>
      <c r="N137" s="324"/>
      <c r="O137" s="420">
        <v>0.65</v>
      </c>
      <c r="P137" s="420">
        <v>0.65</v>
      </c>
      <c r="Q137" s="421">
        <v>0.65</v>
      </c>
      <c r="R137" s="420">
        <v>0.65</v>
      </c>
      <c r="S137" s="420">
        <v>0.65</v>
      </c>
      <c r="T137" s="420">
        <v>0.65</v>
      </c>
      <c r="U137" s="421">
        <v>0.65</v>
      </c>
      <c r="V137" s="420">
        <v>0.65</v>
      </c>
      <c r="W137" s="420">
        <v>0.65</v>
      </c>
      <c r="X137" s="420">
        <v>0.65</v>
      </c>
      <c r="Y137" s="421">
        <v>0.65</v>
      </c>
      <c r="Z137" s="419"/>
      <c r="AA137" s="419"/>
      <c r="AB137" s="73"/>
      <c r="AC137" s="73"/>
      <c r="AD137" s="73"/>
      <c r="AE137" s="73"/>
      <c r="AF137" s="72"/>
      <c r="AG137" s="72"/>
      <c r="AH137" s="73"/>
      <c r="AI137" s="73"/>
      <c r="AJ137" s="73"/>
      <c r="AK137" s="73"/>
      <c r="AL137" s="73"/>
      <c r="AM137" s="73"/>
      <c r="AN137" s="73"/>
      <c r="AO137" s="73"/>
      <c r="AP137" s="415"/>
      <c r="AQ137" s="416"/>
      <c r="AR137" s="416"/>
      <c r="AS137" s="417"/>
      <c r="AT137" s="417"/>
      <c r="AU137" s="417"/>
      <c r="AV137" s="417"/>
      <c r="AW137" s="417"/>
    </row>
    <row r="138" spans="1:49" s="418" customFormat="1" ht="11.4" hidden="1" x14ac:dyDescent="0.4">
      <c r="A138" s="335"/>
      <c r="B138" s="324"/>
      <c r="C138" s="324"/>
      <c r="D138" s="324"/>
      <c r="E138" s="325"/>
      <c r="F138" s="324"/>
      <c r="G138" s="324"/>
      <c r="H138" s="324"/>
      <c r="I138" s="325"/>
      <c r="J138" s="324"/>
      <c r="K138" s="324"/>
      <c r="L138" s="324"/>
      <c r="M138" s="325"/>
      <c r="N138" s="324"/>
      <c r="O138" s="148"/>
      <c r="P138" s="148"/>
      <c r="Q138" s="404"/>
      <c r="R138" s="148"/>
      <c r="S138" s="148"/>
      <c r="T138" s="148"/>
      <c r="U138" s="404"/>
      <c r="V138" s="148"/>
      <c r="W138" s="148"/>
      <c r="X138" s="148"/>
      <c r="Y138" s="404"/>
      <c r="Z138" s="419"/>
      <c r="AA138" s="419"/>
      <c r="AB138" s="73"/>
      <c r="AC138" s="73"/>
      <c r="AD138" s="73"/>
      <c r="AE138" s="73"/>
      <c r="AF138" s="72"/>
      <c r="AG138" s="72"/>
      <c r="AH138" s="73"/>
      <c r="AI138" s="73"/>
      <c r="AJ138" s="73"/>
      <c r="AK138" s="73"/>
      <c r="AL138" s="73"/>
      <c r="AM138" s="73"/>
      <c r="AN138" s="73"/>
      <c r="AO138" s="73"/>
      <c r="AP138" s="415"/>
      <c r="AQ138" s="416"/>
      <c r="AR138" s="416"/>
      <c r="AS138" s="417"/>
      <c r="AT138" s="417"/>
      <c r="AU138" s="417"/>
      <c r="AV138" s="417"/>
      <c r="AW138" s="417"/>
    </row>
    <row r="139" spans="1:49" s="418" customFormat="1" ht="11.4" hidden="1" x14ac:dyDescent="0.4">
      <c r="A139" s="346" t="s">
        <v>304</v>
      </c>
      <c r="B139" s="324"/>
      <c r="C139" s="324"/>
      <c r="D139" s="324"/>
      <c r="E139" s="325"/>
      <c r="F139" s="324"/>
      <c r="G139" s="324"/>
      <c r="H139" s="324"/>
      <c r="I139" s="325"/>
      <c r="J139" s="324"/>
      <c r="K139" s="324"/>
      <c r="L139" s="324"/>
      <c r="M139" s="325"/>
      <c r="N139" s="324"/>
      <c r="O139" s="148"/>
      <c r="P139" s="148"/>
      <c r="Q139" s="404"/>
      <c r="R139" s="148"/>
      <c r="S139" s="148"/>
      <c r="T139" s="148"/>
      <c r="U139" s="404"/>
      <c r="V139" s="148"/>
      <c r="W139" s="148"/>
      <c r="X139" s="148"/>
      <c r="Y139" s="404"/>
      <c r="Z139" s="419"/>
      <c r="AA139" s="419"/>
      <c r="AB139" s="73"/>
      <c r="AC139" s="73"/>
      <c r="AD139" s="73"/>
      <c r="AE139" s="73"/>
      <c r="AF139" s="72"/>
      <c r="AG139" s="72"/>
      <c r="AH139" s="73"/>
      <c r="AI139" s="73"/>
      <c r="AJ139" s="73"/>
      <c r="AK139" s="73"/>
      <c r="AL139" s="73"/>
      <c r="AM139" s="73"/>
      <c r="AN139" s="73"/>
      <c r="AO139" s="73"/>
      <c r="AP139" s="415"/>
      <c r="AQ139" s="416"/>
      <c r="AR139" s="416"/>
      <c r="AS139" s="417"/>
      <c r="AT139" s="417"/>
      <c r="AU139" s="417"/>
      <c r="AV139" s="417"/>
      <c r="AW139" s="417"/>
    </row>
    <row r="140" spans="1:49" s="418" customFormat="1" ht="11.4" hidden="1" x14ac:dyDescent="0.4">
      <c r="A140" s="205" t="s">
        <v>265</v>
      </c>
      <c r="B140" s="324"/>
      <c r="C140" s="324"/>
      <c r="D140" s="324"/>
      <c r="E140" s="325"/>
      <c r="F140" s="324"/>
      <c r="G140" s="324"/>
      <c r="H140" s="324"/>
      <c r="I140" s="325"/>
      <c r="J140" s="324"/>
      <c r="K140" s="324"/>
      <c r="L140" s="324"/>
      <c r="M140" s="325"/>
      <c r="N140" s="324"/>
      <c r="O140" s="147">
        <f t="shared" ref="O140:Y145" si="80">+O148*O156*O$103</f>
        <v>784.06380000000013</v>
      </c>
      <c r="P140" s="147">
        <f t="shared" si="80"/>
        <v>522.70920000000012</v>
      </c>
      <c r="Q140" s="424">
        <f t="shared" si="80"/>
        <v>261.35460000000006</v>
      </c>
      <c r="R140" s="147">
        <f t="shared" si="80"/>
        <v>235.21914000000007</v>
      </c>
      <c r="S140" s="147">
        <f t="shared" si="80"/>
        <v>235.21914000000007</v>
      </c>
      <c r="T140" s="147">
        <f t="shared" si="80"/>
        <v>117.60957000000003</v>
      </c>
      <c r="U140" s="424">
        <f t="shared" si="80"/>
        <v>117.60957000000003</v>
      </c>
      <c r="V140" s="147">
        <f t="shared" si="80"/>
        <v>105.84861300000003</v>
      </c>
      <c r="W140" s="147">
        <f t="shared" si="80"/>
        <v>105.84861300000003</v>
      </c>
      <c r="X140" s="147">
        <f t="shared" si="80"/>
        <v>105.84861300000003</v>
      </c>
      <c r="Y140" s="424">
        <f t="shared" si="80"/>
        <v>105.84861300000003</v>
      </c>
      <c r="Z140" s="419"/>
      <c r="AA140" s="419"/>
      <c r="AB140" s="73"/>
      <c r="AC140" s="73"/>
      <c r="AD140" s="73"/>
      <c r="AE140" s="73"/>
      <c r="AF140" s="72"/>
      <c r="AG140" s="72"/>
      <c r="AH140" s="73"/>
      <c r="AI140" s="73"/>
      <c r="AJ140" s="73"/>
      <c r="AK140" s="73"/>
      <c r="AL140" s="73"/>
      <c r="AM140" s="73"/>
      <c r="AN140" s="73"/>
      <c r="AO140" s="73"/>
      <c r="AP140" s="415"/>
      <c r="AQ140" s="416"/>
      <c r="AR140" s="416"/>
      <c r="AS140" s="417"/>
      <c r="AT140" s="417"/>
      <c r="AU140" s="417"/>
      <c r="AV140" s="417"/>
      <c r="AW140" s="417"/>
    </row>
    <row r="141" spans="1:49" s="418" customFormat="1" ht="11.4" hidden="1" x14ac:dyDescent="0.4">
      <c r="A141" s="205" t="s">
        <v>275</v>
      </c>
      <c r="B141" s="324"/>
      <c r="C141" s="324"/>
      <c r="D141" s="324"/>
      <c r="E141" s="325"/>
      <c r="F141" s="324"/>
      <c r="G141" s="324"/>
      <c r="H141" s="324"/>
      <c r="I141" s="325"/>
      <c r="J141" s="324"/>
      <c r="K141" s="324"/>
      <c r="L141" s="324"/>
      <c r="M141" s="325"/>
      <c r="N141" s="324"/>
      <c r="O141" s="147">
        <f t="shared" si="80"/>
        <v>1814.9625000000001</v>
      </c>
      <c r="P141" s="147">
        <f t="shared" si="80"/>
        <v>1935.9599999999998</v>
      </c>
      <c r="Q141" s="424">
        <f t="shared" si="80"/>
        <v>2177.9549999999999</v>
      </c>
      <c r="R141" s="147">
        <f t="shared" si="80"/>
        <v>2347.3515000000002</v>
      </c>
      <c r="S141" s="147">
        <f t="shared" si="80"/>
        <v>2056.9575</v>
      </c>
      <c r="T141" s="147">
        <f t="shared" si="80"/>
        <v>2056.9575</v>
      </c>
      <c r="U141" s="424">
        <f t="shared" si="80"/>
        <v>2056.9575</v>
      </c>
      <c r="V141" s="147">
        <f t="shared" si="80"/>
        <v>2015.81835</v>
      </c>
      <c r="W141" s="147">
        <f t="shared" si="80"/>
        <v>1573.5724874999999</v>
      </c>
      <c r="X141" s="147">
        <f t="shared" si="80"/>
        <v>1223.8897124999999</v>
      </c>
      <c r="Y141" s="424">
        <f t="shared" si="80"/>
        <v>874.20693749999998</v>
      </c>
      <c r="Z141" s="419"/>
      <c r="AA141" s="419"/>
      <c r="AB141" s="73"/>
      <c r="AC141" s="73"/>
      <c r="AD141" s="73"/>
      <c r="AE141" s="73"/>
      <c r="AF141" s="72"/>
      <c r="AG141" s="72"/>
      <c r="AH141" s="73"/>
      <c r="AI141" s="73"/>
      <c r="AJ141" s="73"/>
      <c r="AK141" s="73"/>
      <c r="AL141" s="73"/>
      <c r="AM141" s="73"/>
      <c r="AN141" s="73"/>
      <c r="AO141" s="73"/>
      <c r="AP141" s="415"/>
      <c r="AQ141" s="416"/>
      <c r="AR141" s="416"/>
      <c r="AS141" s="417"/>
      <c r="AT141" s="417"/>
      <c r="AU141" s="417"/>
      <c r="AV141" s="417"/>
      <c r="AW141" s="417"/>
    </row>
    <row r="142" spans="1:49" s="418" customFormat="1" ht="11.4" hidden="1" x14ac:dyDescent="0.4">
      <c r="A142" s="205" t="s">
        <v>276</v>
      </c>
      <c r="B142" s="324"/>
      <c r="C142" s="324"/>
      <c r="D142" s="324"/>
      <c r="E142" s="325"/>
      <c r="F142" s="324"/>
      <c r="G142" s="324"/>
      <c r="H142" s="324"/>
      <c r="I142" s="325"/>
      <c r="J142" s="324"/>
      <c r="K142" s="324"/>
      <c r="L142" s="324"/>
      <c r="M142" s="325"/>
      <c r="N142" s="324"/>
      <c r="O142" s="147">
        <f t="shared" si="80"/>
        <v>1921.7250000000004</v>
      </c>
      <c r="P142" s="147">
        <f t="shared" si="80"/>
        <v>2135.25</v>
      </c>
      <c r="Q142" s="424">
        <f t="shared" si="80"/>
        <v>2242.0125000000003</v>
      </c>
      <c r="R142" s="147">
        <f t="shared" si="80"/>
        <v>2231.3362500000003</v>
      </c>
      <c r="S142" s="147">
        <f t="shared" si="80"/>
        <v>2359.4512500000001</v>
      </c>
      <c r="T142" s="147">
        <f t="shared" si="80"/>
        <v>2903.94</v>
      </c>
      <c r="U142" s="424">
        <f t="shared" si="80"/>
        <v>3266.9325000000003</v>
      </c>
      <c r="V142" s="147">
        <f t="shared" si="80"/>
        <v>2413.9001249999997</v>
      </c>
      <c r="W142" s="147">
        <f t="shared" si="80"/>
        <v>1542.7181250000001</v>
      </c>
      <c r="X142" s="147">
        <f t="shared" si="80"/>
        <v>1234.1744999999999</v>
      </c>
      <c r="Y142" s="424">
        <f t="shared" si="80"/>
        <v>925.63087499999995</v>
      </c>
      <c r="Z142" s="419"/>
      <c r="AA142" s="419"/>
      <c r="AB142" s="73"/>
      <c r="AC142" s="73"/>
      <c r="AD142" s="73"/>
      <c r="AE142" s="73"/>
      <c r="AF142" s="72"/>
      <c r="AG142" s="72"/>
      <c r="AH142" s="73"/>
      <c r="AI142" s="73"/>
      <c r="AJ142" s="73"/>
      <c r="AK142" s="73"/>
      <c r="AL142" s="73"/>
      <c r="AM142" s="73"/>
      <c r="AN142" s="73"/>
      <c r="AO142" s="73"/>
      <c r="AP142" s="415"/>
      <c r="AQ142" s="416"/>
      <c r="AR142" s="416"/>
      <c r="AS142" s="417"/>
      <c r="AT142" s="417"/>
      <c r="AU142" s="417"/>
      <c r="AV142" s="417"/>
      <c r="AW142" s="417"/>
    </row>
    <row r="143" spans="1:49" s="418" customFormat="1" ht="11.4" hidden="1" x14ac:dyDescent="0.4">
      <c r="A143" s="205" t="s">
        <v>277</v>
      </c>
      <c r="B143" s="324"/>
      <c r="C143" s="324"/>
      <c r="D143" s="324"/>
      <c r="E143" s="325"/>
      <c r="F143" s="324"/>
      <c r="G143" s="324"/>
      <c r="H143" s="324"/>
      <c r="I143" s="325"/>
      <c r="J143" s="324"/>
      <c r="K143" s="324"/>
      <c r="L143" s="324"/>
      <c r="M143" s="325"/>
      <c r="N143" s="324"/>
      <c r="O143" s="147">
        <f t="shared" si="80"/>
        <v>217.7955</v>
      </c>
      <c r="P143" s="147">
        <f t="shared" si="80"/>
        <v>181.49625</v>
      </c>
      <c r="Q143" s="424">
        <f t="shared" si="80"/>
        <v>181.49625</v>
      </c>
      <c r="R143" s="147">
        <f t="shared" si="80"/>
        <v>88.025681249999991</v>
      </c>
      <c r="S143" s="147">
        <f t="shared" si="80"/>
        <v>77.135906249999991</v>
      </c>
      <c r="T143" s="147">
        <f t="shared" si="80"/>
        <v>77.135906249999991</v>
      </c>
      <c r="U143" s="424">
        <f t="shared" si="80"/>
        <v>77.135906249999991</v>
      </c>
      <c r="V143" s="147">
        <f t="shared" si="80"/>
        <v>37.796594062500006</v>
      </c>
      <c r="W143" s="147">
        <f t="shared" si="80"/>
        <v>32.782760156249999</v>
      </c>
      <c r="X143" s="147">
        <f t="shared" si="80"/>
        <v>32.782760156249999</v>
      </c>
      <c r="Y143" s="424">
        <f t="shared" si="80"/>
        <v>32.782760156249999</v>
      </c>
      <c r="Z143" s="419"/>
      <c r="AA143" s="419"/>
      <c r="AB143" s="73"/>
      <c r="AC143" s="73"/>
      <c r="AD143" s="73"/>
      <c r="AE143" s="73"/>
      <c r="AF143" s="72"/>
      <c r="AG143" s="72"/>
      <c r="AH143" s="73"/>
      <c r="AI143" s="73"/>
      <c r="AJ143" s="73"/>
      <c r="AK143" s="73"/>
      <c r="AL143" s="73"/>
      <c r="AM143" s="73"/>
      <c r="AN143" s="73"/>
      <c r="AO143" s="73"/>
      <c r="AP143" s="415"/>
      <c r="AQ143" s="416"/>
      <c r="AR143" s="416"/>
      <c r="AS143" s="417"/>
      <c r="AT143" s="417"/>
      <c r="AU143" s="417"/>
      <c r="AV143" s="417"/>
      <c r="AW143" s="417"/>
    </row>
    <row r="144" spans="1:49" s="418" customFormat="1" ht="11.4" hidden="1" x14ac:dyDescent="0.4">
      <c r="A144" s="205" t="s">
        <v>288</v>
      </c>
      <c r="B144" s="324"/>
      <c r="C144" s="324"/>
      <c r="D144" s="324"/>
      <c r="E144" s="325"/>
      <c r="F144" s="324"/>
      <c r="G144" s="324"/>
      <c r="H144" s="324"/>
      <c r="I144" s="325"/>
      <c r="J144" s="324"/>
      <c r="K144" s="324"/>
      <c r="L144" s="324"/>
      <c r="M144" s="325"/>
      <c r="N144" s="324"/>
      <c r="O144" s="147">
        <f t="shared" si="80"/>
        <v>0</v>
      </c>
      <c r="P144" s="147">
        <f t="shared" si="80"/>
        <v>0</v>
      </c>
      <c r="Q144" s="424">
        <f t="shared" si="80"/>
        <v>0</v>
      </c>
      <c r="R144" s="147">
        <f t="shared" si="80"/>
        <v>0</v>
      </c>
      <c r="S144" s="147">
        <f t="shared" si="80"/>
        <v>516.25599999999997</v>
      </c>
      <c r="T144" s="147">
        <f t="shared" si="80"/>
        <v>516.25599999999997</v>
      </c>
      <c r="U144" s="424">
        <f t="shared" si="80"/>
        <v>516.25599999999997</v>
      </c>
      <c r="V144" s="147">
        <f t="shared" si="80"/>
        <v>929.26080000000002</v>
      </c>
      <c r="W144" s="147">
        <f t="shared" si="80"/>
        <v>1755.2704000000001</v>
      </c>
      <c r="X144" s="147">
        <f t="shared" si="80"/>
        <v>2632.9055999999996</v>
      </c>
      <c r="Y144" s="424">
        <f t="shared" si="80"/>
        <v>3071.7231999999995</v>
      </c>
      <c r="Z144" s="419"/>
      <c r="AA144" s="419"/>
      <c r="AB144" s="73"/>
      <c r="AC144" s="73"/>
      <c r="AD144" s="73"/>
      <c r="AE144" s="73"/>
      <c r="AF144" s="72"/>
      <c r="AG144" s="72"/>
      <c r="AH144" s="73"/>
      <c r="AI144" s="73"/>
      <c r="AJ144" s="73"/>
      <c r="AK144" s="73"/>
      <c r="AL144" s="73"/>
      <c r="AM144" s="73"/>
      <c r="AN144" s="73"/>
      <c r="AO144" s="73"/>
      <c r="AP144" s="415"/>
      <c r="AQ144" s="416"/>
      <c r="AR144" s="416"/>
      <c r="AS144" s="417"/>
      <c r="AT144" s="417"/>
      <c r="AU144" s="417"/>
      <c r="AV144" s="417"/>
      <c r="AW144" s="417"/>
    </row>
    <row r="145" spans="1:49" s="418" customFormat="1" ht="11.4" hidden="1" x14ac:dyDescent="0.4">
      <c r="A145" s="205" t="s">
        <v>279</v>
      </c>
      <c r="B145" s="324"/>
      <c r="C145" s="324"/>
      <c r="D145" s="324"/>
      <c r="E145" s="325"/>
      <c r="F145" s="324"/>
      <c r="G145" s="324"/>
      <c r="H145" s="324"/>
      <c r="I145" s="325"/>
      <c r="J145" s="324"/>
      <c r="K145" s="324"/>
      <c r="L145" s="324"/>
      <c r="M145" s="325"/>
      <c r="N145" s="324"/>
      <c r="O145" s="147">
        <f t="shared" si="80"/>
        <v>225.38749999999999</v>
      </c>
      <c r="P145" s="147">
        <f t="shared" si="80"/>
        <v>1126.9375</v>
      </c>
      <c r="Q145" s="424">
        <f t="shared" si="80"/>
        <v>1803.1</v>
      </c>
      <c r="R145" s="147">
        <f t="shared" si="80"/>
        <v>1825.6387500000003</v>
      </c>
      <c r="S145" s="147">
        <f t="shared" si="80"/>
        <v>2298.9524999999999</v>
      </c>
      <c r="T145" s="147">
        <f t="shared" si="80"/>
        <v>2682.1112499999995</v>
      </c>
      <c r="U145" s="424">
        <f t="shared" si="80"/>
        <v>3065.27</v>
      </c>
      <c r="V145" s="147">
        <f t="shared" si="80"/>
        <v>2931.1644375000001</v>
      </c>
      <c r="W145" s="147">
        <f t="shared" si="80"/>
        <v>4559.5891249999995</v>
      </c>
      <c r="X145" s="147">
        <f t="shared" si="80"/>
        <v>4559.5891249999995</v>
      </c>
      <c r="Y145" s="424">
        <f t="shared" si="80"/>
        <v>4722.4315937499996</v>
      </c>
      <c r="Z145" s="419"/>
      <c r="AA145" s="419"/>
      <c r="AB145" s="73"/>
      <c r="AC145" s="73"/>
      <c r="AD145" s="73"/>
      <c r="AE145" s="73"/>
      <c r="AF145" s="72"/>
      <c r="AG145" s="72"/>
      <c r="AH145" s="73"/>
      <c r="AI145" s="73"/>
      <c r="AJ145" s="73"/>
      <c r="AK145" s="73"/>
      <c r="AL145" s="73"/>
      <c r="AM145" s="73"/>
      <c r="AN145" s="73"/>
      <c r="AO145" s="73"/>
      <c r="AP145" s="415"/>
      <c r="AQ145" s="416"/>
      <c r="AR145" s="416"/>
      <c r="AS145" s="417"/>
      <c r="AT145" s="417"/>
      <c r="AU145" s="417"/>
      <c r="AV145" s="417"/>
      <c r="AW145" s="417"/>
    </row>
    <row r="146" spans="1:49" s="418" customFormat="1" ht="11.4" hidden="1" x14ac:dyDescent="0.4">
      <c r="A146" s="205"/>
      <c r="B146" s="324"/>
      <c r="C146" s="324"/>
      <c r="D146" s="324"/>
      <c r="E146" s="325"/>
      <c r="F146" s="324"/>
      <c r="G146" s="324"/>
      <c r="H146" s="324"/>
      <c r="I146" s="325"/>
      <c r="J146" s="324"/>
      <c r="K146" s="324"/>
      <c r="L146" s="324"/>
      <c r="M146" s="325"/>
      <c r="N146" s="324"/>
      <c r="O146" s="147"/>
      <c r="P146" s="147"/>
      <c r="Q146" s="424"/>
      <c r="R146" s="147"/>
      <c r="S146" s="147"/>
      <c r="T146" s="147"/>
      <c r="U146" s="424"/>
      <c r="V146" s="147"/>
      <c r="W146" s="147"/>
      <c r="X146" s="147"/>
      <c r="Y146" s="424"/>
      <c r="Z146" s="419"/>
      <c r="AA146" s="419"/>
      <c r="AB146" s="73"/>
      <c r="AC146" s="73"/>
      <c r="AD146" s="73"/>
      <c r="AE146" s="73"/>
      <c r="AF146" s="72"/>
      <c r="AG146" s="72"/>
      <c r="AH146" s="73"/>
      <c r="AI146" s="73"/>
      <c r="AJ146" s="73"/>
      <c r="AK146" s="73"/>
      <c r="AL146" s="73"/>
      <c r="AM146" s="73"/>
      <c r="AN146" s="73"/>
      <c r="AO146" s="73"/>
      <c r="AP146" s="415"/>
      <c r="AQ146" s="416"/>
      <c r="AR146" s="416"/>
      <c r="AS146" s="417"/>
      <c r="AT146" s="417"/>
      <c r="AU146" s="417"/>
      <c r="AV146" s="417"/>
      <c r="AW146" s="417"/>
    </row>
    <row r="147" spans="1:49" s="418" customFormat="1" ht="11.4" hidden="1" x14ac:dyDescent="0.4">
      <c r="A147" s="346" t="s">
        <v>305</v>
      </c>
      <c r="B147" s="324"/>
      <c r="C147" s="324"/>
      <c r="D147" s="324"/>
      <c r="E147" s="325"/>
      <c r="F147" s="324"/>
      <c r="G147" s="324"/>
      <c r="H147" s="324"/>
      <c r="I147" s="325"/>
      <c r="J147" s="324"/>
      <c r="K147" s="324"/>
      <c r="L147" s="324"/>
      <c r="M147" s="325"/>
      <c r="N147" s="324"/>
      <c r="O147" s="148"/>
      <c r="P147" s="148"/>
      <c r="Q147" s="404"/>
      <c r="R147" s="148"/>
      <c r="S147" s="148"/>
      <c r="T147" s="148"/>
      <c r="U147" s="404"/>
      <c r="V147" s="148"/>
      <c r="W147" s="148"/>
      <c r="X147" s="148"/>
      <c r="Y147" s="404"/>
      <c r="Z147" s="419"/>
      <c r="AA147" s="419"/>
      <c r="AB147" s="73"/>
      <c r="AC147" s="73"/>
      <c r="AD147" s="73"/>
      <c r="AE147" s="73"/>
      <c r="AF147" s="72"/>
      <c r="AG147" s="72"/>
      <c r="AH147" s="73"/>
      <c r="AI147" s="73"/>
      <c r="AJ147" s="73"/>
      <c r="AK147" s="73"/>
      <c r="AL147" s="73"/>
      <c r="AM147" s="73"/>
      <c r="AN147" s="73"/>
      <c r="AO147" s="73"/>
      <c r="AP147" s="415"/>
      <c r="AQ147" s="416"/>
      <c r="AR147" s="416"/>
      <c r="AS147" s="417"/>
      <c r="AT147" s="417"/>
      <c r="AU147" s="417"/>
      <c r="AV147" s="417"/>
      <c r="AW147" s="417"/>
    </row>
    <row r="148" spans="1:49" s="418" customFormat="1" ht="11.4" hidden="1" x14ac:dyDescent="0.4">
      <c r="A148" s="205" t="s">
        <v>265</v>
      </c>
      <c r="B148" s="324"/>
      <c r="C148" s="324"/>
      <c r="D148" s="324"/>
      <c r="E148" s="325"/>
      <c r="F148" s="324"/>
      <c r="G148" s="324"/>
      <c r="H148" s="324"/>
      <c r="I148" s="325"/>
      <c r="J148" s="324"/>
      <c r="K148" s="324"/>
      <c r="L148" s="324"/>
      <c r="M148" s="325"/>
      <c r="N148" s="324"/>
      <c r="O148" s="425">
        <f t="shared" ref="O148:Y153" si="81">+O63*O$137</f>
        <v>0.39</v>
      </c>
      <c r="P148" s="425">
        <f t="shared" si="81"/>
        <v>0.26</v>
      </c>
      <c r="Q148" s="426">
        <f t="shared" si="81"/>
        <v>0.13</v>
      </c>
      <c r="R148" s="425">
        <f t="shared" si="81"/>
        <v>0.13</v>
      </c>
      <c r="S148" s="425">
        <f t="shared" si="81"/>
        <v>0.13</v>
      </c>
      <c r="T148" s="425">
        <f t="shared" si="81"/>
        <v>6.5000000000000002E-2</v>
      </c>
      <c r="U148" s="426">
        <f t="shared" si="81"/>
        <v>6.5000000000000002E-2</v>
      </c>
      <c r="V148" s="425">
        <f t="shared" si="81"/>
        <v>6.5000000000000002E-2</v>
      </c>
      <c r="W148" s="425">
        <f t="shared" si="81"/>
        <v>6.5000000000000002E-2</v>
      </c>
      <c r="X148" s="425">
        <f t="shared" si="81"/>
        <v>6.5000000000000002E-2</v>
      </c>
      <c r="Y148" s="426">
        <f t="shared" si="81"/>
        <v>6.5000000000000002E-2</v>
      </c>
      <c r="Z148" s="419"/>
      <c r="AA148" s="419"/>
      <c r="AB148" s="73"/>
      <c r="AC148" s="73"/>
      <c r="AD148" s="73"/>
      <c r="AE148" s="73"/>
      <c r="AF148" s="72"/>
      <c r="AG148" s="72"/>
      <c r="AH148" s="73"/>
      <c r="AI148" s="73"/>
      <c r="AJ148" s="73"/>
      <c r="AK148" s="73"/>
      <c r="AL148" s="73"/>
      <c r="AM148" s="73"/>
      <c r="AN148" s="73"/>
      <c r="AO148" s="73"/>
      <c r="AP148" s="415"/>
      <c r="AQ148" s="416"/>
      <c r="AR148" s="416"/>
      <c r="AS148" s="417"/>
      <c r="AT148" s="417"/>
      <c r="AU148" s="417"/>
      <c r="AV148" s="417"/>
      <c r="AW148" s="417"/>
    </row>
    <row r="149" spans="1:49" s="418" customFormat="1" ht="11.4" hidden="1" x14ac:dyDescent="0.4">
      <c r="A149" s="205" t="s">
        <v>275</v>
      </c>
      <c r="B149" s="324"/>
      <c r="C149" s="324"/>
      <c r="D149" s="324"/>
      <c r="E149" s="325"/>
      <c r="F149" s="324"/>
      <c r="G149" s="324"/>
      <c r="H149" s="324"/>
      <c r="I149" s="325"/>
      <c r="J149" s="324"/>
      <c r="K149" s="324"/>
      <c r="L149" s="324"/>
      <c r="M149" s="325"/>
      <c r="N149" s="324"/>
      <c r="O149" s="425">
        <f t="shared" si="81"/>
        <v>0.48750000000000004</v>
      </c>
      <c r="P149" s="425">
        <f t="shared" si="81"/>
        <v>0.52</v>
      </c>
      <c r="Q149" s="426">
        <f t="shared" si="81"/>
        <v>0.58500000000000008</v>
      </c>
      <c r="R149" s="425">
        <f t="shared" si="81"/>
        <v>0.65</v>
      </c>
      <c r="S149" s="425">
        <f t="shared" si="81"/>
        <v>0.65</v>
      </c>
      <c r="T149" s="425">
        <f t="shared" si="81"/>
        <v>0.65</v>
      </c>
      <c r="U149" s="426">
        <f t="shared" si="81"/>
        <v>0.65</v>
      </c>
      <c r="V149" s="425">
        <f t="shared" si="81"/>
        <v>0.65</v>
      </c>
      <c r="W149" s="425">
        <f t="shared" si="81"/>
        <v>0.58500000000000008</v>
      </c>
      <c r="X149" s="425">
        <f t="shared" si="81"/>
        <v>0.45499999999999996</v>
      </c>
      <c r="Y149" s="426">
        <f t="shared" si="81"/>
        <v>0.32500000000000001</v>
      </c>
      <c r="Z149" s="419"/>
      <c r="AA149" s="419"/>
      <c r="AB149" s="73"/>
      <c r="AC149" s="73"/>
      <c r="AD149" s="73"/>
      <c r="AE149" s="73"/>
      <c r="AF149" s="72"/>
      <c r="AG149" s="72"/>
      <c r="AH149" s="73"/>
      <c r="AI149" s="73"/>
      <c r="AJ149" s="73"/>
      <c r="AK149" s="73"/>
      <c r="AL149" s="73"/>
      <c r="AM149" s="73"/>
      <c r="AN149" s="73"/>
      <c r="AO149" s="73"/>
      <c r="AP149" s="415"/>
      <c r="AQ149" s="416"/>
      <c r="AR149" s="416"/>
      <c r="AS149" s="417"/>
      <c r="AT149" s="417"/>
      <c r="AU149" s="417"/>
      <c r="AV149" s="417"/>
      <c r="AW149" s="417"/>
    </row>
    <row r="150" spans="1:49" s="418" customFormat="1" ht="11.4" hidden="1" x14ac:dyDescent="0.4">
      <c r="A150" s="205" t="s">
        <v>276</v>
      </c>
      <c r="B150" s="324"/>
      <c r="C150" s="324"/>
      <c r="D150" s="324"/>
      <c r="E150" s="325"/>
      <c r="F150" s="324"/>
      <c r="G150" s="324"/>
      <c r="H150" s="324"/>
      <c r="I150" s="325"/>
      <c r="J150" s="324"/>
      <c r="K150" s="324"/>
      <c r="L150" s="324"/>
      <c r="M150" s="325"/>
      <c r="N150" s="324"/>
      <c r="O150" s="425">
        <f t="shared" si="81"/>
        <v>0.58500000000000008</v>
      </c>
      <c r="P150" s="425">
        <f t="shared" si="81"/>
        <v>0.65</v>
      </c>
      <c r="Q150" s="426">
        <f t="shared" si="81"/>
        <v>0.68250000000000011</v>
      </c>
      <c r="R150" s="425">
        <f t="shared" si="81"/>
        <v>0.71500000000000008</v>
      </c>
      <c r="S150" s="425">
        <f t="shared" si="81"/>
        <v>0.84500000000000008</v>
      </c>
      <c r="T150" s="425">
        <f t="shared" si="81"/>
        <v>1.04</v>
      </c>
      <c r="U150" s="426">
        <f t="shared" si="81"/>
        <v>1.1700000000000002</v>
      </c>
      <c r="V150" s="425">
        <f t="shared" si="81"/>
        <v>0.90999999999999992</v>
      </c>
      <c r="W150" s="425">
        <f t="shared" si="81"/>
        <v>0.65</v>
      </c>
      <c r="X150" s="425">
        <f t="shared" si="81"/>
        <v>0.52</v>
      </c>
      <c r="Y150" s="426">
        <f t="shared" si="81"/>
        <v>0.39</v>
      </c>
      <c r="Z150" s="419"/>
      <c r="AA150" s="419"/>
      <c r="AB150" s="73"/>
      <c r="AC150" s="73"/>
      <c r="AD150" s="73"/>
      <c r="AE150" s="73"/>
      <c r="AF150" s="72"/>
      <c r="AG150" s="72"/>
      <c r="AH150" s="73"/>
      <c r="AI150" s="73"/>
      <c r="AJ150" s="73"/>
      <c r="AK150" s="73"/>
      <c r="AL150" s="73"/>
      <c r="AM150" s="73"/>
      <c r="AN150" s="73"/>
      <c r="AO150" s="73"/>
      <c r="AP150" s="415"/>
      <c r="AQ150" s="416"/>
      <c r="AR150" s="416"/>
      <c r="AS150" s="417"/>
      <c r="AT150" s="417"/>
      <c r="AU150" s="417"/>
      <c r="AV150" s="417"/>
      <c r="AW150" s="417"/>
    </row>
    <row r="151" spans="1:49" s="418" customFormat="1" ht="11.4" hidden="1" x14ac:dyDescent="0.4">
      <c r="A151" s="205" t="s">
        <v>277</v>
      </c>
      <c r="B151" s="324"/>
      <c r="C151" s="324"/>
      <c r="D151" s="324"/>
      <c r="E151" s="325"/>
      <c r="F151" s="324"/>
      <c r="G151" s="324"/>
      <c r="H151" s="324"/>
      <c r="I151" s="325"/>
      <c r="J151" s="324"/>
      <c r="K151" s="324"/>
      <c r="L151" s="324"/>
      <c r="M151" s="325"/>
      <c r="N151" s="324"/>
      <c r="O151" s="425">
        <f t="shared" si="81"/>
        <v>7.8E-2</v>
      </c>
      <c r="P151" s="425">
        <f t="shared" si="81"/>
        <v>6.5000000000000002E-2</v>
      </c>
      <c r="Q151" s="426">
        <f t="shared" si="81"/>
        <v>6.5000000000000002E-2</v>
      </c>
      <c r="R151" s="425">
        <f t="shared" si="81"/>
        <v>3.2500000000000001E-2</v>
      </c>
      <c r="S151" s="425">
        <f t="shared" si="81"/>
        <v>3.2500000000000001E-2</v>
      </c>
      <c r="T151" s="425">
        <f t="shared" si="81"/>
        <v>3.2500000000000001E-2</v>
      </c>
      <c r="U151" s="426">
        <f t="shared" si="81"/>
        <v>3.2500000000000001E-2</v>
      </c>
      <c r="V151" s="425">
        <f t="shared" si="81"/>
        <v>1.6250000000000001E-2</v>
      </c>
      <c r="W151" s="425">
        <f t="shared" si="81"/>
        <v>1.6250000000000001E-2</v>
      </c>
      <c r="X151" s="425">
        <f t="shared" si="81"/>
        <v>1.6250000000000001E-2</v>
      </c>
      <c r="Y151" s="426">
        <f t="shared" si="81"/>
        <v>1.6250000000000001E-2</v>
      </c>
      <c r="Z151" s="419"/>
      <c r="AA151" s="419"/>
      <c r="AB151" s="73"/>
      <c r="AC151" s="73"/>
      <c r="AD151" s="73"/>
      <c r="AE151" s="73"/>
      <c r="AF151" s="72"/>
      <c r="AG151" s="72"/>
      <c r="AH151" s="73"/>
      <c r="AI151" s="73"/>
      <c r="AJ151" s="73"/>
      <c r="AK151" s="73"/>
      <c r="AL151" s="73"/>
      <c r="AM151" s="73"/>
      <c r="AN151" s="73"/>
      <c r="AO151" s="73"/>
      <c r="AP151" s="415"/>
      <c r="AQ151" s="416"/>
      <c r="AR151" s="416"/>
      <c r="AS151" s="417"/>
      <c r="AT151" s="417"/>
      <c r="AU151" s="417"/>
      <c r="AV151" s="417"/>
      <c r="AW151" s="417"/>
    </row>
    <row r="152" spans="1:49" s="418" customFormat="1" ht="11.4" hidden="1" x14ac:dyDescent="0.4">
      <c r="A152" s="205" t="s">
        <v>288</v>
      </c>
      <c r="B152" s="324"/>
      <c r="C152" s="324"/>
      <c r="D152" s="324"/>
      <c r="E152" s="325"/>
      <c r="F152" s="324"/>
      <c r="G152" s="324"/>
      <c r="H152" s="324"/>
      <c r="I152" s="325"/>
      <c r="J152" s="324"/>
      <c r="K152" s="324"/>
      <c r="L152" s="324"/>
      <c r="M152" s="325"/>
      <c r="N152" s="324"/>
      <c r="O152" s="425">
        <f t="shared" si="81"/>
        <v>0</v>
      </c>
      <c r="P152" s="425">
        <f t="shared" si="81"/>
        <v>0</v>
      </c>
      <c r="Q152" s="426">
        <f t="shared" si="81"/>
        <v>0</v>
      </c>
      <c r="R152" s="425">
        <f t="shared" si="81"/>
        <v>0</v>
      </c>
      <c r="S152" s="425">
        <f t="shared" si="81"/>
        <v>6.5000000000000002E-2</v>
      </c>
      <c r="T152" s="425">
        <f t="shared" si="81"/>
        <v>6.5000000000000002E-2</v>
      </c>
      <c r="U152" s="426">
        <f t="shared" si="81"/>
        <v>6.5000000000000002E-2</v>
      </c>
      <c r="V152" s="425">
        <f t="shared" si="81"/>
        <v>0.13</v>
      </c>
      <c r="W152" s="425">
        <f t="shared" si="81"/>
        <v>0.26</v>
      </c>
      <c r="X152" s="425">
        <f t="shared" si="81"/>
        <v>0.39</v>
      </c>
      <c r="Y152" s="426">
        <f t="shared" si="81"/>
        <v>0.45499999999999996</v>
      </c>
      <c r="Z152" s="419"/>
      <c r="AA152" s="419"/>
      <c r="AB152" s="73"/>
      <c r="AC152" s="73"/>
      <c r="AD152" s="73"/>
      <c r="AE152" s="73"/>
      <c r="AF152" s="72"/>
      <c r="AG152" s="72"/>
      <c r="AH152" s="73"/>
      <c r="AI152" s="73"/>
      <c r="AJ152" s="73"/>
      <c r="AK152" s="73"/>
      <c r="AL152" s="73"/>
      <c r="AM152" s="73"/>
      <c r="AN152" s="73"/>
      <c r="AO152" s="73"/>
      <c r="AP152" s="415"/>
      <c r="AQ152" s="416"/>
      <c r="AR152" s="416"/>
      <c r="AS152" s="417"/>
      <c r="AT152" s="417"/>
      <c r="AU152" s="417"/>
      <c r="AV152" s="417"/>
      <c r="AW152" s="417"/>
    </row>
    <row r="153" spans="1:49" s="418" customFormat="1" ht="11.4" hidden="1" x14ac:dyDescent="0.4">
      <c r="A153" s="205" t="s">
        <v>279</v>
      </c>
      <c r="B153" s="324"/>
      <c r="C153" s="324"/>
      <c r="D153" s="324"/>
      <c r="E153" s="325"/>
      <c r="F153" s="324"/>
      <c r="G153" s="324"/>
      <c r="H153" s="324"/>
      <c r="I153" s="325"/>
      <c r="J153" s="324"/>
      <c r="K153" s="324"/>
      <c r="L153" s="324"/>
      <c r="M153" s="325"/>
      <c r="N153" s="324"/>
      <c r="O153" s="425">
        <f t="shared" si="81"/>
        <v>3.2500000000000001E-2</v>
      </c>
      <c r="P153" s="425">
        <f t="shared" si="81"/>
        <v>0.16250000000000001</v>
      </c>
      <c r="Q153" s="426">
        <f t="shared" si="81"/>
        <v>0.26</v>
      </c>
      <c r="R153" s="425">
        <f t="shared" si="81"/>
        <v>0.29250000000000004</v>
      </c>
      <c r="S153" s="425">
        <f t="shared" si="81"/>
        <v>0.39</v>
      </c>
      <c r="T153" s="425">
        <f t="shared" si="81"/>
        <v>0.45499999999999996</v>
      </c>
      <c r="U153" s="426">
        <f t="shared" si="81"/>
        <v>0.52</v>
      </c>
      <c r="V153" s="425">
        <f t="shared" si="81"/>
        <v>0.55249999999999999</v>
      </c>
      <c r="W153" s="425">
        <f t="shared" si="81"/>
        <v>0.90999999999999992</v>
      </c>
      <c r="X153" s="425">
        <f t="shared" si="81"/>
        <v>0.90999999999999992</v>
      </c>
      <c r="Y153" s="426">
        <f t="shared" si="81"/>
        <v>0.9425</v>
      </c>
      <c r="Z153" s="419"/>
      <c r="AA153" s="419"/>
      <c r="AB153" s="73"/>
      <c r="AC153" s="73"/>
      <c r="AD153" s="73"/>
      <c r="AE153" s="73"/>
      <c r="AF153" s="72"/>
      <c r="AG153" s="72"/>
      <c r="AH153" s="73"/>
      <c r="AI153" s="73"/>
      <c r="AJ153" s="73"/>
      <c r="AK153" s="73"/>
      <c r="AL153" s="73"/>
      <c r="AM153" s="73"/>
      <c r="AN153" s="73"/>
      <c r="AO153" s="73"/>
      <c r="AP153" s="415"/>
      <c r="AQ153" s="416"/>
      <c r="AR153" s="416"/>
      <c r="AS153" s="417"/>
      <c r="AT153" s="417"/>
      <c r="AU153" s="417"/>
      <c r="AV153" s="417"/>
      <c r="AW153" s="417"/>
    </row>
    <row r="154" spans="1:49" s="418" customFormat="1" ht="11.4" hidden="1" x14ac:dyDescent="0.4">
      <c r="A154" s="335"/>
      <c r="B154" s="324"/>
      <c r="C154" s="324"/>
      <c r="D154" s="324"/>
      <c r="E154" s="325"/>
      <c r="F154" s="324"/>
      <c r="G154" s="324"/>
      <c r="H154" s="324"/>
      <c r="I154" s="325"/>
      <c r="J154" s="324"/>
      <c r="K154" s="324"/>
      <c r="L154" s="324"/>
      <c r="M154" s="325"/>
      <c r="N154" s="324"/>
      <c r="O154" s="148"/>
      <c r="P154" s="148"/>
      <c r="Q154" s="404"/>
      <c r="R154" s="148"/>
      <c r="S154" s="148"/>
      <c r="T154" s="148"/>
      <c r="U154" s="404"/>
      <c r="V154" s="148"/>
      <c r="W154" s="148"/>
      <c r="X154" s="148"/>
      <c r="Y154" s="404"/>
      <c r="Z154" s="419"/>
      <c r="AA154" s="419"/>
      <c r="AB154" s="73"/>
      <c r="AC154" s="73"/>
      <c r="AD154" s="73"/>
      <c r="AE154" s="73"/>
      <c r="AF154" s="72"/>
      <c r="AG154" s="72"/>
      <c r="AH154" s="73"/>
      <c r="AI154" s="73"/>
      <c r="AJ154" s="73"/>
      <c r="AK154" s="73"/>
      <c r="AL154" s="73"/>
      <c r="AM154" s="73"/>
      <c r="AN154" s="73"/>
      <c r="AO154" s="73"/>
      <c r="AP154" s="415"/>
      <c r="AQ154" s="416"/>
      <c r="AR154" s="416"/>
      <c r="AS154" s="417"/>
      <c r="AT154" s="417"/>
      <c r="AU154" s="417"/>
      <c r="AV154" s="417"/>
      <c r="AW154" s="417"/>
    </row>
    <row r="155" spans="1:49" s="418" customFormat="1" ht="11.4" hidden="1" x14ac:dyDescent="0.4">
      <c r="A155" s="346" t="s">
        <v>306</v>
      </c>
      <c r="B155" s="324"/>
      <c r="C155" s="324"/>
      <c r="D155" s="324"/>
      <c r="E155" s="325"/>
      <c r="F155" s="324"/>
      <c r="G155" s="324"/>
      <c r="H155" s="324"/>
      <c r="I155" s="325"/>
      <c r="J155" s="324"/>
      <c r="K155" s="324"/>
      <c r="L155" s="324"/>
      <c r="M155" s="325"/>
      <c r="N155" s="324"/>
      <c r="O155" s="148"/>
      <c r="P155" s="148"/>
      <c r="Q155" s="404"/>
      <c r="R155" s="148"/>
      <c r="S155" s="148"/>
      <c r="T155" s="148"/>
      <c r="U155" s="404"/>
      <c r="V155" s="148"/>
      <c r="W155" s="148"/>
      <c r="X155" s="148"/>
      <c r="Y155" s="404"/>
      <c r="Z155" s="419"/>
      <c r="AA155" s="419"/>
      <c r="AB155" s="73"/>
      <c r="AC155" s="73"/>
      <c r="AD155" s="73"/>
      <c r="AE155" s="73"/>
      <c r="AF155" s="72"/>
      <c r="AG155" s="72"/>
      <c r="AH155" s="73"/>
      <c r="AI155" s="73"/>
      <c r="AJ155" s="73"/>
      <c r="AK155" s="73"/>
      <c r="AL155" s="73"/>
      <c r="AM155" s="73"/>
      <c r="AN155" s="73"/>
      <c r="AO155" s="73"/>
      <c r="AP155" s="415"/>
      <c r="AQ155" s="416"/>
      <c r="AR155" s="416"/>
      <c r="AS155" s="417"/>
      <c r="AT155" s="417"/>
      <c r="AU155" s="417"/>
      <c r="AV155" s="417"/>
      <c r="AW155" s="417"/>
    </row>
    <row r="156" spans="1:49" s="418" customFormat="1" ht="11.4" hidden="1" x14ac:dyDescent="0.4">
      <c r="A156" s="205" t="s">
        <v>265</v>
      </c>
      <c r="B156" s="324"/>
      <c r="C156" s="324"/>
      <c r="D156" s="324"/>
      <c r="E156" s="325"/>
      <c r="F156" s="324"/>
      <c r="G156" s="324"/>
      <c r="H156" s="324"/>
      <c r="I156" s="325"/>
      <c r="J156" s="324"/>
      <c r="K156" s="324"/>
      <c r="L156" s="324"/>
      <c r="M156" s="325"/>
      <c r="N156" s="324"/>
      <c r="O156" s="147">
        <f t="shared" ref="O156:Y161" si="82">+(1-O$134)*O75</f>
        <v>275.40000000000003</v>
      </c>
      <c r="P156" s="147">
        <f t="shared" si="82"/>
        <v>275.40000000000003</v>
      </c>
      <c r="Q156" s="424">
        <f t="shared" si="82"/>
        <v>275.40000000000003</v>
      </c>
      <c r="R156" s="147">
        <f t="shared" si="82"/>
        <v>247.86000000000004</v>
      </c>
      <c r="S156" s="147">
        <f t="shared" si="82"/>
        <v>247.86000000000004</v>
      </c>
      <c r="T156" s="147">
        <f t="shared" si="82"/>
        <v>247.86000000000004</v>
      </c>
      <c r="U156" s="424">
        <f t="shared" si="82"/>
        <v>247.86000000000004</v>
      </c>
      <c r="V156" s="147">
        <f t="shared" si="82"/>
        <v>223.07400000000004</v>
      </c>
      <c r="W156" s="147">
        <f t="shared" si="82"/>
        <v>223.07400000000004</v>
      </c>
      <c r="X156" s="147">
        <f t="shared" si="82"/>
        <v>223.07400000000004</v>
      </c>
      <c r="Y156" s="424">
        <f t="shared" si="82"/>
        <v>223.07400000000004</v>
      </c>
      <c r="Z156" s="419"/>
      <c r="AA156" s="419"/>
      <c r="AB156" s="73"/>
      <c r="AC156" s="73"/>
      <c r="AD156" s="73"/>
      <c r="AE156" s="73"/>
      <c r="AF156" s="72"/>
      <c r="AG156" s="72"/>
      <c r="AH156" s="73"/>
      <c r="AI156" s="73"/>
      <c r="AJ156" s="73"/>
      <c r="AK156" s="73"/>
      <c r="AL156" s="73"/>
      <c r="AM156" s="73"/>
      <c r="AN156" s="73"/>
      <c r="AO156" s="73"/>
      <c r="AP156" s="415"/>
      <c r="AQ156" s="416"/>
      <c r="AR156" s="416"/>
      <c r="AS156" s="417"/>
      <c r="AT156" s="417"/>
      <c r="AU156" s="417"/>
      <c r="AV156" s="417"/>
      <c r="AW156" s="417"/>
    </row>
    <row r="157" spans="1:49" s="418" customFormat="1" ht="11.4" hidden="1" x14ac:dyDescent="0.4">
      <c r="A157" s="205" t="s">
        <v>275</v>
      </c>
      <c r="B157" s="324"/>
      <c r="C157" s="324"/>
      <c r="D157" s="324"/>
      <c r="E157" s="325"/>
      <c r="F157" s="324"/>
      <c r="G157" s="324"/>
      <c r="H157" s="324"/>
      <c r="I157" s="325"/>
      <c r="J157" s="324"/>
      <c r="K157" s="324"/>
      <c r="L157" s="324"/>
      <c r="M157" s="325"/>
      <c r="N157" s="324"/>
      <c r="O157" s="147">
        <f t="shared" si="82"/>
        <v>510</v>
      </c>
      <c r="P157" s="147">
        <f t="shared" si="82"/>
        <v>510</v>
      </c>
      <c r="Q157" s="424">
        <f t="shared" si="82"/>
        <v>510</v>
      </c>
      <c r="R157" s="147">
        <f t="shared" si="82"/>
        <v>494.7</v>
      </c>
      <c r="S157" s="147">
        <f t="shared" si="82"/>
        <v>433.5</v>
      </c>
      <c r="T157" s="147">
        <f t="shared" si="82"/>
        <v>433.5</v>
      </c>
      <c r="U157" s="424">
        <f t="shared" si="82"/>
        <v>433.5</v>
      </c>
      <c r="V157" s="147">
        <f t="shared" si="82"/>
        <v>424.83</v>
      </c>
      <c r="W157" s="147">
        <f t="shared" si="82"/>
        <v>368.47499999999997</v>
      </c>
      <c r="X157" s="147">
        <f t="shared" si="82"/>
        <v>368.47499999999997</v>
      </c>
      <c r="Y157" s="424">
        <f t="shared" si="82"/>
        <v>368.47499999999997</v>
      </c>
      <c r="Z157" s="419"/>
      <c r="AA157" s="419"/>
      <c r="AB157" s="73"/>
      <c r="AC157" s="73"/>
      <c r="AD157" s="73"/>
      <c r="AE157" s="73"/>
      <c r="AF157" s="72"/>
      <c r="AG157" s="72"/>
      <c r="AH157" s="73"/>
      <c r="AI157" s="73"/>
      <c r="AJ157" s="73"/>
      <c r="AK157" s="73"/>
      <c r="AL157" s="73"/>
      <c r="AM157" s="73"/>
      <c r="AN157" s="73"/>
      <c r="AO157" s="73"/>
      <c r="AP157" s="415"/>
      <c r="AQ157" s="416"/>
      <c r="AR157" s="416"/>
      <c r="AS157" s="417"/>
      <c r="AT157" s="417"/>
      <c r="AU157" s="417"/>
      <c r="AV157" s="417"/>
      <c r="AW157" s="417"/>
    </row>
    <row r="158" spans="1:49" s="418" customFormat="1" ht="11.4" hidden="1" x14ac:dyDescent="0.4">
      <c r="A158" s="205" t="s">
        <v>276</v>
      </c>
      <c r="B158" s="324"/>
      <c r="C158" s="324"/>
      <c r="D158" s="324"/>
      <c r="E158" s="325"/>
      <c r="F158" s="324"/>
      <c r="G158" s="324"/>
      <c r="H158" s="324"/>
      <c r="I158" s="325"/>
      <c r="J158" s="324"/>
      <c r="K158" s="324"/>
      <c r="L158" s="324"/>
      <c r="M158" s="325"/>
      <c r="N158" s="324"/>
      <c r="O158" s="147">
        <f t="shared" si="82"/>
        <v>450</v>
      </c>
      <c r="P158" s="147">
        <f t="shared" si="82"/>
        <v>450</v>
      </c>
      <c r="Q158" s="424">
        <f t="shared" si="82"/>
        <v>450</v>
      </c>
      <c r="R158" s="147">
        <f t="shared" si="82"/>
        <v>427.5</v>
      </c>
      <c r="S158" s="147">
        <f t="shared" si="82"/>
        <v>382.5</v>
      </c>
      <c r="T158" s="147">
        <f t="shared" si="82"/>
        <v>382.5</v>
      </c>
      <c r="U158" s="424">
        <f t="shared" si="82"/>
        <v>382.5</v>
      </c>
      <c r="V158" s="147">
        <f t="shared" si="82"/>
        <v>363.375</v>
      </c>
      <c r="W158" s="147">
        <f t="shared" si="82"/>
        <v>325.125</v>
      </c>
      <c r="X158" s="147">
        <f t="shared" si="82"/>
        <v>325.125</v>
      </c>
      <c r="Y158" s="424">
        <f t="shared" si="82"/>
        <v>325.125</v>
      </c>
      <c r="Z158" s="419"/>
      <c r="AA158" s="419"/>
      <c r="AB158" s="73"/>
      <c r="AC158" s="73"/>
      <c r="AD158" s="73"/>
      <c r="AE158" s="73"/>
      <c r="AF158" s="72"/>
      <c r="AG158" s="72"/>
      <c r="AH158" s="73"/>
      <c r="AI158" s="73"/>
      <c r="AJ158" s="73"/>
      <c r="AK158" s="73"/>
      <c r="AL158" s="73"/>
      <c r="AM158" s="73"/>
      <c r="AN158" s="73"/>
      <c r="AO158" s="73"/>
      <c r="AP158" s="415"/>
      <c r="AQ158" s="416"/>
      <c r="AR158" s="416"/>
      <c r="AS158" s="417"/>
      <c r="AT158" s="417"/>
      <c r="AU158" s="417"/>
      <c r="AV158" s="417"/>
      <c r="AW158" s="417"/>
    </row>
    <row r="159" spans="1:49" s="418" customFormat="1" ht="11.4" hidden="1" x14ac:dyDescent="0.4">
      <c r="A159" s="205" t="s">
        <v>277</v>
      </c>
      <c r="B159" s="324"/>
      <c r="C159" s="324"/>
      <c r="D159" s="324"/>
      <c r="E159" s="325"/>
      <c r="F159" s="324"/>
      <c r="G159" s="324"/>
      <c r="H159" s="324"/>
      <c r="I159" s="325"/>
      <c r="J159" s="324"/>
      <c r="K159" s="324"/>
      <c r="L159" s="324"/>
      <c r="M159" s="325"/>
      <c r="N159" s="324"/>
      <c r="O159" s="147">
        <f t="shared" si="82"/>
        <v>382.5</v>
      </c>
      <c r="P159" s="147">
        <f t="shared" si="82"/>
        <v>382.5</v>
      </c>
      <c r="Q159" s="424">
        <f t="shared" si="82"/>
        <v>382.5</v>
      </c>
      <c r="R159" s="147">
        <f t="shared" si="82"/>
        <v>371.02499999999998</v>
      </c>
      <c r="S159" s="147">
        <f t="shared" si="82"/>
        <v>325.125</v>
      </c>
      <c r="T159" s="147">
        <f t="shared" si="82"/>
        <v>325.125</v>
      </c>
      <c r="U159" s="424">
        <f t="shared" si="82"/>
        <v>325.125</v>
      </c>
      <c r="V159" s="147">
        <f t="shared" si="82"/>
        <v>318.6225</v>
      </c>
      <c r="W159" s="147">
        <f t="shared" si="82"/>
        <v>276.35624999999999</v>
      </c>
      <c r="X159" s="147">
        <f t="shared" si="82"/>
        <v>276.35624999999999</v>
      </c>
      <c r="Y159" s="424">
        <f t="shared" si="82"/>
        <v>276.35624999999999</v>
      </c>
      <c r="Z159" s="419"/>
      <c r="AA159" s="419"/>
      <c r="AB159" s="73"/>
      <c r="AC159" s="73"/>
      <c r="AD159" s="73"/>
      <c r="AE159" s="73"/>
      <c r="AF159" s="72"/>
      <c r="AG159" s="72"/>
      <c r="AH159" s="73"/>
      <c r="AI159" s="73"/>
      <c r="AJ159" s="73"/>
      <c r="AK159" s="73"/>
      <c r="AL159" s="73"/>
      <c r="AM159" s="73"/>
      <c r="AN159" s="73"/>
      <c r="AO159" s="73"/>
      <c r="AP159" s="415"/>
      <c r="AQ159" s="416"/>
      <c r="AR159" s="416"/>
      <c r="AS159" s="417"/>
      <c r="AT159" s="417"/>
      <c r="AU159" s="417"/>
      <c r="AV159" s="417"/>
      <c r="AW159" s="417"/>
    </row>
    <row r="160" spans="1:49" s="418" customFormat="1" ht="11.4" hidden="1" x14ac:dyDescent="0.4">
      <c r="A160" s="205" t="s">
        <v>288</v>
      </c>
      <c r="B160" s="324"/>
      <c r="C160" s="324"/>
      <c r="D160" s="324"/>
      <c r="E160" s="325"/>
      <c r="F160" s="324"/>
      <c r="G160" s="324"/>
      <c r="H160" s="324"/>
      <c r="I160" s="325"/>
      <c r="J160" s="324"/>
      <c r="K160" s="324"/>
      <c r="L160" s="324"/>
      <c r="M160" s="325"/>
      <c r="N160" s="324"/>
      <c r="O160" s="147">
        <f t="shared" si="82"/>
        <v>1280</v>
      </c>
      <c r="P160" s="147">
        <f t="shared" si="82"/>
        <v>1280</v>
      </c>
      <c r="Q160" s="424">
        <f t="shared" si="82"/>
        <v>1280</v>
      </c>
      <c r="R160" s="147">
        <f t="shared" si="82"/>
        <v>1152</v>
      </c>
      <c r="S160" s="147">
        <f t="shared" si="82"/>
        <v>1088</v>
      </c>
      <c r="T160" s="147">
        <f t="shared" si="82"/>
        <v>1088</v>
      </c>
      <c r="U160" s="424">
        <f t="shared" si="82"/>
        <v>1088</v>
      </c>
      <c r="V160" s="147">
        <f t="shared" si="82"/>
        <v>979.2</v>
      </c>
      <c r="W160" s="147">
        <f t="shared" si="82"/>
        <v>924.8</v>
      </c>
      <c r="X160" s="147">
        <f t="shared" si="82"/>
        <v>924.8</v>
      </c>
      <c r="Y160" s="424">
        <f t="shared" si="82"/>
        <v>924.8</v>
      </c>
      <c r="Z160" s="419"/>
      <c r="AA160" s="419"/>
      <c r="AB160" s="73"/>
      <c r="AC160" s="73"/>
      <c r="AD160" s="73"/>
      <c r="AE160" s="73"/>
      <c r="AF160" s="72"/>
      <c r="AG160" s="72"/>
      <c r="AH160" s="73"/>
      <c r="AI160" s="73"/>
      <c r="AJ160" s="73"/>
      <c r="AK160" s="73"/>
      <c r="AL160" s="73"/>
      <c r="AM160" s="73"/>
      <c r="AN160" s="73"/>
      <c r="AO160" s="73"/>
      <c r="AP160" s="415"/>
      <c r="AQ160" s="416"/>
      <c r="AR160" s="416"/>
      <c r="AS160" s="417"/>
      <c r="AT160" s="417"/>
      <c r="AU160" s="417"/>
      <c r="AV160" s="417"/>
      <c r="AW160" s="417"/>
    </row>
    <row r="161" spans="1:49" s="418" customFormat="1" ht="11.4" hidden="1" x14ac:dyDescent="0.4">
      <c r="A161" s="205" t="s">
        <v>279</v>
      </c>
      <c r="B161" s="324"/>
      <c r="C161" s="324"/>
      <c r="D161" s="324"/>
      <c r="E161" s="325"/>
      <c r="F161" s="324"/>
      <c r="G161" s="324"/>
      <c r="H161" s="324"/>
      <c r="I161" s="325"/>
      <c r="J161" s="324"/>
      <c r="K161" s="324"/>
      <c r="L161" s="324"/>
      <c r="M161" s="325"/>
      <c r="N161" s="324"/>
      <c r="O161" s="147">
        <f t="shared" si="82"/>
        <v>950</v>
      </c>
      <c r="P161" s="147">
        <f t="shared" si="82"/>
        <v>950</v>
      </c>
      <c r="Q161" s="424">
        <f t="shared" si="82"/>
        <v>950</v>
      </c>
      <c r="R161" s="147">
        <f t="shared" si="82"/>
        <v>855</v>
      </c>
      <c r="S161" s="147">
        <f t="shared" si="82"/>
        <v>807.5</v>
      </c>
      <c r="T161" s="147">
        <f t="shared" si="82"/>
        <v>807.5</v>
      </c>
      <c r="U161" s="424">
        <f t="shared" si="82"/>
        <v>807.5</v>
      </c>
      <c r="V161" s="147">
        <f t="shared" si="82"/>
        <v>726.75</v>
      </c>
      <c r="W161" s="147">
        <f t="shared" si="82"/>
        <v>686.375</v>
      </c>
      <c r="X161" s="147">
        <f t="shared" si="82"/>
        <v>686.375</v>
      </c>
      <c r="Y161" s="424">
        <f t="shared" si="82"/>
        <v>686.375</v>
      </c>
      <c r="Z161" s="419"/>
      <c r="AA161" s="419"/>
      <c r="AB161" s="73"/>
      <c r="AC161" s="73"/>
      <c r="AD161" s="73"/>
      <c r="AE161" s="73"/>
      <c r="AF161" s="72"/>
      <c r="AG161" s="72"/>
      <c r="AH161" s="73"/>
      <c r="AI161" s="73"/>
      <c r="AJ161" s="73"/>
      <c r="AK161" s="73"/>
      <c r="AL161" s="73"/>
      <c r="AM161" s="73"/>
      <c r="AN161" s="73"/>
      <c r="AO161" s="73"/>
      <c r="AP161" s="415"/>
      <c r="AQ161" s="416"/>
      <c r="AR161" s="416"/>
      <c r="AS161" s="417"/>
      <c r="AT161" s="417"/>
      <c r="AU161" s="417"/>
      <c r="AV161" s="417"/>
      <c r="AW161" s="417"/>
    </row>
    <row r="162" spans="1:49" s="418" customFormat="1" ht="11.4" hidden="1" x14ac:dyDescent="0.4">
      <c r="A162" s="335"/>
      <c r="B162" s="324"/>
      <c r="C162" s="324"/>
      <c r="D162" s="324"/>
      <c r="E162" s="325"/>
      <c r="F162" s="324"/>
      <c r="G162" s="324"/>
      <c r="H162" s="324"/>
      <c r="I162" s="325"/>
      <c r="J162" s="324"/>
      <c r="K162" s="324"/>
      <c r="L162" s="324"/>
      <c r="M162" s="325"/>
      <c r="N162" s="324"/>
      <c r="O162" s="148"/>
      <c r="P162" s="148"/>
      <c r="Q162" s="404"/>
      <c r="R162" s="148"/>
      <c r="S162" s="148"/>
      <c r="T162" s="148"/>
      <c r="U162" s="404"/>
      <c r="V162" s="148"/>
      <c r="W162" s="148"/>
      <c r="X162" s="148"/>
      <c r="Y162" s="404"/>
      <c r="Z162" s="419"/>
      <c r="AA162" s="419"/>
      <c r="AB162" s="73"/>
      <c r="AC162" s="73"/>
      <c r="AD162" s="73"/>
      <c r="AE162" s="73"/>
      <c r="AF162" s="72"/>
      <c r="AG162" s="72"/>
      <c r="AH162" s="73"/>
      <c r="AI162" s="73"/>
      <c r="AJ162" s="73"/>
      <c r="AK162" s="73"/>
      <c r="AL162" s="73"/>
      <c r="AM162" s="73"/>
      <c r="AN162" s="73"/>
      <c r="AO162" s="73"/>
      <c r="AP162" s="415"/>
      <c r="AQ162" s="416"/>
      <c r="AR162" s="416"/>
      <c r="AS162" s="417"/>
      <c r="AT162" s="417"/>
      <c r="AU162" s="417"/>
      <c r="AV162" s="417"/>
      <c r="AW162" s="417"/>
    </row>
    <row r="163" spans="1:49" s="418" customFormat="1" ht="11.4" hidden="1" x14ac:dyDescent="0.4">
      <c r="A163" s="346" t="s">
        <v>307</v>
      </c>
      <c r="B163" s="324"/>
      <c r="C163" s="324"/>
      <c r="D163" s="324"/>
      <c r="E163" s="325"/>
      <c r="F163" s="324"/>
      <c r="G163" s="324"/>
      <c r="H163" s="324"/>
      <c r="I163" s="325"/>
      <c r="J163" s="324"/>
      <c r="K163" s="324"/>
      <c r="L163" s="324"/>
      <c r="M163" s="325"/>
      <c r="N163" s="324"/>
      <c r="O163" s="324"/>
      <c r="P163" s="324"/>
      <c r="Q163" s="325"/>
      <c r="R163" s="324"/>
      <c r="S163" s="324"/>
      <c r="T163" s="324"/>
      <c r="U163" s="325"/>
      <c r="V163" s="324"/>
      <c r="W163" s="324"/>
      <c r="X163" s="324"/>
      <c r="Y163" s="325"/>
      <c r="Z163" s="419"/>
      <c r="AA163" s="419"/>
      <c r="AB163" s="73"/>
      <c r="AC163" s="73"/>
      <c r="AD163" s="73"/>
      <c r="AE163" s="73"/>
      <c r="AF163" s="72"/>
      <c r="AG163" s="72"/>
      <c r="AH163" s="73"/>
      <c r="AI163" s="73"/>
      <c r="AJ163" s="73"/>
      <c r="AK163" s="73"/>
      <c r="AL163" s="73"/>
      <c r="AM163" s="73"/>
      <c r="AN163" s="73"/>
      <c r="AO163" s="73"/>
      <c r="AP163" s="415"/>
      <c r="AQ163" s="416"/>
      <c r="AR163" s="416"/>
      <c r="AS163" s="417"/>
      <c r="AT163" s="417"/>
      <c r="AU163" s="417"/>
      <c r="AV163" s="417"/>
      <c r="AW163" s="417"/>
    </row>
    <row r="164" spans="1:49" s="418" customFormat="1" ht="11.4" hidden="1" x14ac:dyDescent="0.4">
      <c r="A164" s="205" t="s">
        <v>265</v>
      </c>
      <c r="B164" s="324"/>
      <c r="C164" s="324"/>
      <c r="D164" s="324"/>
      <c r="E164" s="325"/>
      <c r="F164" s="324"/>
      <c r="G164" s="324"/>
      <c r="H164" s="324"/>
      <c r="I164" s="325"/>
      <c r="J164" s="324"/>
      <c r="K164" s="324"/>
      <c r="L164" s="324"/>
      <c r="M164" s="325"/>
      <c r="N164" s="324"/>
      <c r="O164" s="324">
        <f t="shared" ref="O164:Y169" si="83">+O75-O156</f>
        <v>0</v>
      </c>
      <c r="P164" s="324">
        <f t="shared" si="83"/>
        <v>0</v>
      </c>
      <c r="Q164" s="325">
        <f t="shared" si="83"/>
        <v>0</v>
      </c>
      <c r="R164" s="324">
        <f t="shared" si="83"/>
        <v>0</v>
      </c>
      <c r="S164" s="324">
        <f t="shared" si="83"/>
        <v>0</v>
      </c>
      <c r="T164" s="324">
        <f t="shared" si="83"/>
        <v>0</v>
      </c>
      <c r="U164" s="325">
        <f t="shared" si="83"/>
        <v>0</v>
      </c>
      <c r="V164" s="324">
        <f t="shared" si="83"/>
        <v>0</v>
      </c>
      <c r="W164" s="324">
        <f t="shared" si="83"/>
        <v>0</v>
      </c>
      <c r="X164" s="324">
        <f t="shared" si="83"/>
        <v>0</v>
      </c>
      <c r="Y164" s="325">
        <f t="shared" si="83"/>
        <v>0</v>
      </c>
      <c r="Z164" s="419"/>
      <c r="AA164" s="419"/>
      <c r="AB164" s="73"/>
      <c r="AC164" s="73"/>
      <c r="AD164" s="73"/>
      <c r="AE164" s="73"/>
      <c r="AF164" s="72"/>
      <c r="AG164" s="72"/>
      <c r="AH164" s="73"/>
      <c r="AI164" s="73"/>
      <c r="AJ164" s="73"/>
      <c r="AK164" s="73"/>
      <c r="AL164" s="73"/>
      <c r="AM164" s="73"/>
      <c r="AN164" s="73"/>
      <c r="AO164" s="73"/>
      <c r="AP164" s="415"/>
      <c r="AQ164" s="416"/>
      <c r="AR164" s="416"/>
      <c r="AS164" s="417"/>
      <c r="AT164" s="417"/>
      <c r="AU164" s="417"/>
      <c r="AV164" s="417"/>
      <c r="AW164" s="417"/>
    </row>
    <row r="165" spans="1:49" s="418" customFormat="1" ht="11.4" hidden="1" x14ac:dyDescent="0.4">
      <c r="A165" s="205" t="s">
        <v>275</v>
      </c>
      <c r="B165" s="324"/>
      <c r="C165" s="324"/>
      <c r="D165" s="324"/>
      <c r="E165" s="325"/>
      <c r="F165" s="324"/>
      <c r="G165" s="324"/>
      <c r="H165" s="324"/>
      <c r="I165" s="325"/>
      <c r="J165" s="324"/>
      <c r="K165" s="324"/>
      <c r="L165" s="324"/>
      <c r="M165" s="325"/>
      <c r="N165" s="324"/>
      <c r="O165" s="324">
        <f t="shared" si="83"/>
        <v>0</v>
      </c>
      <c r="P165" s="324">
        <f t="shared" si="83"/>
        <v>0</v>
      </c>
      <c r="Q165" s="325">
        <f t="shared" si="83"/>
        <v>0</v>
      </c>
      <c r="R165" s="324">
        <f t="shared" si="83"/>
        <v>0</v>
      </c>
      <c r="S165" s="324">
        <f t="shared" si="83"/>
        <v>0</v>
      </c>
      <c r="T165" s="324">
        <f t="shared" si="83"/>
        <v>0</v>
      </c>
      <c r="U165" s="325">
        <f t="shared" si="83"/>
        <v>0</v>
      </c>
      <c r="V165" s="324">
        <f t="shared" si="83"/>
        <v>0</v>
      </c>
      <c r="W165" s="324">
        <f t="shared" si="83"/>
        <v>0</v>
      </c>
      <c r="X165" s="324">
        <f t="shared" si="83"/>
        <v>0</v>
      </c>
      <c r="Y165" s="325">
        <f t="shared" si="83"/>
        <v>0</v>
      </c>
      <c r="Z165" s="419"/>
      <c r="AA165" s="419"/>
      <c r="AB165" s="73"/>
      <c r="AC165" s="73"/>
      <c r="AD165" s="73"/>
      <c r="AE165" s="73"/>
      <c r="AF165" s="72"/>
      <c r="AG165" s="72"/>
      <c r="AH165" s="73"/>
      <c r="AI165" s="73"/>
      <c r="AJ165" s="73"/>
      <c r="AK165" s="73"/>
      <c r="AL165" s="73"/>
      <c r="AM165" s="73"/>
      <c r="AN165" s="73"/>
      <c r="AO165" s="73"/>
      <c r="AP165" s="415"/>
      <c r="AQ165" s="416"/>
      <c r="AR165" s="416"/>
      <c r="AS165" s="417"/>
      <c r="AT165" s="417"/>
      <c r="AU165" s="417"/>
      <c r="AV165" s="417"/>
      <c r="AW165" s="417"/>
    </row>
    <row r="166" spans="1:49" s="418" customFormat="1" ht="11.4" hidden="1" x14ac:dyDescent="0.4">
      <c r="A166" s="205" t="s">
        <v>276</v>
      </c>
      <c r="B166" s="324"/>
      <c r="C166" s="324"/>
      <c r="D166" s="324"/>
      <c r="E166" s="325"/>
      <c r="F166" s="324"/>
      <c r="G166" s="324"/>
      <c r="H166" s="324"/>
      <c r="I166" s="325"/>
      <c r="J166" s="324"/>
      <c r="K166" s="324"/>
      <c r="L166" s="324"/>
      <c r="M166" s="325"/>
      <c r="N166" s="324"/>
      <c r="O166" s="324">
        <f t="shared" si="83"/>
        <v>0</v>
      </c>
      <c r="P166" s="324">
        <f t="shared" si="83"/>
        <v>0</v>
      </c>
      <c r="Q166" s="325">
        <f t="shared" si="83"/>
        <v>0</v>
      </c>
      <c r="R166" s="324">
        <f t="shared" si="83"/>
        <v>0</v>
      </c>
      <c r="S166" s="324">
        <f t="shared" si="83"/>
        <v>0</v>
      </c>
      <c r="T166" s="324">
        <f t="shared" si="83"/>
        <v>0</v>
      </c>
      <c r="U166" s="325">
        <f t="shared" si="83"/>
        <v>0</v>
      </c>
      <c r="V166" s="324">
        <f t="shared" si="83"/>
        <v>0</v>
      </c>
      <c r="W166" s="324">
        <f t="shared" si="83"/>
        <v>0</v>
      </c>
      <c r="X166" s="324">
        <f t="shared" si="83"/>
        <v>0</v>
      </c>
      <c r="Y166" s="325">
        <f t="shared" si="83"/>
        <v>0</v>
      </c>
      <c r="Z166" s="419"/>
      <c r="AA166" s="419"/>
      <c r="AB166" s="73"/>
      <c r="AC166" s="73"/>
      <c r="AD166" s="73"/>
      <c r="AE166" s="73"/>
      <c r="AF166" s="72"/>
      <c r="AG166" s="72"/>
      <c r="AH166" s="73"/>
      <c r="AI166" s="73"/>
      <c r="AJ166" s="73"/>
      <c r="AK166" s="73"/>
      <c r="AL166" s="73"/>
      <c r="AM166" s="73"/>
      <c r="AN166" s="73"/>
      <c r="AO166" s="73"/>
      <c r="AP166" s="415"/>
      <c r="AQ166" s="416"/>
      <c r="AR166" s="416"/>
      <c r="AS166" s="417"/>
      <c r="AT166" s="417"/>
      <c r="AU166" s="417"/>
      <c r="AV166" s="417"/>
      <c r="AW166" s="417"/>
    </row>
    <row r="167" spans="1:49" s="418" customFormat="1" ht="11.4" hidden="1" x14ac:dyDescent="0.4">
      <c r="A167" s="205" t="s">
        <v>277</v>
      </c>
      <c r="B167" s="324"/>
      <c r="C167" s="324"/>
      <c r="D167" s="324"/>
      <c r="E167" s="325"/>
      <c r="F167" s="324"/>
      <c r="G167" s="324"/>
      <c r="H167" s="324"/>
      <c r="I167" s="325"/>
      <c r="J167" s="324"/>
      <c r="K167" s="324"/>
      <c r="L167" s="324"/>
      <c r="M167" s="325"/>
      <c r="N167" s="324"/>
      <c r="O167" s="324">
        <f t="shared" si="83"/>
        <v>0</v>
      </c>
      <c r="P167" s="324">
        <f t="shared" si="83"/>
        <v>0</v>
      </c>
      <c r="Q167" s="325">
        <f t="shared" si="83"/>
        <v>0</v>
      </c>
      <c r="R167" s="324">
        <f t="shared" si="83"/>
        <v>0</v>
      </c>
      <c r="S167" s="324">
        <f t="shared" si="83"/>
        <v>0</v>
      </c>
      <c r="T167" s="324">
        <f t="shared" si="83"/>
        <v>0</v>
      </c>
      <c r="U167" s="325">
        <f t="shared" si="83"/>
        <v>0</v>
      </c>
      <c r="V167" s="324">
        <f t="shared" si="83"/>
        <v>0</v>
      </c>
      <c r="W167" s="324">
        <f t="shared" si="83"/>
        <v>0</v>
      </c>
      <c r="X167" s="324">
        <f t="shared" si="83"/>
        <v>0</v>
      </c>
      <c r="Y167" s="325">
        <f t="shared" si="83"/>
        <v>0</v>
      </c>
      <c r="Z167" s="419"/>
      <c r="AA167" s="419"/>
      <c r="AB167" s="73"/>
      <c r="AC167" s="73"/>
      <c r="AD167" s="73"/>
      <c r="AE167" s="73"/>
      <c r="AF167" s="72"/>
      <c r="AG167" s="72"/>
      <c r="AH167" s="73"/>
      <c r="AI167" s="73"/>
      <c r="AJ167" s="73"/>
      <c r="AK167" s="73"/>
      <c r="AL167" s="73"/>
      <c r="AM167" s="73"/>
      <c r="AN167" s="73"/>
      <c r="AO167" s="73"/>
      <c r="AP167" s="415"/>
      <c r="AQ167" s="416"/>
      <c r="AR167" s="416"/>
      <c r="AS167" s="417"/>
      <c r="AT167" s="417"/>
      <c r="AU167" s="417"/>
      <c r="AV167" s="417"/>
      <c r="AW167" s="417"/>
    </row>
    <row r="168" spans="1:49" s="418" customFormat="1" ht="11.4" hidden="1" x14ac:dyDescent="0.4">
      <c r="A168" s="205" t="s">
        <v>288</v>
      </c>
      <c r="B168" s="324"/>
      <c r="C168" s="324"/>
      <c r="D168" s="324"/>
      <c r="E168" s="325"/>
      <c r="F168" s="324"/>
      <c r="G168" s="324"/>
      <c r="H168" s="324"/>
      <c r="I168" s="325"/>
      <c r="J168" s="324"/>
      <c r="K168" s="324"/>
      <c r="L168" s="324"/>
      <c r="M168" s="325"/>
      <c r="N168" s="324"/>
      <c r="O168" s="324">
        <f t="shared" si="83"/>
        <v>0</v>
      </c>
      <c r="P168" s="324">
        <f t="shared" si="83"/>
        <v>0</v>
      </c>
      <c r="Q168" s="325">
        <f t="shared" si="83"/>
        <v>0</v>
      </c>
      <c r="R168" s="324">
        <f t="shared" si="83"/>
        <v>0</v>
      </c>
      <c r="S168" s="324">
        <f t="shared" si="83"/>
        <v>0</v>
      </c>
      <c r="T168" s="324">
        <f t="shared" si="83"/>
        <v>0</v>
      </c>
      <c r="U168" s="325">
        <f t="shared" si="83"/>
        <v>0</v>
      </c>
      <c r="V168" s="324">
        <f t="shared" si="83"/>
        <v>0</v>
      </c>
      <c r="W168" s="324">
        <f t="shared" si="83"/>
        <v>0</v>
      </c>
      <c r="X168" s="324">
        <f t="shared" si="83"/>
        <v>0</v>
      </c>
      <c r="Y168" s="325">
        <f t="shared" si="83"/>
        <v>0</v>
      </c>
      <c r="Z168" s="419"/>
      <c r="AA168" s="419"/>
      <c r="AB168" s="73"/>
      <c r="AC168" s="73"/>
      <c r="AD168" s="73"/>
      <c r="AE168" s="73"/>
      <c r="AF168" s="72"/>
      <c r="AG168" s="72"/>
      <c r="AH168" s="73"/>
      <c r="AI168" s="73"/>
      <c r="AJ168" s="73"/>
      <c r="AK168" s="73"/>
      <c r="AL168" s="73"/>
      <c r="AM168" s="73"/>
      <c r="AN168" s="73"/>
      <c r="AO168" s="73"/>
      <c r="AP168" s="415"/>
      <c r="AQ168" s="416"/>
      <c r="AR168" s="416"/>
      <c r="AS168" s="417"/>
      <c r="AT168" s="417"/>
      <c r="AU168" s="417"/>
      <c r="AV168" s="417"/>
      <c r="AW168" s="417"/>
    </row>
    <row r="169" spans="1:49" s="418" customFormat="1" ht="11.4" hidden="1" x14ac:dyDescent="0.4">
      <c r="A169" s="205" t="s">
        <v>279</v>
      </c>
      <c r="B169" s="324"/>
      <c r="C169" s="324"/>
      <c r="D169" s="324"/>
      <c r="E169" s="325"/>
      <c r="F169" s="324"/>
      <c r="G169" s="324"/>
      <c r="H169" s="324"/>
      <c r="I169" s="325"/>
      <c r="J169" s="324"/>
      <c r="K169" s="324"/>
      <c r="L169" s="324"/>
      <c r="M169" s="325"/>
      <c r="N169" s="324"/>
      <c r="O169" s="324">
        <f t="shared" si="83"/>
        <v>0</v>
      </c>
      <c r="P169" s="324">
        <f t="shared" si="83"/>
        <v>0</v>
      </c>
      <c r="Q169" s="325">
        <f t="shared" si="83"/>
        <v>0</v>
      </c>
      <c r="R169" s="324">
        <f t="shared" si="83"/>
        <v>0</v>
      </c>
      <c r="S169" s="324">
        <f t="shared" si="83"/>
        <v>0</v>
      </c>
      <c r="T169" s="324">
        <f t="shared" si="83"/>
        <v>0</v>
      </c>
      <c r="U169" s="325">
        <f t="shared" si="83"/>
        <v>0</v>
      </c>
      <c r="V169" s="324">
        <f t="shared" si="83"/>
        <v>0</v>
      </c>
      <c r="W169" s="324">
        <f t="shared" si="83"/>
        <v>0</v>
      </c>
      <c r="X169" s="324">
        <f t="shared" si="83"/>
        <v>0</v>
      </c>
      <c r="Y169" s="325">
        <f t="shared" si="83"/>
        <v>0</v>
      </c>
      <c r="Z169" s="419"/>
      <c r="AA169" s="419"/>
      <c r="AB169" s="73"/>
      <c r="AC169" s="73"/>
      <c r="AD169" s="73"/>
      <c r="AE169" s="73"/>
      <c r="AF169" s="72"/>
      <c r="AG169" s="72"/>
      <c r="AH169" s="73"/>
      <c r="AI169" s="73"/>
      <c r="AJ169" s="73"/>
      <c r="AK169" s="73"/>
      <c r="AL169" s="73"/>
      <c r="AM169" s="73"/>
      <c r="AN169" s="73"/>
      <c r="AO169" s="73"/>
      <c r="AP169" s="415"/>
      <c r="AQ169" s="416"/>
      <c r="AR169" s="416"/>
      <c r="AS169" s="417"/>
      <c r="AT169" s="417"/>
      <c r="AU169" s="417"/>
      <c r="AV169" s="417"/>
      <c r="AW169" s="417"/>
    </row>
    <row r="170" spans="1:49" s="418" customFormat="1" ht="11.4" hidden="1" x14ac:dyDescent="0.4">
      <c r="A170" s="335"/>
      <c r="B170" s="324"/>
      <c r="C170" s="324"/>
      <c r="D170" s="324"/>
      <c r="E170" s="325"/>
      <c r="F170" s="324"/>
      <c r="G170" s="324"/>
      <c r="H170" s="324"/>
      <c r="I170" s="325"/>
      <c r="J170" s="324"/>
      <c r="K170" s="324"/>
      <c r="L170" s="324"/>
      <c r="M170" s="325"/>
      <c r="N170" s="324"/>
      <c r="O170" s="324"/>
      <c r="P170" s="324"/>
      <c r="Q170" s="325"/>
      <c r="R170" s="324"/>
      <c r="S170" s="324"/>
      <c r="T170" s="324"/>
      <c r="U170" s="325"/>
      <c r="V170" s="324"/>
      <c r="W170" s="324"/>
      <c r="X170" s="324"/>
      <c r="Y170" s="325"/>
      <c r="Z170" s="419"/>
      <c r="AA170" s="419"/>
      <c r="AB170" s="73"/>
      <c r="AC170" s="73"/>
      <c r="AD170" s="73"/>
      <c r="AE170" s="73"/>
      <c r="AF170" s="72"/>
      <c r="AG170" s="72"/>
      <c r="AH170" s="73"/>
      <c r="AI170" s="73"/>
      <c r="AJ170" s="73"/>
      <c r="AK170" s="73"/>
      <c r="AL170" s="73"/>
      <c r="AM170" s="73"/>
      <c r="AN170" s="73"/>
      <c r="AO170" s="73"/>
      <c r="AP170" s="415"/>
      <c r="AQ170" s="416"/>
      <c r="AR170" s="416"/>
      <c r="AS170" s="417"/>
      <c r="AT170" s="417"/>
      <c r="AU170" s="417"/>
      <c r="AV170" s="417"/>
      <c r="AW170" s="417"/>
    </row>
    <row r="171" spans="1:49" s="418" customFormat="1" ht="11.4" hidden="1" x14ac:dyDescent="0.4">
      <c r="A171" s="346" t="s">
        <v>308</v>
      </c>
      <c r="B171" s="324"/>
      <c r="C171" s="324"/>
      <c r="D171" s="324"/>
      <c r="E171" s="325"/>
      <c r="F171" s="324"/>
      <c r="G171" s="324"/>
      <c r="H171" s="324"/>
      <c r="I171" s="325"/>
      <c r="J171" s="324"/>
      <c r="K171" s="324"/>
      <c r="L171" s="324"/>
      <c r="M171" s="325"/>
      <c r="N171" s="324"/>
      <c r="O171" s="324"/>
      <c r="P171" s="324"/>
      <c r="Q171" s="325"/>
      <c r="R171" s="324"/>
      <c r="S171" s="324"/>
      <c r="T171" s="324"/>
      <c r="U171" s="325"/>
      <c r="V171" s="324"/>
      <c r="W171" s="324"/>
      <c r="X171" s="324"/>
      <c r="Y171" s="325"/>
      <c r="Z171" s="419"/>
      <c r="AA171" s="419"/>
      <c r="AB171" s="73"/>
      <c r="AC171" s="73"/>
      <c r="AD171" s="73"/>
      <c r="AE171" s="73"/>
      <c r="AF171" s="72"/>
      <c r="AG171" s="72"/>
      <c r="AH171" s="73"/>
      <c r="AI171" s="73"/>
      <c r="AJ171" s="73"/>
      <c r="AK171" s="73"/>
      <c r="AL171" s="73"/>
      <c r="AM171" s="73"/>
      <c r="AN171" s="73"/>
      <c r="AO171" s="73"/>
      <c r="AP171" s="415"/>
      <c r="AQ171" s="416"/>
      <c r="AR171" s="416"/>
      <c r="AS171" s="417"/>
      <c r="AT171" s="417"/>
      <c r="AU171" s="417"/>
      <c r="AV171" s="417"/>
      <c r="AW171" s="417"/>
    </row>
    <row r="172" spans="1:49" s="418" customFormat="1" ht="11.4" hidden="1" x14ac:dyDescent="0.4">
      <c r="A172" s="205" t="s">
        <v>265</v>
      </c>
      <c r="B172" s="324"/>
      <c r="C172" s="324"/>
      <c r="D172" s="324"/>
      <c r="E172" s="325"/>
      <c r="F172" s="324"/>
      <c r="G172" s="324"/>
      <c r="H172" s="324"/>
      <c r="I172" s="325"/>
      <c r="J172" s="324"/>
      <c r="K172" s="324"/>
      <c r="L172" s="324"/>
      <c r="M172" s="325"/>
      <c r="N172" s="324"/>
      <c r="O172" s="324">
        <f t="shared" ref="O172:Y177" si="84">+O156-O203</f>
        <v>97.382656367554347</v>
      </c>
      <c r="P172" s="324">
        <f t="shared" si="84"/>
        <v>97.382656367554347</v>
      </c>
      <c r="Q172" s="325">
        <f t="shared" si="84"/>
        <v>97.382656367554347</v>
      </c>
      <c r="R172" s="324">
        <f t="shared" si="84"/>
        <v>73.403003240203276</v>
      </c>
      <c r="S172" s="324">
        <f t="shared" si="84"/>
        <v>73.403003240203276</v>
      </c>
      <c r="T172" s="324">
        <f t="shared" si="84"/>
        <v>73.403003240203276</v>
      </c>
      <c r="U172" s="325">
        <f t="shared" si="84"/>
        <v>73.403003240203276</v>
      </c>
      <c r="V172" s="324">
        <f t="shared" si="84"/>
        <v>53.850713142997193</v>
      </c>
      <c r="W172" s="324">
        <f t="shared" si="84"/>
        <v>53.850713142997193</v>
      </c>
      <c r="X172" s="324">
        <f t="shared" si="84"/>
        <v>53.850713142997193</v>
      </c>
      <c r="Y172" s="325">
        <f t="shared" si="84"/>
        <v>53.850713142997193</v>
      </c>
      <c r="Z172" s="419"/>
      <c r="AA172" s="419"/>
      <c r="AB172" s="73"/>
      <c r="AC172" s="73"/>
      <c r="AD172" s="73"/>
      <c r="AE172" s="73"/>
      <c r="AF172" s="72"/>
      <c r="AG172" s="72"/>
      <c r="AH172" s="73"/>
      <c r="AI172" s="73"/>
      <c r="AJ172" s="73"/>
      <c r="AK172" s="73"/>
      <c r="AL172" s="73"/>
      <c r="AM172" s="73"/>
      <c r="AN172" s="73"/>
      <c r="AO172" s="73"/>
      <c r="AP172" s="415"/>
      <c r="AQ172" s="416"/>
      <c r="AR172" s="416"/>
      <c r="AS172" s="417"/>
      <c r="AT172" s="417"/>
      <c r="AU172" s="417"/>
      <c r="AV172" s="417"/>
      <c r="AW172" s="417"/>
    </row>
    <row r="173" spans="1:49" s="418" customFormat="1" ht="11.4" hidden="1" x14ac:dyDescent="0.4">
      <c r="A173" s="205" t="s">
        <v>275</v>
      </c>
      <c r="B173" s="324"/>
      <c r="C173" s="324"/>
      <c r="D173" s="324"/>
      <c r="E173" s="325"/>
      <c r="F173" s="324"/>
      <c r="G173" s="324"/>
      <c r="H173" s="324"/>
      <c r="I173" s="325"/>
      <c r="J173" s="324"/>
      <c r="K173" s="324"/>
      <c r="L173" s="324"/>
      <c r="M173" s="325"/>
      <c r="N173" s="324"/>
      <c r="O173" s="324">
        <f t="shared" si="84"/>
        <v>199.433880351749</v>
      </c>
      <c r="P173" s="324">
        <f t="shared" si="84"/>
        <v>199.433880351749</v>
      </c>
      <c r="Q173" s="325">
        <f t="shared" si="84"/>
        <v>199.433880351749</v>
      </c>
      <c r="R173" s="324">
        <f t="shared" si="84"/>
        <v>193.45086394119653</v>
      </c>
      <c r="S173" s="324">
        <f t="shared" si="84"/>
        <v>156.35079482590083</v>
      </c>
      <c r="T173" s="324">
        <f t="shared" si="84"/>
        <v>156.35079482590083</v>
      </c>
      <c r="U173" s="325">
        <f t="shared" si="84"/>
        <v>156.35079482590083</v>
      </c>
      <c r="V173" s="324">
        <f t="shared" si="84"/>
        <v>155.99527098112378</v>
      </c>
      <c r="W173" s="324">
        <f t="shared" si="84"/>
        <v>105.01696556150131</v>
      </c>
      <c r="X173" s="324">
        <f t="shared" si="84"/>
        <v>110.28612625027131</v>
      </c>
      <c r="Y173" s="325">
        <f t="shared" si="84"/>
        <v>115.4499037252659</v>
      </c>
      <c r="Z173" s="419"/>
      <c r="AA173" s="419"/>
      <c r="AB173" s="73"/>
      <c r="AC173" s="73"/>
      <c r="AD173" s="73"/>
      <c r="AE173" s="73"/>
      <c r="AF173" s="72"/>
      <c r="AG173" s="72"/>
      <c r="AH173" s="73"/>
      <c r="AI173" s="73"/>
      <c r="AJ173" s="73"/>
      <c r="AK173" s="73"/>
      <c r="AL173" s="73"/>
      <c r="AM173" s="73"/>
      <c r="AN173" s="73"/>
      <c r="AO173" s="73"/>
      <c r="AP173" s="415"/>
      <c r="AQ173" s="416"/>
      <c r="AR173" s="416"/>
      <c r="AS173" s="417"/>
      <c r="AT173" s="417"/>
      <c r="AU173" s="417"/>
      <c r="AV173" s="417"/>
      <c r="AW173" s="417"/>
    </row>
    <row r="174" spans="1:49" s="418" customFormat="1" ht="11.4" hidden="1" x14ac:dyDescent="0.4">
      <c r="A174" s="205" t="s">
        <v>276</v>
      </c>
      <c r="B174" s="324"/>
      <c r="C174" s="324"/>
      <c r="D174" s="324"/>
      <c r="E174" s="325"/>
      <c r="F174" s="324"/>
      <c r="G174" s="324"/>
      <c r="H174" s="324"/>
      <c r="I174" s="325"/>
      <c r="J174" s="324"/>
      <c r="K174" s="324"/>
      <c r="L174" s="324"/>
      <c r="M174" s="325"/>
      <c r="N174" s="324"/>
      <c r="O174" s="324">
        <f t="shared" si="84"/>
        <v>223.12799999999999</v>
      </c>
      <c r="P174" s="324">
        <f t="shared" si="84"/>
        <v>223.12799999999999</v>
      </c>
      <c r="Q174" s="325">
        <f t="shared" si="84"/>
        <v>223.12799999999999</v>
      </c>
      <c r="R174" s="324">
        <f t="shared" si="84"/>
        <v>211.9716</v>
      </c>
      <c r="S174" s="324">
        <f t="shared" si="84"/>
        <v>188.52444</v>
      </c>
      <c r="T174" s="324">
        <f t="shared" si="84"/>
        <v>188.52444</v>
      </c>
      <c r="U174" s="325">
        <f t="shared" si="84"/>
        <v>188.52444</v>
      </c>
      <c r="V174" s="324">
        <f t="shared" si="84"/>
        <v>175.21870680000001</v>
      </c>
      <c r="W174" s="324">
        <f t="shared" si="84"/>
        <v>152.02121025599999</v>
      </c>
      <c r="X174" s="324">
        <f t="shared" si="84"/>
        <v>153.75224815343998</v>
      </c>
      <c r="Y174" s="325">
        <f t="shared" si="84"/>
        <v>155.46597567190557</v>
      </c>
      <c r="Z174" s="419"/>
      <c r="AA174" s="419"/>
      <c r="AB174" s="73"/>
      <c r="AC174" s="73"/>
      <c r="AD174" s="73"/>
      <c r="AE174" s="73"/>
      <c r="AF174" s="72"/>
      <c r="AG174" s="72"/>
      <c r="AH174" s="73"/>
      <c r="AI174" s="73"/>
      <c r="AJ174" s="73"/>
      <c r="AK174" s="73"/>
      <c r="AL174" s="73"/>
      <c r="AM174" s="73"/>
      <c r="AN174" s="73"/>
      <c r="AO174" s="73"/>
      <c r="AP174" s="415"/>
      <c r="AQ174" s="416"/>
      <c r="AR174" s="416"/>
      <c r="AS174" s="417"/>
      <c r="AT174" s="417"/>
      <c r="AU174" s="417"/>
      <c r="AV174" s="417"/>
      <c r="AW174" s="417"/>
    </row>
    <row r="175" spans="1:49" s="418" customFormat="1" ht="11.4" hidden="1" x14ac:dyDescent="0.4">
      <c r="A175" s="205" t="s">
        <v>277</v>
      </c>
      <c r="B175" s="324"/>
      <c r="C175" s="324"/>
      <c r="D175" s="324"/>
      <c r="E175" s="325"/>
      <c r="F175" s="324"/>
      <c r="G175" s="324"/>
      <c r="H175" s="324"/>
      <c r="I175" s="325"/>
      <c r="J175" s="324"/>
      <c r="K175" s="324"/>
      <c r="L175" s="324"/>
      <c r="M175" s="325"/>
      <c r="N175" s="324"/>
      <c r="O175" s="324">
        <f t="shared" si="84"/>
        <v>127.24754397314064</v>
      </c>
      <c r="P175" s="324">
        <f t="shared" si="84"/>
        <v>127.24754397314064</v>
      </c>
      <c r="Q175" s="325">
        <f t="shared" si="84"/>
        <v>127.24754397314064</v>
      </c>
      <c r="R175" s="324">
        <f t="shared" si="84"/>
        <v>115.77254397314061</v>
      </c>
      <c r="S175" s="324">
        <f t="shared" si="84"/>
        <v>69.872543973140637</v>
      </c>
      <c r="T175" s="324">
        <f t="shared" si="84"/>
        <v>69.872543973140637</v>
      </c>
      <c r="U175" s="325">
        <f t="shared" si="84"/>
        <v>69.872543973140637</v>
      </c>
      <c r="V175" s="324">
        <f t="shared" si="84"/>
        <v>71.027617653946436</v>
      </c>
      <c r="W175" s="324">
        <f t="shared" si="84"/>
        <v>33.713265300867505</v>
      </c>
      <c r="X175" s="324">
        <f t="shared" si="84"/>
        <v>38.566124994850156</v>
      </c>
      <c r="Y175" s="325">
        <f t="shared" si="84"/>
        <v>43.321927494953144</v>
      </c>
      <c r="Z175" s="419"/>
      <c r="AA175" s="419"/>
      <c r="AB175" s="73"/>
      <c r="AC175" s="73"/>
      <c r="AD175" s="73"/>
      <c r="AE175" s="73"/>
      <c r="AF175" s="72"/>
      <c r="AG175" s="72"/>
      <c r="AH175" s="73"/>
      <c r="AI175" s="73"/>
      <c r="AJ175" s="73"/>
      <c r="AK175" s="73"/>
      <c r="AL175" s="73"/>
      <c r="AM175" s="73"/>
      <c r="AN175" s="73"/>
      <c r="AO175" s="73"/>
      <c r="AP175" s="415"/>
      <c r="AQ175" s="416"/>
      <c r="AR175" s="416"/>
      <c r="AS175" s="417"/>
      <c r="AT175" s="417"/>
      <c r="AU175" s="417"/>
      <c r="AV175" s="417"/>
      <c r="AW175" s="417"/>
    </row>
    <row r="176" spans="1:49" s="418" customFormat="1" ht="11.4" hidden="1" x14ac:dyDescent="0.4">
      <c r="A176" s="205" t="s">
        <v>288</v>
      </c>
      <c r="B176" s="324"/>
      <c r="C176" s="324"/>
      <c r="D176" s="324"/>
      <c r="E176" s="325"/>
      <c r="F176" s="324"/>
      <c r="G176" s="324"/>
      <c r="H176" s="324"/>
      <c r="I176" s="325"/>
      <c r="J176" s="324"/>
      <c r="K176" s="324"/>
      <c r="L176" s="324"/>
      <c r="M176" s="325"/>
      <c r="N176" s="324"/>
      <c r="O176" s="324">
        <f t="shared" si="84"/>
        <v>517</v>
      </c>
      <c r="P176" s="324">
        <f t="shared" si="84"/>
        <v>517</v>
      </c>
      <c r="Q176" s="325">
        <f t="shared" si="84"/>
        <v>517</v>
      </c>
      <c r="R176" s="324">
        <f t="shared" si="84"/>
        <v>427.15</v>
      </c>
      <c r="S176" s="324">
        <f t="shared" si="84"/>
        <v>435.63499999999999</v>
      </c>
      <c r="T176" s="324">
        <f t="shared" si="84"/>
        <v>435.63499999999999</v>
      </c>
      <c r="U176" s="325">
        <f t="shared" si="84"/>
        <v>435.63499999999999</v>
      </c>
      <c r="V176" s="324">
        <f t="shared" si="84"/>
        <v>379.02420000000006</v>
      </c>
      <c r="W176" s="324">
        <f t="shared" si="84"/>
        <v>372.63826399999994</v>
      </c>
      <c r="X176" s="324">
        <f t="shared" si="84"/>
        <v>375.3990726799999</v>
      </c>
      <c r="Y176" s="325">
        <f t="shared" si="84"/>
        <v>375.3990726799999</v>
      </c>
      <c r="Z176" s="419"/>
      <c r="AA176" s="419"/>
      <c r="AB176" s="73"/>
      <c r="AC176" s="73"/>
      <c r="AD176" s="73"/>
      <c r="AE176" s="73"/>
      <c r="AF176" s="72"/>
      <c r="AG176" s="72"/>
      <c r="AH176" s="73"/>
      <c r="AI176" s="73"/>
      <c r="AJ176" s="73"/>
      <c r="AK176" s="73"/>
      <c r="AL176" s="73"/>
      <c r="AM176" s="73"/>
      <c r="AN176" s="73"/>
      <c r="AO176" s="73"/>
      <c r="AP176" s="415"/>
      <c r="AQ176" s="416"/>
      <c r="AR176" s="416"/>
      <c r="AS176" s="417"/>
      <c r="AT176" s="417"/>
      <c r="AU176" s="417"/>
      <c r="AV176" s="417"/>
      <c r="AW176" s="417"/>
    </row>
    <row r="177" spans="1:49" s="418" customFormat="1" ht="11.4" hidden="1" x14ac:dyDescent="0.4">
      <c r="A177" s="205" t="s">
        <v>279</v>
      </c>
      <c r="B177" s="324"/>
      <c r="C177" s="324"/>
      <c r="D177" s="324"/>
      <c r="E177" s="325"/>
      <c r="F177" s="324"/>
      <c r="G177" s="324"/>
      <c r="H177" s="324"/>
      <c r="I177" s="325"/>
      <c r="J177" s="324"/>
      <c r="K177" s="324"/>
      <c r="L177" s="324"/>
      <c r="M177" s="325"/>
      <c r="N177" s="324"/>
      <c r="O177" s="324">
        <f t="shared" si="84"/>
        <v>455</v>
      </c>
      <c r="P177" s="324">
        <f t="shared" si="84"/>
        <v>455</v>
      </c>
      <c r="Q177" s="325">
        <f t="shared" si="84"/>
        <v>455</v>
      </c>
      <c r="R177" s="324">
        <f t="shared" si="84"/>
        <v>442.70000000000005</v>
      </c>
      <c r="S177" s="324">
        <f t="shared" si="84"/>
        <v>436.43</v>
      </c>
      <c r="T177" s="324">
        <f t="shared" si="84"/>
        <v>436.43</v>
      </c>
      <c r="U177" s="325">
        <f t="shared" si="84"/>
        <v>436.43</v>
      </c>
      <c r="V177" s="324">
        <f t="shared" si="84"/>
        <v>385.36559999999997</v>
      </c>
      <c r="W177" s="324">
        <f t="shared" si="84"/>
        <v>372.30135199999995</v>
      </c>
      <c r="X177" s="324">
        <f t="shared" si="84"/>
        <v>372.30135199999995</v>
      </c>
      <c r="Y177" s="325">
        <f t="shared" si="84"/>
        <v>372.30135199999995</v>
      </c>
      <c r="Z177" s="419"/>
      <c r="AA177" s="419"/>
      <c r="AB177" s="73"/>
      <c r="AC177" s="73"/>
      <c r="AD177" s="73"/>
      <c r="AE177" s="73"/>
      <c r="AF177" s="72"/>
      <c r="AG177" s="72"/>
      <c r="AH177" s="73"/>
      <c r="AI177" s="73"/>
      <c r="AJ177" s="73"/>
      <c r="AK177" s="73"/>
      <c r="AL177" s="73"/>
      <c r="AM177" s="73"/>
      <c r="AN177" s="73"/>
      <c r="AO177" s="73"/>
      <c r="AP177" s="415"/>
      <c r="AQ177" s="416"/>
      <c r="AR177" s="416"/>
      <c r="AS177" s="417"/>
      <c r="AT177" s="417"/>
      <c r="AU177" s="417"/>
      <c r="AV177" s="417"/>
      <c r="AW177" s="417"/>
    </row>
    <row r="178" spans="1:49" s="418" customFormat="1" ht="11.4" hidden="1" x14ac:dyDescent="0.4">
      <c r="A178" s="335"/>
      <c r="B178" s="324"/>
      <c r="C178" s="324"/>
      <c r="D178" s="324"/>
      <c r="E178" s="325"/>
      <c r="F178" s="324"/>
      <c r="G178" s="324"/>
      <c r="H178" s="324"/>
      <c r="I178" s="325"/>
      <c r="J178" s="324"/>
      <c r="K178" s="324"/>
      <c r="L178" s="324"/>
      <c r="M178" s="325"/>
      <c r="N178" s="324"/>
      <c r="O178" s="324"/>
      <c r="P178" s="324"/>
      <c r="Q178" s="325"/>
      <c r="R178" s="324"/>
      <c r="S178" s="324"/>
      <c r="T178" s="324"/>
      <c r="U178" s="325"/>
      <c r="V178" s="324"/>
      <c r="W178" s="324"/>
      <c r="X178" s="324"/>
      <c r="Y178" s="325"/>
      <c r="Z178" s="419"/>
      <c r="AA178" s="419"/>
      <c r="AB178" s="73"/>
      <c r="AC178" s="73"/>
      <c r="AD178" s="73"/>
      <c r="AE178" s="73"/>
      <c r="AF178" s="72"/>
      <c r="AG178" s="72"/>
      <c r="AH178" s="73"/>
      <c r="AI178" s="73"/>
      <c r="AJ178" s="73"/>
      <c r="AK178" s="73"/>
      <c r="AL178" s="73"/>
      <c r="AM178" s="73"/>
      <c r="AN178" s="73"/>
      <c r="AO178" s="73"/>
      <c r="AP178" s="415"/>
      <c r="AQ178" s="416"/>
      <c r="AR178" s="416"/>
      <c r="AS178" s="417"/>
      <c r="AT178" s="417"/>
      <c r="AU178" s="417"/>
      <c r="AV178" s="417"/>
      <c r="AW178" s="417"/>
    </row>
    <row r="179" spans="1:49" s="418" customFormat="1" ht="11.4" hidden="1" x14ac:dyDescent="0.4">
      <c r="A179" s="346" t="s">
        <v>309</v>
      </c>
      <c r="B179" s="324"/>
      <c r="C179" s="324"/>
      <c r="D179" s="324"/>
      <c r="E179" s="325"/>
      <c r="F179" s="324"/>
      <c r="G179" s="324"/>
      <c r="H179" s="324"/>
      <c r="I179" s="325"/>
      <c r="J179" s="324"/>
      <c r="K179" s="324"/>
      <c r="L179" s="324"/>
      <c r="M179" s="325"/>
      <c r="N179" s="324"/>
      <c r="O179" s="324"/>
      <c r="P179" s="324"/>
      <c r="Q179" s="325"/>
      <c r="R179" s="324"/>
      <c r="S179" s="324"/>
      <c r="T179" s="324"/>
      <c r="U179" s="325"/>
      <c r="V179" s="324"/>
      <c r="W179" s="324"/>
      <c r="X179" s="324"/>
      <c r="Y179" s="325"/>
      <c r="Z179" s="419"/>
      <c r="AA179" s="419"/>
      <c r="AB179" s="73"/>
      <c r="AC179" s="73"/>
      <c r="AD179" s="73"/>
      <c r="AE179" s="73"/>
      <c r="AF179" s="72"/>
      <c r="AG179" s="72"/>
      <c r="AH179" s="73"/>
      <c r="AI179" s="73"/>
      <c r="AJ179" s="73"/>
      <c r="AK179" s="73"/>
      <c r="AL179" s="73"/>
      <c r="AM179" s="73"/>
      <c r="AN179" s="73"/>
      <c r="AO179" s="73"/>
      <c r="AP179" s="415"/>
      <c r="AQ179" s="416"/>
      <c r="AR179" s="416"/>
      <c r="AS179" s="417"/>
      <c r="AT179" s="417"/>
      <c r="AU179" s="417"/>
      <c r="AV179" s="417"/>
      <c r="AW179" s="417"/>
    </row>
    <row r="180" spans="1:49" s="418" customFormat="1" ht="11.4" hidden="1" x14ac:dyDescent="0.4">
      <c r="A180" s="205" t="s">
        <v>265</v>
      </c>
      <c r="B180" s="324"/>
      <c r="C180" s="324"/>
      <c r="D180" s="324"/>
      <c r="E180" s="325"/>
      <c r="F180" s="324"/>
      <c r="G180" s="324"/>
      <c r="H180" s="324"/>
      <c r="I180" s="325"/>
      <c r="J180" s="324"/>
      <c r="K180" s="324"/>
      <c r="L180" s="324"/>
      <c r="M180" s="325"/>
      <c r="N180" s="324"/>
      <c r="O180" s="90">
        <f t="shared" ref="O180:Y185" si="85">+O172/O156</f>
        <v>0.35360441673040788</v>
      </c>
      <c r="P180" s="90">
        <f t="shared" si="85"/>
        <v>0.35360441673040788</v>
      </c>
      <c r="Q180" s="144">
        <f t="shared" si="85"/>
        <v>0.35360441673040788</v>
      </c>
      <c r="R180" s="90">
        <f t="shared" si="85"/>
        <v>0.29614703155088867</v>
      </c>
      <c r="S180" s="90">
        <f t="shared" si="85"/>
        <v>0.29614703155088867</v>
      </c>
      <c r="T180" s="90">
        <f t="shared" si="85"/>
        <v>0.29614703155088867</v>
      </c>
      <c r="U180" s="144">
        <f t="shared" si="85"/>
        <v>0.29614703155088867</v>
      </c>
      <c r="V180" s="90">
        <f t="shared" si="85"/>
        <v>0.24140291178262452</v>
      </c>
      <c r="W180" s="90">
        <f t="shared" si="85"/>
        <v>0.24140291178262452</v>
      </c>
      <c r="X180" s="90">
        <f t="shared" si="85"/>
        <v>0.24140291178262452</v>
      </c>
      <c r="Y180" s="144">
        <f t="shared" si="85"/>
        <v>0.24140291178262452</v>
      </c>
      <c r="Z180" s="419"/>
      <c r="AA180" s="419"/>
      <c r="AB180" s="73"/>
      <c r="AC180" s="73"/>
      <c r="AD180" s="73"/>
      <c r="AE180" s="73"/>
      <c r="AF180" s="72"/>
      <c r="AG180" s="72"/>
      <c r="AH180" s="73"/>
      <c r="AI180" s="73"/>
      <c r="AJ180" s="73"/>
      <c r="AK180" s="73"/>
      <c r="AL180" s="73"/>
      <c r="AM180" s="73"/>
      <c r="AN180" s="73"/>
      <c r="AO180" s="73"/>
      <c r="AP180" s="415"/>
      <c r="AQ180" s="416"/>
      <c r="AR180" s="416"/>
      <c r="AS180" s="417"/>
      <c r="AT180" s="417"/>
      <c r="AU180" s="417"/>
      <c r="AV180" s="417"/>
      <c r="AW180" s="417"/>
    </row>
    <row r="181" spans="1:49" s="418" customFormat="1" ht="11.4" hidden="1" x14ac:dyDescent="0.4">
      <c r="A181" s="205" t="s">
        <v>275</v>
      </c>
      <c r="B181" s="324"/>
      <c r="C181" s="324"/>
      <c r="D181" s="324"/>
      <c r="E181" s="325"/>
      <c r="F181" s="324"/>
      <c r="G181" s="324"/>
      <c r="H181" s="324"/>
      <c r="I181" s="325"/>
      <c r="J181" s="324"/>
      <c r="K181" s="324"/>
      <c r="L181" s="324"/>
      <c r="M181" s="325"/>
      <c r="N181" s="324"/>
      <c r="O181" s="90">
        <f t="shared" si="85"/>
        <v>0.39104682421911569</v>
      </c>
      <c r="P181" s="90">
        <f t="shared" si="85"/>
        <v>0.39104682421911569</v>
      </c>
      <c r="Q181" s="144">
        <f t="shared" si="85"/>
        <v>0.39104682421911569</v>
      </c>
      <c r="R181" s="90">
        <f t="shared" si="85"/>
        <v>0.39104682421911569</v>
      </c>
      <c r="S181" s="90">
        <f t="shared" si="85"/>
        <v>0.36067080698016341</v>
      </c>
      <c r="T181" s="90">
        <f t="shared" si="85"/>
        <v>0.36067080698016341</v>
      </c>
      <c r="U181" s="144">
        <f t="shared" si="85"/>
        <v>0.36067080698016341</v>
      </c>
      <c r="V181" s="90">
        <f t="shared" si="85"/>
        <v>0.36719457425587598</v>
      </c>
      <c r="W181" s="90">
        <f t="shared" si="85"/>
        <v>0.28500431660628622</v>
      </c>
      <c r="X181" s="90">
        <f t="shared" si="85"/>
        <v>0.29930423027416059</v>
      </c>
      <c r="Y181" s="144">
        <f t="shared" si="85"/>
        <v>0.31331814566867738</v>
      </c>
      <c r="Z181" s="419"/>
      <c r="AA181" s="419"/>
      <c r="AB181" s="73"/>
      <c r="AC181" s="73"/>
      <c r="AD181" s="73"/>
      <c r="AE181" s="73"/>
      <c r="AF181" s="72"/>
      <c r="AG181" s="72"/>
      <c r="AH181" s="73"/>
      <c r="AI181" s="73"/>
      <c r="AJ181" s="73"/>
      <c r="AK181" s="73"/>
      <c r="AL181" s="73"/>
      <c r="AM181" s="73"/>
      <c r="AN181" s="73"/>
      <c r="AO181" s="73"/>
      <c r="AP181" s="415"/>
      <c r="AQ181" s="416"/>
      <c r="AR181" s="416"/>
      <c r="AS181" s="417"/>
      <c r="AT181" s="417"/>
      <c r="AU181" s="417"/>
      <c r="AV181" s="417"/>
      <c r="AW181" s="417"/>
    </row>
    <row r="182" spans="1:49" s="418" customFormat="1" ht="11.4" hidden="1" x14ac:dyDescent="0.4">
      <c r="A182" s="205" t="s">
        <v>276</v>
      </c>
      <c r="B182" s="324"/>
      <c r="C182" s="324"/>
      <c r="D182" s="324"/>
      <c r="E182" s="325"/>
      <c r="F182" s="324"/>
      <c r="G182" s="324"/>
      <c r="H182" s="324"/>
      <c r="I182" s="325"/>
      <c r="J182" s="324"/>
      <c r="K182" s="324"/>
      <c r="L182" s="324"/>
      <c r="M182" s="325"/>
      <c r="N182" s="324"/>
      <c r="O182" s="90">
        <f t="shared" si="85"/>
        <v>0.49583999999999995</v>
      </c>
      <c r="P182" s="90">
        <f t="shared" si="85"/>
        <v>0.49583999999999995</v>
      </c>
      <c r="Q182" s="144">
        <f t="shared" si="85"/>
        <v>0.49583999999999995</v>
      </c>
      <c r="R182" s="90">
        <f t="shared" si="85"/>
        <v>0.49584</v>
      </c>
      <c r="S182" s="90">
        <f t="shared" si="85"/>
        <v>0.49287435294117649</v>
      </c>
      <c r="T182" s="90">
        <f t="shared" si="85"/>
        <v>0.49287435294117649</v>
      </c>
      <c r="U182" s="144">
        <f t="shared" si="85"/>
        <v>0.49287435294117649</v>
      </c>
      <c r="V182" s="90">
        <f t="shared" si="85"/>
        <v>0.48219802352941177</v>
      </c>
      <c r="W182" s="90">
        <f t="shared" si="85"/>
        <v>0.4675777324290657</v>
      </c>
      <c r="X182" s="90">
        <f t="shared" si="85"/>
        <v>0.47290195510477501</v>
      </c>
      <c r="Y182" s="144">
        <f t="shared" si="85"/>
        <v>0.47817293555372725</v>
      </c>
      <c r="Z182" s="419"/>
      <c r="AA182" s="419"/>
      <c r="AB182" s="73"/>
      <c r="AC182" s="73"/>
      <c r="AD182" s="73"/>
      <c r="AE182" s="73"/>
      <c r="AF182" s="72"/>
      <c r="AG182" s="72"/>
      <c r="AH182" s="73"/>
      <c r="AI182" s="73"/>
      <c r="AJ182" s="73"/>
      <c r="AK182" s="73"/>
      <c r="AL182" s="73"/>
      <c r="AM182" s="73"/>
      <c r="AN182" s="73"/>
      <c r="AO182" s="73"/>
      <c r="AP182" s="415"/>
      <c r="AQ182" s="416"/>
      <c r="AR182" s="416"/>
      <c r="AS182" s="417"/>
      <c r="AT182" s="417"/>
      <c r="AU182" s="417"/>
      <c r="AV182" s="417"/>
      <c r="AW182" s="417"/>
    </row>
    <row r="183" spans="1:49" s="418" customFormat="1" ht="11.4" hidden="1" x14ac:dyDescent="0.4">
      <c r="A183" s="205" t="s">
        <v>277</v>
      </c>
      <c r="B183" s="324"/>
      <c r="C183" s="324"/>
      <c r="D183" s="324"/>
      <c r="E183" s="325"/>
      <c r="F183" s="324"/>
      <c r="G183" s="324"/>
      <c r="H183" s="324"/>
      <c r="I183" s="325"/>
      <c r="J183" s="324"/>
      <c r="K183" s="324"/>
      <c r="L183" s="324"/>
      <c r="M183" s="325"/>
      <c r="N183" s="324"/>
      <c r="O183" s="90">
        <f t="shared" si="85"/>
        <v>0.33267331757683827</v>
      </c>
      <c r="P183" s="90">
        <f t="shared" si="85"/>
        <v>0.33267331757683827</v>
      </c>
      <c r="Q183" s="144">
        <f t="shared" si="85"/>
        <v>0.33267331757683827</v>
      </c>
      <c r="R183" s="90">
        <f t="shared" si="85"/>
        <v>0.31203434801735902</v>
      </c>
      <c r="S183" s="90">
        <f t="shared" si="85"/>
        <v>0.21490978538451561</v>
      </c>
      <c r="T183" s="90">
        <f t="shared" si="85"/>
        <v>0.21490978538451561</v>
      </c>
      <c r="U183" s="144">
        <f t="shared" si="85"/>
        <v>0.21490978538451561</v>
      </c>
      <c r="V183" s="90">
        <f t="shared" si="85"/>
        <v>0.22292091002344919</v>
      </c>
      <c r="W183" s="90">
        <f t="shared" si="85"/>
        <v>0.12199204939590658</v>
      </c>
      <c r="X183" s="90">
        <f t="shared" si="85"/>
        <v>0.13955220840798846</v>
      </c>
      <c r="Y183" s="144">
        <f t="shared" si="85"/>
        <v>0.15676116423982864</v>
      </c>
      <c r="Z183" s="419"/>
      <c r="AA183" s="419"/>
      <c r="AB183" s="73"/>
      <c r="AC183" s="73"/>
      <c r="AD183" s="73"/>
      <c r="AE183" s="73"/>
      <c r="AF183" s="72"/>
      <c r="AG183" s="72"/>
      <c r="AH183" s="73"/>
      <c r="AI183" s="73"/>
      <c r="AJ183" s="73"/>
      <c r="AK183" s="73"/>
      <c r="AL183" s="73"/>
      <c r="AM183" s="73"/>
      <c r="AN183" s="73"/>
      <c r="AO183" s="73"/>
      <c r="AP183" s="415"/>
      <c r="AQ183" s="416"/>
      <c r="AR183" s="416"/>
      <c r="AS183" s="417"/>
      <c r="AT183" s="417"/>
      <c r="AU183" s="417"/>
      <c r="AV183" s="417"/>
      <c r="AW183" s="417"/>
    </row>
    <row r="184" spans="1:49" s="418" customFormat="1" ht="11.4" hidden="1" x14ac:dyDescent="0.4">
      <c r="A184" s="205" t="s">
        <v>288</v>
      </c>
      <c r="B184" s="324"/>
      <c r="C184" s="324"/>
      <c r="D184" s="324"/>
      <c r="E184" s="325"/>
      <c r="F184" s="324"/>
      <c r="G184" s="324"/>
      <c r="H184" s="324"/>
      <c r="I184" s="325"/>
      <c r="J184" s="324"/>
      <c r="K184" s="324"/>
      <c r="L184" s="324"/>
      <c r="M184" s="325"/>
      <c r="N184" s="324"/>
      <c r="O184" s="90">
        <f t="shared" si="85"/>
        <v>0.40390625000000002</v>
      </c>
      <c r="P184" s="90">
        <f t="shared" si="85"/>
        <v>0.40390625000000002</v>
      </c>
      <c r="Q184" s="144">
        <f t="shared" si="85"/>
        <v>0.40390625000000002</v>
      </c>
      <c r="R184" s="90">
        <f t="shared" si="85"/>
        <v>0.37078993055555554</v>
      </c>
      <c r="S184" s="90">
        <f t="shared" si="85"/>
        <v>0.40039981617647058</v>
      </c>
      <c r="T184" s="90">
        <f t="shared" si="85"/>
        <v>0.40039981617647058</v>
      </c>
      <c r="U184" s="144">
        <f t="shared" si="85"/>
        <v>0.40039981617647058</v>
      </c>
      <c r="V184" s="90">
        <f t="shared" si="85"/>
        <v>0.38707536764705885</v>
      </c>
      <c r="W184" s="90">
        <f t="shared" si="85"/>
        <v>0.40293929930795841</v>
      </c>
      <c r="X184" s="90">
        <f t="shared" si="85"/>
        <v>0.40592460281141862</v>
      </c>
      <c r="Y184" s="144">
        <f t="shared" si="85"/>
        <v>0.40592460281141862</v>
      </c>
      <c r="Z184" s="419"/>
      <c r="AA184" s="419"/>
      <c r="AB184" s="73"/>
      <c r="AC184" s="73"/>
      <c r="AD184" s="73"/>
      <c r="AE184" s="73"/>
      <c r="AF184" s="72"/>
      <c r="AG184" s="72"/>
      <c r="AH184" s="73"/>
      <c r="AI184" s="73"/>
      <c r="AJ184" s="73"/>
      <c r="AK184" s="73"/>
      <c r="AL184" s="73"/>
      <c r="AM184" s="73"/>
      <c r="AN184" s="73"/>
      <c r="AO184" s="73"/>
      <c r="AP184" s="415"/>
      <c r="AQ184" s="416"/>
      <c r="AR184" s="416"/>
      <c r="AS184" s="417"/>
      <c r="AT184" s="417"/>
      <c r="AU184" s="417"/>
      <c r="AV184" s="417"/>
      <c r="AW184" s="417"/>
    </row>
    <row r="185" spans="1:49" s="418" customFormat="1" ht="11.4" hidden="1" x14ac:dyDescent="0.4">
      <c r="A185" s="205" t="s">
        <v>279</v>
      </c>
      <c r="B185" s="324"/>
      <c r="C185" s="324"/>
      <c r="D185" s="324"/>
      <c r="E185" s="325"/>
      <c r="F185" s="324"/>
      <c r="G185" s="324"/>
      <c r="H185" s="324"/>
      <c r="I185" s="325"/>
      <c r="J185" s="324"/>
      <c r="K185" s="324"/>
      <c r="L185" s="324"/>
      <c r="M185" s="325"/>
      <c r="N185" s="324"/>
      <c r="O185" s="90">
        <f t="shared" si="85"/>
        <v>0.47894736842105262</v>
      </c>
      <c r="P185" s="90">
        <f t="shared" si="85"/>
        <v>0.47894736842105262</v>
      </c>
      <c r="Q185" s="144">
        <f t="shared" si="85"/>
        <v>0.47894736842105262</v>
      </c>
      <c r="R185" s="90">
        <f t="shared" si="85"/>
        <v>0.51777777777777778</v>
      </c>
      <c r="S185" s="90">
        <f t="shared" si="85"/>
        <v>0.54047058823529415</v>
      </c>
      <c r="T185" s="90">
        <f t="shared" si="85"/>
        <v>0.54047058823529415</v>
      </c>
      <c r="U185" s="144">
        <f t="shared" si="85"/>
        <v>0.54047058823529415</v>
      </c>
      <c r="V185" s="90">
        <f t="shared" si="85"/>
        <v>0.53025882352941167</v>
      </c>
      <c r="W185" s="90">
        <f t="shared" si="85"/>
        <v>0.54241683044982691</v>
      </c>
      <c r="X185" s="90">
        <f t="shared" si="85"/>
        <v>0.54241683044982691</v>
      </c>
      <c r="Y185" s="144">
        <f t="shared" si="85"/>
        <v>0.54241683044982691</v>
      </c>
      <c r="Z185" s="419"/>
      <c r="AA185" s="419"/>
      <c r="AB185" s="73"/>
      <c r="AC185" s="73"/>
      <c r="AD185" s="73"/>
      <c r="AE185" s="73"/>
      <c r="AF185" s="72"/>
      <c r="AG185" s="72"/>
      <c r="AH185" s="73"/>
      <c r="AI185" s="73"/>
      <c r="AJ185" s="73"/>
      <c r="AK185" s="73"/>
      <c r="AL185" s="73"/>
      <c r="AM185" s="73"/>
      <c r="AN185" s="73"/>
      <c r="AO185" s="73"/>
      <c r="AP185" s="415"/>
      <c r="AQ185" s="416"/>
      <c r="AR185" s="416"/>
      <c r="AS185" s="417"/>
      <c r="AT185" s="417"/>
      <c r="AU185" s="417"/>
      <c r="AV185" s="417"/>
      <c r="AW185" s="417"/>
    </row>
    <row r="186" spans="1:49" s="418" customFormat="1" ht="11.4" hidden="1" x14ac:dyDescent="0.4">
      <c r="A186" s="335"/>
      <c r="B186" s="324"/>
      <c r="C186" s="324"/>
      <c r="D186" s="324"/>
      <c r="E186" s="325"/>
      <c r="F186" s="324"/>
      <c r="G186" s="324"/>
      <c r="H186" s="324"/>
      <c r="I186" s="325"/>
      <c r="J186" s="324"/>
      <c r="K186" s="324"/>
      <c r="L186" s="324"/>
      <c r="M186" s="325"/>
      <c r="N186" s="324"/>
      <c r="O186" s="324"/>
      <c r="P186" s="324"/>
      <c r="Q186" s="325"/>
      <c r="R186" s="324"/>
      <c r="S186" s="324"/>
      <c r="T186" s="324"/>
      <c r="U186" s="325"/>
      <c r="V186" s="324"/>
      <c r="W186" s="324"/>
      <c r="X186" s="324"/>
      <c r="Y186" s="325"/>
      <c r="Z186" s="419"/>
      <c r="AA186" s="419"/>
      <c r="AB186" s="73"/>
      <c r="AC186" s="73"/>
      <c r="AD186" s="73"/>
      <c r="AE186" s="73"/>
      <c r="AF186" s="72"/>
      <c r="AG186" s="72"/>
      <c r="AH186" s="73"/>
      <c r="AI186" s="73"/>
      <c r="AJ186" s="73"/>
      <c r="AK186" s="73"/>
      <c r="AL186" s="73"/>
      <c r="AM186" s="73"/>
      <c r="AN186" s="73"/>
      <c r="AO186" s="73"/>
      <c r="AP186" s="415"/>
      <c r="AQ186" s="416"/>
      <c r="AR186" s="416"/>
      <c r="AS186" s="417"/>
      <c r="AT186" s="417"/>
      <c r="AU186" s="417"/>
      <c r="AV186" s="417"/>
      <c r="AW186" s="417"/>
    </row>
    <row r="187" spans="1:49" s="418" customFormat="1" ht="11.4" hidden="1" x14ac:dyDescent="0.4">
      <c r="A187" s="346" t="s">
        <v>310</v>
      </c>
      <c r="B187" s="324"/>
      <c r="C187" s="324"/>
      <c r="D187" s="324"/>
      <c r="E187" s="325"/>
      <c r="F187" s="324"/>
      <c r="G187" s="324"/>
      <c r="H187" s="324"/>
      <c r="I187" s="325"/>
      <c r="J187" s="324"/>
      <c r="K187" s="324"/>
      <c r="L187" s="324"/>
      <c r="M187" s="325"/>
      <c r="N187" s="324"/>
      <c r="O187" s="399">
        <f>+SUM(O188:O193)</f>
        <v>0</v>
      </c>
      <c r="P187" s="399">
        <f t="shared" ref="P187:Y187" si="86">+SUM(P188:P193)</f>
        <v>0</v>
      </c>
      <c r="Q187" s="400">
        <f t="shared" si="86"/>
        <v>0</v>
      </c>
      <c r="R187" s="399">
        <f t="shared" si="86"/>
        <v>0</v>
      </c>
      <c r="S187" s="399">
        <f t="shared" si="86"/>
        <v>0</v>
      </c>
      <c r="T187" s="399">
        <f t="shared" si="86"/>
        <v>0</v>
      </c>
      <c r="U187" s="400">
        <f t="shared" si="86"/>
        <v>0</v>
      </c>
      <c r="V187" s="399">
        <f t="shared" si="86"/>
        <v>0</v>
      </c>
      <c r="W187" s="399">
        <f t="shared" si="86"/>
        <v>0</v>
      </c>
      <c r="X187" s="399">
        <f t="shared" si="86"/>
        <v>0</v>
      </c>
      <c r="Y187" s="400">
        <f t="shared" si="86"/>
        <v>0</v>
      </c>
      <c r="Z187" s="419"/>
      <c r="AA187" s="419"/>
      <c r="AB187" s="73"/>
      <c r="AC187" s="73"/>
      <c r="AD187" s="73"/>
      <c r="AE187" s="73"/>
      <c r="AF187" s="72"/>
      <c r="AG187" s="72"/>
      <c r="AH187" s="73"/>
      <c r="AI187" s="73"/>
      <c r="AJ187" s="73"/>
      <c r="AK187" s="73"/>
      <c r="AL187" s="73"/>
      <c r="AM187" s="122">
        <f t="shared" ref="AM187:AM193" si="87">SUM(N187:Q187)</f>
        <v>0</v>
      </c>
      <c r="AN187" s="122">
        <f t="shared" ref="AN187:AN193" si="88">SUM(R187:U187)</f>
        <v>0</v>
      </c>
      <c r="AO187" s="122">
        <f t="shared" ref="AO187:AO193" si="89">SUM(V187:Y187)</f>
        <v>0</v>
      </c>
      <c r="AP187" s="415"/>
      <c r="AQ187" s="416"/>
      <c r="AR187" s="416"/>
      <c r="AS187" s="417"/>
      <c r="AT187" s="417"/>
      <c r="AU187" s="417"/>
      <c r="AV187" s="417"/>
      <c r="AW187" s="417"/>
    </row>
    <row r="188" spans="1:49" s="418" customFormat="1" ht="11.4" hidden="1" x14ac:dyDescent="0.4">
      <c r="A188" s="205" t="s">
        <v>265</v>
      </c>
      <c r="B188" s="324"/>
      <c r="C188" s="324"/>
      <c r="D188" s="324"/>
      <c r="E188" s="325"/>
      <c r="F188" s="324"/>
      <c r="G188" s="324"/>
      <c r="H188" s="324"/>
      <c r="I188" s="325"/>
      <c r="J188" s="324"/>
      <c r="K188" s="324"/>
      <c r="L188" s="324"/>
      <c r="M188" s="325"/>
      <c r="N188" s="324"/>
      <c r="O188" s="324">
        <f t="shared" ref="O188:Y193" si="90">+O164*O148*O$103</f>
        <v>0</v>
      </c>
      <c r="P188" s="324">
        <f t="shared" si="90"/>
        <v>0</v>
      </c>
      <c r="Q188" s="325">
        <f t="shared" si="90"/>
        <v>0</v>
      </c>
      <c r="R188" s="324">
        <f t="shared" si="90"/>
        <v>0</v>
      </c>
      <c r="S188" s="324">
        <f t="shared" si="90"/>
        <v>0</v>
      </c>
      <c r="T188" s="324">
        <f t="shared" si="90"/>
        <v>0</v>
      </c>
      <c r="U188" s="325">
        <f t="shared" si="90"/>
        <v>0</v>
      </c>
      <c r="V188" s="324">
        <f t="shared" si="90"/>
        <v>0</v>
      </c>
      <c r="W188" s="324">
        <f t="shared" si="90"/>
        <v>0</v>
      </c>
      <c r="X188" s="324">
        <f t="shared" si="90"/>
        <v>0</v>
      </c>
      <c r="Y188" s="325">
        <f t="shared" si="90"/>
        <v>0</v>
      </c>
      <c r="Z188" s="419"/>
      <c r="AA188" s="419"/>
      <c r="AB188" s="73"/>
      <c r="AC188" s="73"/>
      <c r="AD188" s="73"/>
      <c r="AE188" s="73"/>
      <c r="AF188" s="72"/>
      <c r="AG188" s="72"/>
      <c r="AH188" s="73"/>
      <c r="AI188" s="73"/>
      <c r="AJ188" s="73"/>
      <c r="AK188" s="73"/>
      <c r="AL188" s="73">
        <f t="shared" ref="AL188:AL193" si="91">SUM(J188:M188)</f>
        <v>0</v>
      </c>
      <c r="AM188" s="73">
        <f t="shared" si="87"/>
        <v>0</v>
      </c>
      <c r="AN188" s="73">
        <f t="shared" si="88"/>
        <v>0</v>
      </c>
      <c r="AO188" s="73">
        <f t="shared" si="89"/>
        <v>0</v>
      </c>
      <c r="AP188" s="415"/>
      <c r="AQ188" s="416"/>
      <c r="AR188" s="416"/>
      <c r="AS188" s="417"/>
      <c r="AT188" s="417"/>
      <c r="AU188" s="417"/>
      <c r="AV188" s="417"/>
      <c r="AW188" s="417"/>
    </row>
    <row r="189" spans="1:49" s="418" customFormat="1" ht="11.4" hidden="1" x14ac:dyDescent="0.4">
      <c r="A189" s="205" t="s">
        <v>275</v>
      </c>
      <c r="B189" s="324"/>
      <c r="C189" s="324"/>
      <c r="D189" s="324"/>
      <c r="E189" s="325"/>
      <c r="F189" s="324"/>
      <c r="G189" s="324"/>
      <c r="H189" s="324"/>
      <c r="I189" s="325"/>
      <c r="J189" s="324"/>
      <c r="K189" s="324"/>
      <c r="L189" s="324"/>
      <c r="M189" s="325"/>
      <c r="N189" s="324"/>
      <c r="O189" s="324">
        <f t="shared" si="90"/>
        <v>0</v>
      </c>
      <c r="P189" s="324">
        <f t="shared" si="90"/>
        <v>0</v>
      </c>
      <c r="Q189" s="325">
        <f t="shared" si="90"/>
        <v>0</v>
      </c>
      <c r="R189" s="324">
        <f t="shared" si="90"/>
        <v>0</v>
      </c>
      <c r="S189" s="324">
        <f t="shared" si="90"/>
        <v>0</v>
      </c>
      <c r="T189" s="324">
        <f t="shared" si="90"/>
        <v>0</v>
      </c>
      <c r="U189" s="325">
        <f t="shared" si="90"/>
        <v>0</v>
      </c>
      <c r="V189" s="324">
        <f t="shared" si="90"/>
        <v>0</v>
      </c>
      <c r="W189" s="324">
        <f t="shared" si="90"/>
        <v>0</v>
      </c>
      <c r="X189" s="324">
        <f t="shared" si="90"/>
        <v>0</v>
      </c>
      <c r="Y189" s="325">
        <f t="shared" si="90"/>
        <v>0</v>
      </c>
      <c r="Z189" s="419"/>
      <c r="AA189" s="419"/>
      <c r="AB189" s="73"/>
      <c r="AC189" s="73"/>
      <c r="AD189" s="73"/>
      <c r="AE189" s="73"/>
      <c r="AF189" s="72"/>
      <c r="AG189" s="72"/>
      <c r="AH189" s="73"/>
      <c r="AI189" s="73"/>
      <c r="AJ189" s="73"/>
      <c r="AK189" s="73"/>
      <c r="AL189" s="73">
        <f t="shared" si="91"/>
        <v>0</v>
      </c>
      <c r="AM189" s="73">
        <f t="shared" si="87"/>
        <v>0</v>
      </c>
      <c r="AN189" s="73">
        <f t="shared" si="88"/>
        <v>0</v>
      </c>
      <c r="AO189" s="73">
        <f t="shared" si="89"/>
        <v>0</v>
      </c>
      <c r="AP189" s="415"/>
      <c r="AQ189" s="416"/>
      <c r="AR189" s="416"/>
      <c r="AS189" s="417"/>
      <c r="AT189" s="417"/>
      <c r="AU189" s="417"/>
      <c r="AV189" s="417"/>
      <c r="AW189" s="417"/>
    </row>
    <row r="190" spans="1:49" s="418" customFormat="1" ht="11.4" hidden="1" x14ac:dyDescent="0.4">
      <c r="A190" s="205" t="s">
        <v>276</v>
      </c>
      <c r="B190" s="324"/>
      <c r="C190" s="324"/>
      <c r="D190" s="324"/>
      <c r="E190" s="325"/>
      <c r="F190" s="324"/>
      <c r="G190" s="324"/>
      <c r="H190" s="324"/>
      <c r="I190" s="325"/>
      <c r="J190" s="324"/>
      <c r="K190" s="324"/>
      <c r="L190" s="324"/>
      <c r="M190" s="325"/>
      <c r="N190" s="324"/>
      <c r="O190" s="324">
        <f t="shared" si="90"/>
        <v>0</v>
      </c>
      <c r="P190" s="324">
        <f t="shared" si="90"/>
        <v>0</v>
      </c>
      <c r="Q190" s="325">
        <f t="shared" si="90"/>
        <v>0</v>
      </c>
      <c r="R190" s="324">
        <f t="shared" si="90"/>
        <v>0</v>
      </c>
      <c r="S190" s="324">
        <f t="shared" si="90"/>
        <v>0</v>
      </c>
      <c r="T190" s="324">
        <f t="shared" si="90"/>
        <v>0</v>
      </c>
      <c r="U190" s="325">
        <f t="shared" si="90"/>
        <v>0</v>
      </c>
      <c r="V190" s="324">
        <f t="shared" si="90"/>
        <v>0</v>
      </c>
      <c r="W190" s="324">
        <f t="shared" si="90"/>
        <v>0</v>
      </c>
      <c r="X190" s="324">
        <f t="shared" si="90"/>
        <v>0</v>
      </c>
      <c r="Y190" s="325">
        <f t="shared" si="90"/>
        <v>0</v>
      </c>
      <c r="Z190" s="419"/>
      <c r="AA190" s="419"/>
      <c r="AB190" s="73"/>
      <c r="AC190" s="73"/>
      <c r="AD190" s="73"/>
      <c r="AE190" s="73"/>
      <c r="AF190" s="72"/>
      <c r="AG190" s="72"/>
      <c r="AH190" s="73"/>
      <c r="AI190" s="73"/>
      <c r="AJ190" s="73"/>
      <c r="AK190" s="73"/>
      <c r="AL190" s="73">
        <f t="shared" si="91"/>
        <v>0</v>
      </c>
      <c r="AM190" s="73">
        <f t="shared" si="87"/>
        <v>0</v>
      </c>
      <c r="AN190" s="73">
        <f t="shared" si="88"/>
        <v>0</v>
      </c>
      <c r="AO190" s="73">
        <f t="shared" si="89"/>
        <v>0</v>
      </c>
      <c r="AP190" s="415"/>
      <c r="AQ190" s="416"/>
      <c r="AR190" s="416"/>
      <c r="AS190" s="417"/>
      <c r="AT190" s="417"/>
      <c r="AU190" s="417"/>
      <c r="AV190" s="417"/>
      <c r="AW190" s="417"/>
    </row>
    <row r="191" spans="1:49" s="418" customFormat="1" ht="11.4" hidden="1" x14ac:dyDescent="0.4">
      <c r="A191" s="205" t="s">
        <v>277</v>
      </c>
      <c r="B191" s="324"/>
      <c r="C191" s="324"/>
      <c r="D191" s="324"/>
      <c r="E191" s="325"/>
      <c r="F191" s="324"/>
      <c r="G191" s="324"/>
      <c r="H191" s="324"/>
      <c r="I191" s="325"/>
      <c r="J191" s="324"/>
      <c r="K191" s="324"/>
      <c r="L191" s="324"/>
      <c r="M191" s="325"/>
      <c r="N191" s="324"/>
      <c r="O191" s="324">
        <f t="shared" si="90"/>
        <v>0</v>
      </c>
      <c r="P191" s="324">
        <f t="shared" si="90"/>
        <v>0</v>
      </c>
      <c r="Q191" s="325">
        <f t="shared" si="90"/>
        <v>0</v>
      </c>
      <c r="R191" s="324">
        <f t="shared" si="90"/>
        <v>0</v>
      </c>
      <c r="S191" s="324">
        <f t="shared" si="90"/>
        <v>0</v>
      </c>
      <c r="T191" s="324">
        <f t="shared" si="90"/>
        <v>0</v>
      </c>
      <c r="U191" s="325">
        <f t="shared" si="90"/>
        <v>0</v>
      </c>
      <c r="V191" s="324">
        <f t="shared" si="90"/>
        <v>0</v>
      </c>
      <c r="W191" s="324">
        <f t="shared" si="90"/>
        <v>0</v>
      </c>
      <c r="X191" s="324">
        <f t="shared" si="90"/>
        <v>0</v>
      </c>
      <c r="Y191" s="325">
        <f t="shared" si="90"/>
        <v>0</v>
      </c>
      <c r="Z191" s="419"/>
      <c r="AA191" s="419"/>
      <c r="AB191" s="73"/>
      <c r="AC191" s="73"/>
      <c r="AD191" s="73"/>
      <c r="AE191" s="73"/>
      <c r="AF191" s="72"/>
      <c r="AG191" s="72"/>
      <c r="AH191" s="73"/>
      <c r="AI191" s="73"/>
      <c r="AJ191" s="73"/>
      <c r="AK191" s="73"/>
      <c r="AL191" s="73">
        <f t="shared" si="91"/>
        <v>0</v>
      </c>
      <c r="AM191" s="73">
        <f t="shared" si="87"/>
        <v>0</v>
      </c>
      <c r="AN191" s="73">
        <f t="shared" si="88"/>
        <v>0</v>
      </c>
      <c r="AO191" s="73">
        <f t="shared" si="89"/>
        <v>0</v>
      </c>
      <c r="AP191" s="415"/>
      <c r="AQ191" s="416"/>
      <c r="AR191" s="416"/>
      <c r="AS191" s="417"/>
      <c r="AT191" s="417"/>
      <c r="AU191" s="417"/>
      <c r="AV191" s="417"/>
      <c r="AW191" s="417"/>
    </row>
    <row r="192" spans="1:49" s="418" customFormat="1" ht="11.4" hidden="1" x14ac:dyDescent="0.4">
      <c r="A192" s="205" t="s">
        <v>288</v>
      </c>
      <c r="B192" s="324"/>
      <c r="C192" s="324"/>
      <c r="D192" s="324"/>
      <c r="E192" s="325"/>
      <c r="F192" s="324"/>
      <c r="G192" s="324"/>
      <c r="H192" s="324"/>
      <c r="I192" s="325"/>
      <c r="J192" s="324"/>
      <c r="K192" s="324"/>
      <c r="L192" s="324"/>
      <c r="M192" s="325"/>
      <c r="N192" s="324"/>
      <c r="O192" s="324">
        <f t="shared" si="90"/>
        <v>0</v>
      </c>
      <c r="P192" s="324">
        <f t="shared" si="90"/>
        <v>0</v>
      </c>
      <c r="Q192" s="325">
        <f t="shared" si="90"/>
        <v>0</v>
      </c>
      <c r="R192" s="324">
        <f t="shared" si="90"/>
        <v>0</v>
      </c>
      <c r="S192" s="324">
        <f t="shared" si="90"/>
        <v>0</v>
      </c>
      <c r="T192" s="324">
        <f t="shared" si="90"/>
        <v>0</v>
      </c>
      <c r="U192" s="325">
        <f t="shared" si="90"/>
        <v>0</v>
      </c>
      <c r="V192" s="324">
        <f t="shared" si="90"/>
        <v>0</v>
      </c>
      <c r="W192" s="324">
        <f t="shared" si="90"/>
        <v>0</v>
      </c>
      <c r="X192" s="324">
        <f t="shared" si="90"/>
        <v>0</v>
      </c>
      <c r="Y192" s="325">
        <f t="shared" si="90"/>
        <v>0</v>
      </c>
      <c r="Z192" s="419"/>
      <c r="AA192" s="419"/>
      <c r="AB192" s="73"/>
      <c r="AC192" s="73"/>
      <c r="AD192" s="73"/>
      <c r="AE192" s="73"/>
      <c r="AF192" s="72"/>
      <c r="AG192" s="72"/>
      <c r="AH192" s="73"/>
      <c r="AI192" s="73"/>
      <c r="AJ192" s="73"/>
      <c r="AK192" s="73"/>
      <c r="AL192" s="73">
        <f t="shared" si="91"/>
        <v>0</v>
      </c>
      <c r="AM192" s="73">
        <f t="shared" si="87"/>
        <v>0</v>
      </c>
      <c r="AN192" s="73">
        <f t="shared" si="88"/>
        <v>0</v>
      </c>
      <c r="AO192" s="73">
        <f t="shared" si="89"/>
        <v>0</v>
      </c>
      <c r="AP192" s="415"/>
      <c r="AQ192" s="416"/>
      <c r="AR192" s="416"/>
      <c r="AS192" s="417"/>
      <c r="AT192" s="417"/>
      <c r="AU192" s="417"/>
      <c r="AV192" s="417"/>
      <c r="AW192" s="417"/>
    </row>
    <row r="193" spans="1:49" s="418" customFormat="1" ht="11.4" hidden="1" x14ac:dyDescent="0.4">
      <c r="A193" s="205" t="s">
        <v>279</v>
      </c>
      <c r="B193" s="324"/>
      <c r="C193" s="324"/>
      <c r="D193" s="324"/>
      <c r="E193" s="325"/>
      <c r="F193" s="324"/>
      <c r="G193" s="324"/>
      <c r="H193" s="324"/>
      <c r="I193" s="325"/>
      <c r="J193" s="324"/>
      <c r="K193" s="324"/>
      <c r="L193" s="324"/>
      <c r="M193" s="325"/>
      <c r="N193" s="324"/>
      <c r="O193" s="324">
        <f t="shared" si="90"/>
        <v>0</v>
      </c>
      <c r="P193" s="324">
        <f t="shared" si="90"/>
        <v>0</v>
      </c>
      <c r="Q193" s="325">
        <f t="shared" si="90"/>
        <v>0</v>
      </c>
      <c r="R193" s="324">
        <f t="shared" si="90"/>
        <v>0</v>
      </c>
      <c r="S193" s="324">
        <f t="shared" si="90"/>
        <v>0</v>
      </c>
      <c r="T193" s="324">
        <f t="shared" si="90"/>
        <v>0</v>
      </c>
      <c r="U193" s="325">
        <f t="shared" si="90"/>
        <v>0</v>
      </c>
      <c r="V193" s="324">
        <f t="shared" si="90"/>
        <v>0</v>
      </c>
      <c r="W193" s="324">
        <f t="shared" si="90"/>
        <v>0</v>
      </c>
      <c r="X193" s="324">
        <f t="shared" si="90"/>
        <v>0</v>
      </c>
      <c r="Y193" s="325">
        <f t="shared" si="90"/>
        <v>0</v>
      </c>
      <c r="Z193" s="419"/>
      <c r="AA193" s="419"/>
      <c r="AB193" s="73"/>
      <c r="AC193" s="73"/>
      <c r="AD193" s="73"/>
      <c r="AE193" s="73"/>
      <c r="AF193" s="72"/>
      <c r="AG193" s="72"/>
      <c r="AH193" s="73"/>
      <c r="AI193" s="73"/>
      <c r="AJ193" s="73"/>
      <c r="AK193" s="73"/>
      <c r="AL193" s="73">
        <f t="shared" si="91"/>
        <v>0</v>
      </c>
      <c r="AM193" s="73">
        <f t="shared" si="87"/>
        <v>0</v>
      </c>
      <c r="AN193" s="73">
        <f t="shared" si="88"/>
        <v>0</v>
      </c>
      <c r="AO193" s="73">
        <f t="shared" si="89"/>
        <v>0</v>
      </c>
      <c r="AP193" s="415"/>
      <c r="AQ193" s="416"/>
      <c r="AR193" s="416"/>
      <c r="AS193" s="417"/>
      <c r="AT193" s="417"/>
      <c r="AU193" s="417"/>
      <c r="AV193" s="417"/>
      <c r="AW193" s="417"/>
    </row>
    <row r="194" spans="1:49" s="418" customFormat="1" ht="11.4" x14ac:dyDescent="0.4">
      <c r="A194" s="205"/>
      <c r="B194" s="324"/>
      <c r="C194" s="324"/>
      <c r="D194" s="324"/>
      <c r="E194" s="325"/>
      <c r="F194" s="324"/>
      <c r="G194" s="324"/>
      <c r="H194" s="324"/>
      <c r="I194" s="325"/>
      <c r="J194" s="324"/>
      <c r="K194" s="324"/>
      <c r="L194" s="324"/>
      <c r="M194" s="325"/>
      <c r="N194" s="324"/>
      <c r="O194" s="324"/>
      <c r="P194" s="324"/>
      <c r="Q194" s="325"/>
      <c r="R194" s="324"/>
      <c r="S194" s="324"/>
      <c r="T194" s="324"/>
      <c r="U194" s="325"/>
      <c r="V194" s="324"/>
      <c r="W194" s="324"/>
      <c r="X194" s="324"/>
      <c r="Y194" s="325"/>
      <c r="Z194" s="419"/>
      <c r="AA194" s="419"/>
      <c r="AB194" s="73"/>
      <c r="AC194" s="73"/>
      <c r="AD194" s="73"/>
      <c r="AE194" s="73"/>
      <c r="AF194" s="72"/>
      <c r="AG194" s="72"/>
      <c r="AH194" s="73"/>
      <c r="AI194" s="73"/>
      <c r="AJ194" s="73"/>
      <c r="AK194" s="73"/>
      <c r="AL194" s="73"/>
      <c r="AM194" s="73"/>
      <c r="AN194" s="73"/>
      <c r="AO194" s="73"/>
      <c r="AP194" s="415"/>
      <c r="AQ194" s="416"/>
      <c r="AR194" s="416"/>
      <c r="AS194" s="417"/>
      <c r="AT194" s="417"/>
      <c r="AU194" s="417"/>
      <c r="AV194" s="417"/>
      <c r="AW194" s="417"/>
    </row>
    <row r="195" spans="1:49" s="430" customFormat="1" ht="11.4" x14ac:dyDescent="0.4">
      <c r="A195" s="427" t="s">
        <v>311</v>
      </c>
      <c r="B195" s="428"/>
      <c r="C195" s="428"/>
      <c r="D195" s="428"/>
      <c r="E195" s="429"/>
      <c r="F195" s="428"/>
      <c r="G195" s="428"/>
      <c r="H195" s="428"/>
      <c r="I195" s="429"/>
      <c r="J195" s="428"/>
      <c r="K195" s="428"/>
      <c r="L195" s="428"/>
      <c r="M195" s="429"/>
      <c r="N195" s="428"/>
      <c r="O195" s="428"/>
      <c r="P195" s="428"/>
      <c r="Q195" s="429"/>
      <c r="R195" s="428"/>
      <c r="S195" s="428"/>
      <c r="T195" s="428"/>
      <c r="U195" s="429"/>
      <c r="V195" s="428"/>
      <c r="W195" s="428"/>
      <c r="X195" s="428"/>
      <c r="Y195" s="429"/>
      <c r="Z195" s="428"/>
      <c r="AA195" s="428"/>
      <c r="AB195" s="428"/>
      <c r="AC195" s="428"/>
      <c r="AD195" s="429"/>
      <c r="AE195" s="428"/>
      <c r="AF195" s="428"/>
      <c r="AG195" s="428"/>
      <c r="AH195" s="428"/>
      <c r="AI195" s="428"/>
      <c r="AJ195" s="428"/>
      <c r="AQ195" s="428"/>
      <c r="AR195" s="428"/>
      <c r="AS195" s="428"/>
      <c r="AT195" s="428"/>
      <c r="AU195" s="428"/>
      <c r="AV195" s="428"/>
      <c r="AW195" s="428"/>
    </row>
    <row r="196" spans="1:49" s="418" customFormat="1" ht="11.4" x14ac:dyDescent="0.4">
      <c r="A196" s="431" t="s">
        <v>312</v>
      </c>
      <c r="B196" s="432">
        <f>+Model!BC13</f>
        <v>0.26281083625739099</v>
      </c>
      <c r="C196" s="432">
        <f>+Model!BD13</f>
        <v>0.27276344382988715</v>
      </c>
      <c r="D196" s="432">
        <f>+Model!BE13</f>
        <v>0.29733988153217561</v>
      </c>
      <c r="E196" s="433">
        <f>+Model!BF13</f>
        <v>0.327620782283012</v>
      </c>
      <c r="F196" s="432">
        <f>+Model!BG13</f>
        <v>0.29549402180123735</v>
      </c>
      <c r="G196" s="432">
        <f>+Model!BH13</f>
        <v>0.31098480328082473</v>
      </c>
      <c r="H196" s="432">
        <f>+Model!BI13</f>
        <v>0.33544306492544296</v>
      </c>
      <c r="I196" s="433">
        <f>+Model!BJ13</f>
        <v>0.35367208983836074</v>
      </c>
      <c r="J196" s="432">
        <f>+Model!BK13</f>
        <v>0.32759084884494838</v>
      </c>
      <c r="K196" s="432">
        <f>+Model!BL13</f>
        <v>0.33435702524996042</v>
      </c>
      <c r="L196" s="432">
        <f>+Model!BM13</f>
        <v>0.33635040992883486</v>
      </c>
      <c r="M196" s="433">
        <f>+Model!BN13</f>
        <v>0.35083034952754161</v>
      </c>
      <c r="N196" s="432">
        <f>+Model!BO13</f>
        <v>0.36700998847074501</v>
      </c>
      <c r="O196" s="432">
        <f>+Model!BP13</f>
        <v>0.41486885195222745</v>
      </c>
      <c r="P196" s="434"/>
      <c r="Q196" s="435"/>
      <c r="R196" s="434"/>
      <c r="S196" s="434"/>
      <c r="T196" s="434"/>
      <c r="U196" s="435"/>
      <c r="V196" s="434"/>
      <c r="W196" s="434"/>
      <c r="X196" s="434"/>
      <c r="Y196" s="435"/>
      <c r="Z196" s="434"/>
      <c r="AA196" s="434"/>
      <c r="AB196" s="436"/>
      <c r="AC196" s="436"/>
      <c r="AD196" s="436"/>
      <c r="AE196" s="436"/>
      <c r="AF196" s="437">
        <f>+Model!L13</f>
        <v>0.27274231608647542</v>
      </c>
      <c r="AG196" s="437">
        <f>+Model!M13</f>
        <v>0.27112010552194815</v>
      </c>
      <c r="AH196" s="437">
        <f>+Model!N13</f>
        <v>0.25428881356816646</v>
      </c>
      <c r="AI196" s="437">
        <f>+Model!O13</f>
        <v>0.25573767603555464</v>
      </c>
      <c r="AJ196" s="437">
        <f>+Model!P13</f>
        <v>0.29312002153609734</v>
      </c>
      <c r="AK196" s="438"/>
      <c r="AL196" s="438"/>
      <c r="AM196" s="438"/>
      <c r="AN196" s="438"/>
      <c r="AO196" s="438"/>
      <c r="AP196" s="439"/>
      <c r="AQ196" s="439"/>
      <c r="AR196" s="439"/>
      <c r="AS196" s="439"/>
      <c r="AT196" s="439"/>
      <c r="AU196" s="439"/>
      <c r="AV196" s="439"/>
      <c r="AW196" s="439"/>
    </row>
    <row r="197" spans="1:49" s="418" customFormat="1" ht="11.4" x14ac:dyDescent="0.4">
      <c r="A197" s="431" t="s">
        <v>313</v>
      </c>
      <c r="B197" s="434">
        <f t="shared" ref="B197:Y197" si="92">B260/B12</f>
        <v>0.27280442696855706</v>
      </c>
      <c r="C197" s="434">
        <f t="shared" si="92"/>
        <v>0.27441984051400431</v>
      </c>
      <c r="D197" s="434">
        <f t="shared" si="92"/>
        <v>0.29771640463432247</v>
      </c>
      <c r="E197" s="435">
        <f t="shared" si="92"/>
        <v>0.32881311834882421</v>
      </c>
      <c r="F197" s="434">
        <f t="shared" si="92"/>
        <v>0.28774531550623411</v>
      </c>
      <c r="G197" s="434">
        <f t="shared" si="92"/>
        <v>0.30441705046625317</v>
      </c>
      <c r="H197" s="434">
        <f t="shared" si="92"/>
        <v>0.33511422901564569</v>
      </c>
      <c r="I197" s="435">
        <f t="shared" si="92"/>
        <v>0.35398327165573801</v>
      </c>
      <c r="J197" s="434">
        <f t="shared" si="92"/>
        <v>0.32827515213775987</v>
      </c>
      <c r="K197" s="434">
        <f t="shared" si="92"/>
        <v>0.34152603318826086</v>
      </c>
      <c r="L197" s="434">
        <f t="shared" si="92"/>
        <v>0.3356883396283214</v>
      </c>
      <c r="M197" s="435">
        <f t="shared" si="92"/>
        <v>0.34803203031536062</v>
      </c>
      <c r="N197" s="434">
        <f t="shared" si="92"/>
        <v>0.36368167326282258</v>
      </c>
      <c r="O197" s="434">
        <f t="shared" si="92"/>
        <v>0.41399140174269838</v>
      </c>
      <c r="P197" s="434">
        <f t="shared" si="92"/>
        <v>0.4286071191840829</v>
      </c>
      <c r="Q197" s="435">
        <f t="shared" si="92"/>
        <v>0.43639831649761757</v>
      </c>
      <c r="R197" s="434">
        <f t="shared" si="92"/>
        <v>0.44338738821455753</v>
      </c>
      <c r="S197" s="434">
        <f t="shared" si="92"/>
        <v>0.44521225909968509</v>
      </c>
      <c r="T197" s="434">
        <f t="shared" si="92"/>
        <v>0.45507067370003268</v>
      </c>
      <c r="U197" s="435">
        <f t="shared" si="92"/>
        <v>0.46008562356410765</v>
      </c>
      <c r="V197" s="434">
        <f t="shared" si="92"/>
        <v>0.44712499373273334</v>
      </c>
      <c r="W197" s="434">
        <f t="shared" si="92"/>
        <v>0.44921029409774121</v>
      </c>
      <c r="X197" s="434">
        <f t="shared" si="92"/>
        <v>0.45722439007023674</v>
      </c>
      <c r="Y197" s="435">
        <f t="shared" si="92"/>
        <v>0.46602934491315939</v>
      </c>
      <c r="Z197" s="434"/>
      <c r="AA197" s="434"/>
      <c r="AB197" s="436">
        <f>AB238/AB12</f>
        <v>0</v>
      </c>
      <c r="AC197" s="436">
        <f>AC238/AC12</f>
        <v>0</v>
      </c>
      <c r="AD197" s="436">
        <f>AD238/AD12</f>
        <v>0</v>
      </c>
      <c r="AE197" s="436">
        <f>AE238/AE12</f>
        <v>0</v>
      </c>
      <c r="AF197" s="434">
        <f t="shared" ref="AF197:AO197" si="93">AF260/AF12</f>
        <v>0.26712491156553575</v>
      </c>
      <c r="AG197" s="434">
        <f t="shared" si="93"/>
        <v>0.26040669002057426</v>
      </c>
      <c r="AH197" s="434">
        <f t="shared" si="93"/>
        <v>0.26485172141532093</v>
      </c>
      <c r="AI197" s="434">
        <f t="shared" si="93"/>
        <v>0.27777103748975923</v>
      </c>
      <c r="AJ197" s="434">
        <f t="shared" si="93"/>
        <v>0.29609915223071487</v>
      </c>
      <c r="AK197" s="434">
        <f t="shared" si="93"/>
        <v>0.32728100548354239</v>
      </c>
      <c r="AL197" s="434">
        <f t="shared" si="93"/>
        <v>0.33902905096432351</v>
      </c>
      <c r="AM197" s="434">
        <f t="shared" si="93"/>
        <v>0.41523739764843132</v>
      </c>
      <c r="AN197" s="434">
        <f t="shared" si="93"/>
        <v>0.45165218847869626</v>
      </c>
      <c r="AO197" s="434">
        <f t="shared" si="93"/>
        <v>0.45545176496733919</v>
      </c>
      <c r="AP197" s="439"/>
      <c r="AQ197" s="439"/>
      <c r="AR197" s="439"/>
      <c r="AS197" s="439"/>
      <c r="AT197" s="439"/>
      <c r="AU197" s="439"/>
      <c r="AV197" s="439"/>
      <c r="AW197" s="439"/>
    </row>
    <row r="198" spans="1:49" s="442" customFormat="1" ht="11.4" x14ac:dyDescent="0.4">
      <c r="A198" s="374"/>
      <c r="B198" s="436"/>
      <c r="C198" s="436"/>
      <c r="D198" s="436"/>
      <c r="E198" s="440"/>
      <c r="F198" s="436"/>
      <c r="G198" s="436"/>
      <c r="H198" s="436"/>
      <c r="I198" s="440"/>
      <c r="J198" s="436"/>
      <c r="K198" s="436"/>
      <c r="L198" s="436"/>
      <c r="M198" s="440"/>
      <c r="N198" s="436"/>
      <c r="O198" s="436"/>
      <c r="P198" s="436"/>
      <c r="Q198" s="440"/>
      <c r="R198" s="436"/>
      <c r="S198" s="436"/>
      <c r="T198" s="436"/>
      <c r="U198" s="440"/>
      <c r="V198" s="436"/>
      <c r="W198" s="436"/>
      <c r="X198" s="436"/>
      <c r="Y198" s="440"/>
      <c r="Z198" s="436"/>
      <c r="AA198" s="436"/>
      <c r="AB198" s="436"/>
      <c r="AC198" s="436"/>
      <c r="AD198" s="436"/>
      <c r="AE198" s="436"/>
      <c r="AF198" s="441"/>
      <c r="AG198" s="441"/>
      <c r="AH198" s="438"/>
      <c r="AI198" s="438"/>
      <c r="AJ198" s="438"/>
      <c r="AK198" s="438"/>
      <c r="AL198" s="438"/>
      <c r="AM198" s="438"/>
      <c r="AN198" s="438"/>
      <c r="AO198" s="438"/>
      <c r="AP198" s="439"/>
      <c r="AQ198" s="439"/>
      <c r="AR198" s="439"/>
      <c r="AS198" s="439"/>
      <c r="AT198" s="439"/>
      <c r="AU198" s="439"/>
      <c r="AV198" s="439"/>
      <c r="AW198" s="439"/>
    </row>
    <row r="199" spans="1:49" s="418" customFormat="1" ht="11.4" x14ac:dyDescent="0.4">
      <c r="A199" s="205" t="s">
        <v>314</v>
      </c>
      <c r="B199" s="443"/>
      <c r="C199" s="443"/>
      <c r="D199" s="443"/>
      <c r="E199" s="444"/>
      <c r="F199" s="443"/>
      <c r="G199" s="434"/>
      <c r="H199" s="434"/>
      <c r="I199" s="435"/>
      <c r="J199" s="434"/>
      <c r="K199" s="434"/>
      <c r="L199" s="434"/>
      <c r="M199" s="435"/>
      <c r="N199" s="434"/>
      <c r="O199" s="434"/>
      <c r="P199" s="434"/>
      <c r="Q199" s="435"/>
      <c r="R199" s="434"/>
      <c r="S199" s="434"/>
      <c r="T199" s="434"/>
      <c r="U199" s="435"/>
      <c r="V199" s="434"/>
      <c r="W199" s="434"/>
      <c r="X199" s="434"/>
      <c r="Y199" s="435"/>
      <c r="Z199" s="445"/>
      <c r="AA199" s="445"/>
      <c r="AB199" s="445"/>
      <c r="AC199" s="445"/>
      <c r="AD199" s="445"/>
      <c r="AE199" s="445"/>
      <c r="AF199" s="446"/>
      <c r="AG199" s="446"/>
      <c r="AH199" s="447"/>
      <c r="AI199" s="447"/>
      <c r="AJ199" s="447"/>
      <c r="AK199" s="447"/>
      <c r="AL199" s="447"/>
      <c r="AM199" s="447"/>
      <c r="AN199" s="447"/>
      <c r="AO199" s="447"/>
      <c r="AP199" s="448"/>
      <c r="AQ199" s="448"/>
      <c r="AR199" s="448"/>
      <c r="AS199" s="448"/>
      <c r="AT199" s="448"/>
      <c r="AU199" s="448"/>
      <c r="AV199" s="448"/>
      <c r="AW199" s="448"/>
    </row>
    <row r="200" spans="1:49" s="418" customFormat="1" ht="11.4" x14ac:dyDescent="0.4">
      <c r="A200" s="205" t="s">
        <v>262</v>
      </c>
      <c r="B200" s="73">
        <v>24</v>
      </c>
      <c r="C200" s="73">
        <f t="shared" ref="C200:Y205" si="94">+B200*(1+C212)</f>
        <v>24</v>
      </c>
      <c r="D200" s="73">
        <f t="shared" si="94"/>
        <v>24</v>
      </c>
      <c r="E200" s="108">
        <f t="shared" si="94"/>
        <v>24</v>
      </c>
      <c r="F200" s="73">
        <f t="shared" si="94"/>
        <v>25.200000000000003</v>
      </c>
      <c r="G200" s="73">
        <f t="shared" si="94"/>
        <v>25.704000000000004</v>
      </c>
      <c r="H200" s="73">
        <f t="shared" si="94"/>
        <v>26.218080000000004</v>
      </c>
      <c r="I200" s="108">
        <f t="shared" si="94"/>
        <v>26.218080000000004</v>
      </c>
      <c r="J200" s="73">
        <f t="shared" si="94"/>
        <v>27.004622400000006</v>
      </c>
      <c r="K200" s="73">
        <f t="shared" si="94"/>
        <v>27.544714848000005</v>
      </c>
      <c r="L200" s="73">
        <f t="shared" si="94"/>
        <v>28.095609144960004</v>
      </c>
      <c r="M200" s="108">
        <f t="shared" si="94"/>
        <v>28.095609144960004</v>
      </c>
      <c r="N200" s="73">
        <f t="shared" si="94"/>
        <v>27.252740870611202</v>
      </c>
      <c r="O200" s="73">
        <f t="shared" si="94"/>
        <v>27.252740870611202</v>
      </c>
      <c r="P200" s="73">
        <f t="shared" si="94"/>
        <v>27.252740870611202</v>
      </c>
      <c r="Q200" s="108">
        <f t="shared" si="94"/>
        <v>27.252740870611202</v>
      </c>
      <c r="R200" s="73">
        <f t="shared" si="94"/>
        <v>27.252740870611202</v>
      </c>
      <c r="S200" s="73">
        <f t="shared" si="94"/>
        <v>27.252740870611202</v>
      </c>
      <c r="T200" s="73">
        <f t="shared" si="94"/>
        <v>27.252740870611202</v>
      </c>
      <c r="U200" s="108">
        <f t="shared" si="94"/>
        <v>27.252740870611202</v>
      </c>
      <c r="V200" s="73">
        <f t="shared" si="94"/>
        <v>27.252740870611202</v>
      </c>
      <c r="W200" s="73">
        <f t="shared" si="94"/>
        <v>27.252740870611202</v>
      </c>
      <c r="X200" s="73">
        <f t="shared" si="94"/>
        <v>27.252740870611202</v>
      </c>
      <c r="Y200" s="108">
        <f t="shared" si="94"/>
        <v>27.252740870611202</v>
      </c>
      <c r="Z200" s="445"/>
      <c r="AA200" s="445"/>
      <c r="AB200" s="445"/>
      <c r="AC200" s="445"/>
      <c r="AD200" s="445"/>
      <c r="AE200" s="445"/>
      <c r="AF200" s="446"/>
      <c r="AG200" s="446"/>
      <c r="AH200" s="447"/>
      <c r="AI200" s="447"/>
      <c r="AJ200" s="449">
        <f t="shared" ref="AJ200:AO200" si="95">+AJ106/AJ$103-AJ224</f>
        <v>23.935591697785497</v>
      </c>
      <c r="AK200" s="449">
        <f t="shared" si="95"/>
        <v>25.830454547335751</v>
      </c>
      <c r="AL200" s="449">
        <f t="shared" si="95"/>
        <v>27.107831847254801</v>
      </c>
      <c r="AM200" s="449">
        <f t="shared" si="95"/>
        <v>27.206075218435501</v>
      </c>
      <c r="AN200" s="449">
        <f t="shared" si="95"/>
        <v>27.252740870611202</v>
      </c>
      <c r="AO200" s="449">
        <f t="shared" si="95"/>
        <v>27.252740870611202</v>
      </c>
      <c r="AP200" s="450"/>
      <c r="AQ200" s="448"/>
      <c r="AR200" s="448"/>
      <c r="AS200" s="448"/>
      <c r="AT200" s="448"/>
      <c r="AU200" s="448"/>
      <c r="AV200" s="448"/>
      <c r="AW200" s="448"/>
    </row>
    <row r="201" spans="1:49" s="418" customFormat="1" ht="11.4" x14ac:dyDescent="0.4">
      <c r="A201" s="205" t="s">
        <v>263</v>
      </c>
      <c r="B201" s="73">
        <f>+B107-B225</f>
        <v>772.8</v>
      </c>
      <c r="C201" s="73">
        <f t="shared" si="94"/>
        <v>772.8</v>
      </c>
      <c r="D201" s="73">
        <f t="shared" si="94"/>
        <v>765.072</v>
      </c>
      <c r="E201" s="108">
        <f t="shared" si="94"/>
        <v>742.11983999999995</v>
      </c>
      <c r="F201" s="73">
        <f t="shared" si="94"/>
        <v>727.27744319999999</v>
      </c>
      <c r="G201" s="73">
        <f t="shared" si="94"/>
        <v>727.27744319999999</v>
      </c>
      <c r="H201" s="73">
        <f t="shared" si="94"/>
        <v>727.27744319999999</v>
      </c>
      <c r="I201" s="108">
        <f t="shared" si="94"/>
        <v>727.27744319999999</v>
      </c>
      <c r="J201" s="73">
        <f t="shared" si="94"/>
        <v>727.27744319999999</v>
      </c>
      <c r="K201" s="73">
        <f t="shared" si="94"/>
        <v>727.27744319999999</v>
      </c>
      <c r="L201" s="73">
        <f t="shared" si="94"/>
        <v>727.27744319999999</v>
      </c>
      <c r="M201" s="108">
        <f t="shared" si="94"/>
        <v>727.27744319999999</v>
      </c>
      <c r="N201" s="73">
        <f t="shared" si="94"/>
        <v>727.27744319999999</v>
      </c>
      <c r="O201" s="73">
        <f t="shared" si="94"/>
        <v>727.27744319999999</v>
      </c>
      <c r="P201" s="73">
        <f t="shared" si="94"/>
        <v>727.27744319999999</v>
      </c>
      <c r="Q201" s="108">
        <f t="shared" si="94"/>
        <v>727.27744319999999</v>
      </c>
      <c r="R201" s="73">
        <f t="shared" si="94"/>
        <v>727.27744319999999</v>
      </c>
      <c r="S201" s="73">
        <f t="shared" si="94"/>
        <v>727.27744319999999</v>
      </c>
      <c r="T201" s="73">
        <f t="shared" si="94"/>
        <v>727.27744319999999</v>
      </c>
      <c r="U201" s="108">
        <f t="shared" si="94"/>
        <v>727.27744319999999</v>
      </c>
      <c r="V201" s="73">
        <f t="shared" si="94"/>
        <v>727.27744319999999</v>
      </c>
      <c r="W201" s="73">
        <f t="shared" si="94"/>
        <v>727.27744319999999</v>
      </c>
      <c r="X201" s="73">
        <f t="shared" si="94"/>
        <v>727.27744319999999</v>
      </c>
      <c r="Y201" s="108">
        <f t="shared" si="94"/>
        <v>727.27744319999999</v>
      </c>
      <c r="Z201" s="445"/>
      <c r="AA201" s="445"/>
      <c r="AB201" s="445"/>
      <c r="AC201" s="445"/>
      <c r="AD201" s="445"/>
      <c r="AE201" s="445"/>
      <c r="AF201" s="446"/>
      <c r="AG201" s="446"/>
      <c r="AH201" s="447"/>
      <c r="AI201" s="447"/>
      <c r="AJ201" s="449">
        <f t="shared" ref="AJ201:AO208" si="96">+AJ73-AJ225</f>
        <v>81.841666666666669</v>
      </c>
      <c r="AK201" s="449">
        <f t="shared" si="96"/>
        <v>47.57</v>
      </c>
      <c r="AL201" s="449">
        <f t="shared" si="96"/>
        <v>47.013698630136979</v>
      </c>
      <c r="AM201" s="449">
        <f t="shared" si="96"/>
        <v>48.107482876712346</v>
      </c>
      <c r="AN201" s="449">
        <f t="shared" si="96"/>
        <v>48.14</v>
      </c>
      <c r="AO201" s="449">
        <f t="shared" si="96"/>
        <v>47.849999999999994</v>
      </c>
      <c r="AP201" s="450"/>
      <c r="AQ201" s="448"/>
      <c r="AR201" s="448"/>
      <c r="AS201" s="448"/>
      <c r="AT201" s="448"/>
      <c r="AU201" s="448"/>
      <c r="AV201" s="448"/>
      <c r="AW201" s="448"/>
    </row>
    <row r="202" spans="1:49" s="418" customFormat="1" ht="11.4" x14ac:dyDescent="0.4">
      <c r="A202" s="205" t="s">
        <v>264</v>
      </c>
      <c r="B202" s="73">
        <f>+B108-B226</f>
        <v>1417.6438356164385</v>
      </c>
      <c r="C202" s="73">
        <f t="shared" si="94"/>
        <v>1417.6438356164385</v>
      </c>
      <c r="D202" s="73">
        <f t="shared" si="94"/>
        <v>1382.2027397260276</v>
      </c>
      <c r="E202" s="108">
        <f t="shared" si="94"/>
        <v>1347.647671232877</v>
      </c>
      <c r="F202" s="73">
        <f t="shared" si="94"/>
        <v>1212.8829041095894</v>
      </c>
      <c r="G202" s="73">
        <f t="shared" si="94"/>
        <v>1188.6252460273977</v>
      </c>
      <c r="H202" s="73">
        <f t="shared" si="94"/>
        <v>1188.6252460273977</v>
      </c>
      <c r="I202" s="108">
        <f t="shared" si="94"/>
        <v>1188.6252460273977</v>
      </c>
      <c r="J202" s="73">
        <f t="shared" si="94"/>
        <v>1188.6252460273977</v>
      </c>
      <c r="K202" s="73">
        <f t="shared" si="94"/>
        <v>1188.6252460273977</v>
      </c>
      <c r="L202" s="73">
        <f t="shared" si="94"/>
        <v>1188.6252460273977</v>
      </c>
      <c r="M202" s="108">
        <f t="shared" si="94"/>
        <v>1188.6252460273977</v>
      </c>
      <c r="N202" s="73">
        <f t="shared" si="94"/>
        <v>1188.6252460273977</v>
      </c>
      <c r="O202" s="73">
        <f t="shared" si="94"/>
        <v>1188.6252460273977</v>
      </c>
      <c r="P202" s="73">
        <f t="shared" si="94"/>
        <v>1188.6252460273977</v>
      </c>
      <c r="Q202" s="108">
        <f t="shared" si="94"/>
        <v>1188.6252460273977</v>
      </c>
      <c r="R202" s="73">
        <f t="shared" si="94"/>
        <v>1188.6252460273977</v>
      </c>
      <c r="S202" s="73">
        <f t="shared" si="94"/>
        <v>1188.6252460273977</v>
      </c>
      <c r="T202" s="73">
        <f t="shared" si="94"/>
        <v>1188.6252460273977</v>
      </c>
      <c r="U202" s="108">
        <f t="shared" si="94"/>
        <v>1188.6252460273977</v>
      </c>
      <c r="V202" s="73">
        <f t="shared" si="94"/>
        <v>1188.6252460273977</v>
      </c>
      <c r="W202" s="73">
        <f t="shared" si="94"/>
        <v>1188.6252460273977</v>
      </c>
      <c r="X202" s="73">
        <f t="shared" si="94"/>
        <v>1188.6252460273977</v>
      </c>
      <c r="Y202" s="108">
        <f t="shared" si="94"/>
        <v>1188.6252460273977</v>
      </c>
      <c r="Z202" s="445"/>
      <c r="AA202" s="445"/>
      <c r="AB202" s="445"/>
      <c r="AC202" s="445"/>
      <c r="AD202" s="445"/>
      <c r="AE202" s="445"/>
      <c r="AF202" s="446"/>
      <c r="AG202" s="446"/>
      <c r="AH202" s="451"/>
      <c r="AI202" s="451"/>
      <c r="AJ202" s="449">
        <f t="shared" si="96"/>
        <v>148.13150684931503</v>
      </c>
      <c r="AK202" s="449">
        <f t="shared" si="96"/>
        <v>121.4830188679245</v>
      </c>
      <c r="AL202" s="449">
        <f t="shared" si="96"/>
        <v>117.06481409001954</v>
      </c>
      <c r="AM202" s="449">
        <f t="shared" si="96"/>
        <v>113.5292671232877</v>
      </c>
      <c r="AN202" s="449">
        <f t="shared" si="96"/>
        <v>113.57820000000001</v>
      </c>
      <c r="AO202" s="449">
        <f t="shared" si="96"/>
        <v>114.47851500000004</v>
      </c>
      <c r="AP202" s="448"/>
      <c r="AQ202" s="448"/>
      <c r="AR202" s="448"/>
      <c r="AS202" s="448"/>
      <c r="AT202" s="448"/>
      <c r="AU202" s="448"/>
      <c r="AV202" s="448"/>
      <c r="AW202" s="448"/>
    </row>
    <row r="203" spans="1:49" s="418" customFormat="1" ht="11.4" x14ac:dyDescent="0.4">
      <c r="A203" s="205" t="s">
        <v>265</v>
      </c>
      <c r="B203" s="73">
        <v>348</v>
      </c>
      <c r="C203" s="73">
        <f>+B203*(1+C215)</f>
        <v>348</v>
      </c>
      <c r="D203" s="73">
        <f t="shared" si="94"/>
        <v>337.56</v>
      </c>
      <c r="E203" s="108">
        <f t="shared" si="94"/>
        <v>327.4332</v>
      </c>
      <c r="F203" s="73">
        <f>+E203*(1+F215)</f>
        <v>288.14121599999999</v>
      </c>
      <c r="G203" s="73">
        <f t="shared" si="94"/>
        <v>279.49697951999997</v>
      </c>
      <c r="H203" s="73">
        <f t="shared" si="94"/>
        <v>279.49697951999997</v>
      </c>
      <c r="I203" s="108">
        <f t="shared" si="94"/>
        <v>276.70200972479995</v>
      </c>
      <c r="J203" s="73">
        <f t="shared" si="94"/>
        <v>218.59458768259196</v>
      </c>
      <c r="K203" s="73">
        <f t="shared" si="94"/>
        <v>216.40864180576605</v>
      </c>
      <c r="L203" s="73">
        <f t="shared" si="94"/>
        <v>218.78913686562944</v>
      </c>
      <c r="M203" s="108">
        <f t="shared" si="94"/>
        <v>219.88308254995758</v>
      </c>
      <c r="N203" s="73">
        <f t="shared" si="94"/>
        <v>193.49711264396268</v>
      </c>
      <c r="O203" s="73">
        <f t="shared" si="94"/>
        <v>178.01734363244569</v>
      </c>
      <c r="P203" s="73">
        <f t="shared" si="94"/>
        <v>178.01734363244569</v>
      </c>
      <c r="Q203" s="108">
        <f t="shared" si="94"/>
        <v>178.01734363244569</v>
      </c>
      <c r="R203" s="73">
        <f t="shared" si="94"/>
        <v>174.45699675979677</v>
      </c>
      <c r="S203" s="73">
        <f t="shared" si="94"/>
        <v>174.45699675979677</v>
      </c>
      <c r="T203" s="73">
        <f t="shared" si="94"/>
        <v>174.45699675979677</v>
      </c>
      <c r="U203" s="108">
        <f t="shared" si="94"/>
        <v>174.45699675979677</v>
      </c>
      <c r="V203" s="73">
        <f t="shared" si="94"/>
        <v>169.22328685700285</v>
      </c>
      <c r="W203" s="73">
        <f t="shared" si="94"/>
        <v>169.22328685700285</v>
      </c>
      <c r="X203" s="73">
        <f t="shared" si="94"/>
        <v>169.22328685700285</v>
      </c>
      <c r="Y203" s="108">
        <f t="shared" si="94"/>
        <v>169.22328685700285</v>
      </c>
      <c r="Z203" s="445"/>
      <c r="AA203" s="445"/>
      <c r="AB203" s="445"/>
      <c r="AC203" s="445"/>
      <c r="AD203" s="445"/>
      <c r="AE203" s="445"/>
      <c r="AF203" s="446"/>
      <c r="AG203" s="446"/>
      <c r="AH203" s="447"/>
      <c r="AI203" s="447"/>
      <c r="AJ203" s="449">
        <f t="shared" si="96"/>
        <v>335.6236202801868</v>
      </c>
      <c r="AK203" s="449">
        <f t="shared" si="96"/>
        <v>280.55075310994278</v>
      </c>
      <c r="AL203" s="449">
        <f t="shared" si="96"/>
        <v>220.60893082622565</v>
      </c>
      <c r="AM203" s="449">
        <f t="shared" si="96"/>
        <v>184.43364270926079</v>
      </c>
      <c r="AN203" s="449">
        <f t="shared" si="96"/>
        <v>174.45699675979677</v>
      </c>
      <c r="AO203" s="449">
        <f t="shared" si="96"/>
        <v>169.22328685700285</v>
      </c>
      <c r="AP203" s="448"/>
      <c r="AQ203" s="448"/>
      <c r="AR203" s="448"/>
      <c r="AS203" s="448"/>
      <c r="AT203" s="448"/>
      <c r="AU203" s="448"/>
      <c r="AV203" s="448"/>
      <c r="AW203" s="448"/>
    </row>
    <row r="204" spans="1:49" s="442" customFormat="1" ht="11.4" x14ac:dyDescent="0.4">
      <c r="A204" s="205" t="s">
        <v>275</v>
      </c>
      <c r="C204" s="436"/>
      <c r="D204" s="436"/>
      <c r="E204" s="440"/>
      <c r="F204" s="73">
        <v>600</v>
      </c>
      <c r="G204" s="73">
        <f>+F204*(1+G216)</f>
        <v>570</v>
      </c>
      <c r="H204" s="73">
        <f>+G204*(1+H216)</f>
        <v>559.74</v>
      </c>
      <c r="I204" s="108">
        <f>+H204*(1+I216)</f>
        <v>545.18676000000005</v>
      </c>
      <c r="J204" s="73">
        <f t="shared" si="94"/>
        <v>520.65335579999999</v>
      </c>
      <c r="K204" s="73">
        <f t="shared" si="94"/>
        <v>374.87041617599999</v>
      </c>
      <c r="L204" s="73">
        <f t="shared" si="94"/>
        <v>378.61912033776002</v>
      </c>
      <c r="M204" s="108">
        <f t="shared" si="94"/>
        <v>371.04673793100483</v>
      </c>
      <c r="N204" s="73">
        <f t="shared" si="94"/>
        <v>345.07346627583445</v>
      </c>
      <c r="O204" s="73">
        <f t="shared" si="94"/>
        <v>310.566119648251</v>
      </c>
      <c r="P204" s="73">
        <f t="shared" si="94"/>
        <v>310.566119648251</v>
      </c>
      <c r="Q204" s="108">
        <f t="shared" si="94"/>
        <v>310.566119648251</v>
      </c>
      <c r="R204" s="73">
        <f t="shared" si="94"/>
        <v>301.24913605880346</v>
      </c>
      <c r="S204" s="73">
        <f t="shared" si="94"/>
        <v>277.14920517409917</v>
      </c>
      <c r="T204" s="73">
        <f t="shared" si="94"/>
        <v>277.14920517409917</v>
      </c>
      <c r="U204" s="108">
        <f t="shared" si="94"/>
        <v>277.14920517409917</v>
      </c>
      <c r="V204" s="73">
        <f t="shared" si="94"/>
        <v>268.8347290188762</v>
      </c>
      <c r="W204" s="73">
        <f t="shared" si="94"/>
        <v>263.45803443849866</v>
      </c>
      <c r="X204" s="73">
        <f t="shared" si="94"/>
        <v>258.18887374972866</v>
      </c>
      <c r="Y204" s="108">
        <f t="shared" si="94"/>
        <v>253.02509627473407</v>
      </c>
      <c r="Z204" s="452"/>
      <c r="AA204" s="452"/>
      <c r="AB204" s="452"/>
      <c r="AC204" s="452"/>
      <c r="AD204" s="452"/>
      <c r="AE204" s="452"/>
      <c r="AF204" s="441"/>
      <c r="AG204" s="441"/>
      <c r="AH204" s="438"/>
      <c r="AI204" s="438"/>
      <c r="AJ204" s="449">
        <f t="shared" si="96"/>
        <v>0</v>
      </c>
      <c r="AK204" s="449">
        <f t="shared" si="96"/>
        <v>553.22893750000003</v>
      </c>
      <c r="AL204" s="449">
        <f t="shared" si="96"/>
        <v>372.79168907536939</v>
      </c>
      <c r="AM204" s="449">
        <f t="shared" si="96"/>
        <v>304.95235542738948</v>
      </c>
      <c r="AN204" s="449">
        <f t="shared" si="96"/>
        <v>267.87418789527521</v>
      </c>
      <c r="AO204" s="449">
        <f t="shared" si="96"/>
        <v>244.14087734700064</v>
      </c>
      <c r="AP204" s="453"/>
      <c r="AQ204" s="454"/>
      <c r="AR204" s="454"/>
      <c r="AS204" s="455"/>
      <c r="AT204" s="455"/>
      <c r="AU204" s="455"/>
    </row>
    <row r="205" spans="1:49" s="442" customFormat="1" ht="11.4" x14ac:dyDescent="0.4">
      <c r="A205" s="205" t="s">
        <v>276</v>
      </c>
      <c r="C205" s="436"/>
      <c r="D205" s="436"/>
      <c r="E205" s="440"/>
      <c r="F205" s="73"/>
      <c r="G205" s="73"/>
      <c r="H205" s="73"/>
      <c r="I205" s="108"/>
      <c r="J205" s="73"/>
      <c r="K205" s="73"/>
      <c r="L205" s="73">
        <v>274</v>
      </c>
      <c r="M205" s="108">
        <v>274</v>
      </c>
      <c r="N205" s="73">
        <f t="shared" si="94"/>
        <v>252.08</v>
      </c>
      <c r="O205" s="73">
        <f t="shared" si="94"/>
        <v>226.87200000000001</v>
      </c>
      <c r="P205" s="73">
        <f t="shared" si="94"/>
        <v>226.87200000000001</v>
      </c>
      <c r="Q205" s="108">
        <f t="shared" si="94"/>
        <v>226.87200000000001</v>
      </c>
      <c r="R205" s="73">
        <f t="shared" si="94"/>
        <v>215.5284</v>
      </c>
      <c r="S205" s="73">
        <f t="shared" si="94"/>
        <v>193.97556</v>
      </c>
      <c r="T205" s="73">
        <f t="shared" si="94"/>
        <v>193.97556</v>
      </c>
      <c r="U205" s="108">
        <f t="shared" si="94"/>
        <v>193.97556</v>
      </c>
      <c r="V205" s="73">
        <f t="shared" si="94"/>
        <v>188.15629319999999</v>
      </c>
      <c r="W205" s="73">
        <f t="shared" si="94"/>
        <v>173.10378974400001</v>
      </c>
      <c r="X205" s="73">
        <f t="shared" si="94"/>
        <v>171.37275184656002</v>
      </c>
      <c r="Y205" s="108">
        <f t="shared" si="94"/>
        <v>169.65902432809443</v>
      </c>
      <c r="Z205" s="452"/>
      <c r="AA205" s="452"/>
      <c r="AB205" s="452"/>
      <c r="AC205" s="452"/>
      <c r="AD205" s="452"/>
      <c r="AE205" s="452"/>
      <c r="AF205" s="441"/>
      <c r="AG205" s="441"/>
      <c r="AH205" s="438"/>
      <c r="AI205" s="438"/>
      <c r="AJ205" s="449"/>
      <c r="AK205" s="449"/>
      <c r="AL205" s="449" t="e">
        <f t="shared" si="96"/>
        <v>#DIV/0!</v>
      </c>
      <c r="AM205" s="449">
        <f t="shared" si="96"/>
        <v>226.93436386426714</v>
      </c>
      <c r="AN205" s="449">
        <f t="shared" si="96"/>
        <v>189.5286848275862</v>
      </c>
      <c r="AO205" s="449">
        <f t="shared" si="96"/>
        <v>163.64900428897494</v>
      </c>
      <c r="AP205" s="453"/>
      <c r="AQ205" s="454"/>
      <c r="AR205" s="454"/>
      <c r="AS205" s="455"/>
      <c r="AT205" s="455"/>
      <c r="AU205" s="455"/>
    </row>
    <row r="206" spans="1:49" s="442" customFormat="1" ht="11.4" x14ac:dyDescent="0.4">
      <c r="A206" s="205" t="s">
        <v>277</v>
      </c>
      <c r="C206" s="436"/>
      <c r="D206" s="436"/>
      <c r="E206" s="440"/>
      <c r="F206" s="73">
        <v>430</v>
      </c>
      <c r="G206" s="73">
        <f>+F206*(1+G218)</f>
        <v>408.5</v>
      </c>
      <c r="H206" s="73">
        <f>+G206*(1+H218)</f>
        <v>401.14699999999999</v>
      </c>
      <c r="I206" s="108">
        <f>+H206*(1+I218)</f>
        <v>390.71717799999999</v>
      </c>
      <c r="J206" s="73">
        <f t="shared" ref="J206:Y208" si="97">+I206*(1+J218)</f>
        <v>373.13490499</v>
      </c>
      <c r="K206" s="73">
        <f t="shared" si="97"/>
        <v>279.8511787425</v>
      </c>
      <c r="L206" s="73">
        <f t="shared" si="97"/>
        <v>282.64969052992501</v>
      </c>
      <c r="M206" s="108">
        <f t="shared" si="97"/>
        <v>276.99669671932651</v>
      </c>
      <c r="N206" s="73">
        <f>+M206*(1+N218)</f>
        <v>268.68679581774671</v>
      </c>
      <c r="O206" s="73">
        <f t="shared" si="97"/>
        <v>255.25245602685936</v>
      </c>
      <c r="P206" s="73">
        <f t="shared" si="97"/>
        <v>255.25245602685936</v>
      </c>
      <c r="Q206" s="108">
        <f t="shared" si="97"/>
        <v>255.25245602685936</v>
      </c>
      <c r="R206" s="73">
        <f t="shared" si="97"/>
        <v>255.25245602685936</v>
      </c>
      <c r="S206" s="73">
        <f t="shared" si="97"/>
        <v>255.25245602685936</v>
      </c>
      <c r="T206" s="73">
        <f t="shared" si="97"/>
        <v>255.25245602685936</v>
      </c>
      <c r="U206" s="108">
        <f t="shared" si="97"/>
        <v>255.25245602685936</v>
      </c>
      <c r="V206" s="73">
        <f t="shared" si="97"/>
        <v>247.59488234605357</v>
      </c>
      <c r="W206" s="73">
        <f t="shared" si="97"/>
        <v>242.64298469913248</v>
      </c>
      <c r="X206" s="73">
        <f t="shared" si="97"/>
        <v>237.79012500514983</v>
      </c>
      <c r="Y206" s="108">
        <f t="shared" si="97"/>
        <v>233.03432250504684</v>
      </c>
      <c r="Z206" s="452"/>
      <c r="AA206" s="452"/>
      <c r="AB206" s="452"/>
      <c r="AC206" s="452"/>
      <c r="AD206" s="452"/>
      <c r="AE206" s="452"/>
      <c r="AF206" s="441"/>
      <c r="AG206" s="441"/>
      <c r="AH206" s="438"/>
      <c r="AI206" s="438"/>
      <c r="AJ206" s="449">
        <f t="shared" ref="AJ206:AK208" si="98">+AJ78-AJ230</f>
        <v>0</v>
      </c>
      <c r="AK206" s="449">
        <f t="shared" si="98"/>
        <v>396.85121399999997</v>
      </c>
      <c r="AL206" s="449">
        <f t="shared" si="96"/>
        <v>273.88856197265545</v>
      </c>
      <c r="AM206" s="449">
        <f t="shared" si="96"/>
        <v>241.88495666868766</v>
      </c>
      <c r="AN206" s="449">
        <f t="shared" si="96"/>
        <v>243.77745602685937</v>
      </c>
      <c r="AO206" s="449">
        <f t="shared" si="96"/>
        <v>229.69901613884568</v>
      </c>
      <c r="AP206" s="453"/>
      <c r="AQ206" s="454"/>
      <c r="AR206" s="454"/>
      <c r="AS206" s="455"/>
      <c r="AT206" s="455"/>
      <c r="AU206" s="455"/>
    </row>
    <row r="207" spans="1:49" s="418" customFormat="1" ht="11.4" x14ac:dyDescent="0.4">
      <c r="A207" s="205" t="s">
        <v>288</v>
      </c>
      <c r="B207" s="434"/>
      <c r="C207" s="434"/>
      <c r="D207" s="434"/>
      <c r="E207" s="435"/>
      <c r="F207" s="434"/>
      <c r="G207" s="434"/>
      <c r="H207" s="434"/>
      <c r="I207" s="435"/>
      <c r="J207" s="434"/>
      <c r="K207" s="434"/>
      <c r="L207" s="434"/>
      <c r="M207" s="108">
        <v>763</v>
      </c>
      <c r="N207" s="73">
        <v>763</v>
      </c>
      <c r="O207" s="73">
        <v>763</v>
      </c>
      <c r="P207" s="73">
        <v>763</v>
      </c>
      <c r="Q207" s="108">
        <v>763</v>
      </c>
      <c r="R207" s="73">
        <f t="shared" si="97"/>
        <v>724.85</v>
      </c>
      <c r="S207" s="73">
        <f t="shared" si="97"/>
        <v>652.36500000000001</v>
      </c>
      <c r="T207" s="73">
        <f t="shared" si="97"/>
        <v>652.36500000000001</v>
      </c>
      <c r="U207" s="108">
        <f t="shared" si="97"/>
        <v>652.36500000000001</v>
      </c>
      <c r="V207" s="73">
        <f t="shared" si="97"/>
        <v>600.17579999999998</v>
      </c>
      <c r="W207" s="73">
        <f t="shared" si="97"/>
        <v>552.16173600000002</v>
      </c>
      <c r="X207" s="73">
        <f t="shared" si="97"/>
        <v>549.40092732000005</v>
      </c>
      <c r="Y207" s="108">
        <f t="shared" si="97"/>
        <v>549.40092732000005</v>
      </c>
      <c r="Z207" s="456"/>
      <c r="AA207" s="456"/>
      <c r="AB207" s="456"/>
      <c r="AC207" s="456"/>
      <c r="AD207" s="456"/>
      <c r="AE207" s="456"/>
      <c r="AF207" s="446"/>
      <c r="AG207" s="446"/>
      <c r="AH207" s="447"/>
      <c r="AI207" s="447"/>
      <c r="AJ207" s="449">
        <f t="shared" si="98"/>
        <v>0</v>
      </c>
      <c r="AK207" s="449">
        <f t="shared" si="98"/>
        <v>0</v>
      </c>
      <c r="AL207" s="449">
        <f t="shared" si="96"/>
        <v>0</v>
      </c>
      <c r="AM207" s="449" t="e">
        <f t="shared" si="96"/>
        <v>#DIV/0!</v>
      </c>
      <c r="AN207" s="449">
        <f t="shared" si="96"/>
        <v>652.36500000000001</v>
      </c>
      <c r="AO207" s="449">
        <f t="shared" si="96"/>
        <v>549.60055785052646</v>
      </c>
      <c r="AP207" s="457"/>
      <c r="AQ207" s="458"/>
      <c r="AR207" s="458"/>
      <c r="AS207" s="459"/>
      <c r="AT207" s="459"/>
      <c r="AU207" s="459"/>
    </row>
    <row r="208" spans="1:49" s="418" customFormat="1" ht="11.4" x14ac:dyDescent="0.4">
      <c r="A208" s="205" t="s">
        <v>279</v>
      </c>
      <c r="B208" s="434"/>
      <c r="C208" s="434"/>
      <c r="D208" s="434"/>
      <c r="E208" s="435"/>
      <c r="F208" s="434"/>
      <c r="G208" s="434"/>
      <c r="H208" s="434"/>
      <c r="I208" s="435"/>
      <c r="J208" s="434"/>
      <c r="K208" s="434"/>
      <c r="L208" s="434"/>
      <c r="M208" s="108">
        <v>495</v>
      </c>
      <c r="N208" s="73">
        <v>495</v>
      </c>
      <c r="O208" s="73">
        <v>495</v>
      </c>
      <c r="P208" s="73">
        <v>495</v>
      </c>
      <c r="Q208" s="108">
        <v>495</v>
      </c>
      <c r="R208" s="73">
        <v>412.29999999999995</v>
      </c>
      <c r="S208" s="73">
        <f t="shared" si="97"/>
        <v>371.07</v>
      </c>
      <c r="T208" s="73">
        <f t="shared" si="97"/>
        <v>371.07</v>
      </c>
      <c r="U208" s="108">
        <f t="shared" si="97"/>
        <v>371.07</v>
      </c>
      <c r="V208" s="73">
        <f t="shared" si="97"/>
        <v>341.38440000000003</v>
      </c>
      <c r="W208" s="73">
        <f t="shared" si="97"/>
        <v>314.07364800000005</v>
      </c>
      <c r="X208" s="73">
        <f t="shared" si="97"/>
        <v>314.07364800000005</v>
      </c>
      <c r="Y208" s="108">
        <f t="shared" si="97"/>
        <v>314.07364800000005</v>
      </c>
      <c r="Z208" s="456"/>
      <c r="AA208" s="456"/>
      <c r="AB208" s="456"/>
      <c r="AC208" s="456"/>
      <c r="AD208" s="456"/>
      <c r="AE208" s="456"/>
      <c r="AF208" s="446"/>
      <c r="AG208" s="446"/>
      <c r="AH208" s="447"/>
      <c r="AI208" s="447"/>
      <c r="AJ208" s="449">
        <f t="shared" si="98"/>
        <v>0</v>
      </c>
      <c r="AK208" s="449">
        <f t="shared" si="98"/>
        <v>0</v>
      </c>
      <c r="AL208" s="449">
        <f t="shared" si="96"/>
        <v>0</v>
      </c>
      <c r="AM208" s="449">
        <f t="shared" si="96"/>
        <v>495.20776255707756</v>
      </c>
      <c r="AN208" s="449">
        <f t="shared" si="96"/>
        <v>369.96352941176463</v>
      </c>
      <c r="AO208" s="449">
        <f t="shared" si="96"/>
        <v>311.89627333333334</v>
      </c>
      <c r="AP208" s="457"/>
      <c r="AQ208" s="458"/>
      <c r="AR208" s="458"/>
      <c r="AS208" s="459"/>
      <c r="AT208" s="459"/>
      <c r="AU208" s="459"/>
    </row>
    <row r="209" spans="1:47" s="418" customFormat="1" ht="11.4" x14ac:dyDescent="0.4">
      <c r="A209" s="205" t="s">
        <v>268</v>
      </c>
      <c r="B209" s="434"/>
      <c r="C209" s="434"/>
      <c r="D209" s="434"/>
      <c r="E209" s="435"/>
      <c r="F209" s="434"/>
      <c r="G209" s="434"/>
      <c r="H209" s="434"/>
      <c r="I209" s="435"/>
      <c r="J209" s="434"/>
      <c r="K209" s="434"/>
      <c r="L209" s="434"/>
      <c r="M209" s="108"/>
      <c r="N209" s="73"/>
      <c r="O209" s="73"/>
      <c r="P209" s="73"/>
      <c r="Q209" s="108"/>
      <c r="R209" s="73"/>
      <c r="S209" s="73"/>
      <c r="T209" s="73"/>
      <c r="U209" s="108"/>
      <c r="V209" s="73"/>
      <c r="W209" s="73"/>
      <c r="X209" s="73">
        <v>900</v>
      </c>
      <c r="Y209" s="73">
        <v>900</v>
      </c>
      <c r="Z209" s="456"/>
      <c r="AA209" s="456"/>
      <c r="AB209" s="456"/>
      <c r="AC209" s="456"/>
      <c r="AD209" s="456"/>
      <c r="AE209" s="456"/>
      <c r="AF209" s="446"/>
      <c r="AG209" s="446"/>
      <c r="AH209" s="447"/>
      <c r="AI209" s="447"/>
      <c r="AJ209" s="449"/>
      <c r="AK209" s="449"/>
      <c r="AL209" s="449"/>
      <c r="AM209" s="449"/>
      <c r="AN209" s="449"/>
      <c r="AO209" s="449"/>
      <c r="AP209" s="457"/>
      <c r="AQ209" s="458"/>
      <c r="AR209" s="458"/>
      <c r="AS209" s="459"/>
      <c r="AT209" s="459"/>
      <c r="AU209" s="459"/>
    </row>
    <row r="210" spans="1:47" s="465" customFormat="1" ht="11.4" x14ac:dyDescent="0.4">
      <c r="A210" s="354"/>
      <c r="B210" s="443"/>
      <c r="C210" s="443"/>
      <c r="D210" s="443"/>
      <c r="E210" s="444"/>
      <c r="F210" s="425"/>
      <c r="G210" s="87"/>
      <c r="H210" s="434"/>
      <c r="I210" s="435"/>
      <c r="J210" s="434"/>
      <c r="K210" s="434"/>
      <c r="L210" s="434"/>
      <c r="M210" s="435"/>
      <c r="N210" s="434"/>
      <c r="O210" s="434"/>
      <c r="P210" s="434"/>
      <c r="Q210" s="435"/>
      <c r="R210" s="434"/>
      <c r="S210" s="434"/>
      <c r="T210" s="434"/>
      <c r="U210" s="435"/>
      <c r="V210" s="434"/>
      <c r="W210" s="434"/>
      <c r="X210" s="434"/>
      <c r="Y210" s="435"/>
      <c r="Z210" s="460"/>
      <c r="AA210" s="460"/>
      <c r="AB210" s="460"/>
      <c r="AC210" s="460"/>
      <c r="AD210" s="460"/>
      <c r="AE210" s="460"/>
      <c r="AF210" s="461"/>
      <c r="AG210" s="461"/>
      <c r="AH210" s="451"/>
      <c r="AI210" s="447"/>
      <c r="AJ210" s="447"/>
      <c r="AK210" s="447"/>
      <c r="AL210" s="447"/>
      <c r="AM210" s="447"/>
      <c r="AN210" s="447"/>
      <c r="AO210" s="447"/>
      <c r="AP210" s="462"/>
      <c r="AQ210" s="463"/>
      <c r="AR210" s="463"/>
      <c r="AS210" s="464"/>
      <c r="AT210" s="464"/>
      <c r="AU210" s="464"/>
    </row>
    <row r="211" spans="1:47" s="465" customFormat="1" ht="11.4" x14ac:dyDescent="0.4">
      <c r="A211" s="205" t="s">
        <v>315</v>
      </c>
      <c r="B211" s="443"/>
      <c r="C211" s="443"/>
      <c r="D211" s="443"/>
      <c r="E211" s="444"/>
      <c r="F211" s="425"/>
      <c r="G211" s="87"/>
      <c r="H211" s="434"/>
      <c r="I211" s="435"/>
      <c r="J211" s="434"/>
      <c r="K211" s="434"/>
      <c r="L211" s="434"/>
      <c r="M211" s="435"/>
      <c r="N211" s="434"/>
      <c r="O211" s="434"/>
      <c r="P211" s="434"/>
      <c r="Q211" s="435"/>
      <c r="R211" s="434"/>
      <c r="S211" s="434"/>
      <c r="T211" s="434"/>
      <c r="U211" s="435"/>
      <c r="V211" s="434"/>
      <c r="W211" s="434"/>
      <c r="X211" s="434"/>
      <c r="Y211" s="435"/>
      <c r="Z211" s="460"/>
      <c r="AA211" s="460"/>
      <c r="AB211" s="460"/>
      <c r="AC211" s="460"/>
      <c r="AD211" s="460"/>
      <c r="AE211" s="460"/>
      <c r="AF211" s="461"/>
      <c r="AG211" s="461"/>
      <c r="AH211" s="451"/>
      <c r="AI211" s="447"/>
      <c r="AJ211" s="447"/>
      <c r="AK211" s="447"/>
      <c r="AL211" s="447"/>
      <c r="AM211" s="447"/>
      <c r="AN211" s="447"/>
      <c r="AO211" s="447"/>
      <c r="AP211" s="462"/>
      <c r="AQ211" s="463"/>
      <c r="AR211" s="463"/>
      <c r="AS211" s="464"/>
      <c r="AT211" s="464"/>
      <c r="AU211" s="464"/>
    </row>
    <row r="212" spans="1:47" s="465" customFormat="1" ht="11.4" x14ac:dyDescent="0.4">
      <c r="A212" s="205" t="s">
        <v>262</v>
      </c>
      <c r="B212" s="466"/>
      <c r="C212" s="466">
        <v>0</v>
      </c>
      <c r="D212" s="466">
        <v>0</v>
      </c>
      <c r="E212" s="467">
        <v>0</v>
      </c>
      <c r="F212" s="466">
        <v>0.05</v>
      </c>
      <c r="G212" s="466">
        <v>0.02</v>
      </c>
      <c r="H212" s="466">
        <v>0.02</v>
      </c>
      <c r="I212" s="467">
        <v>0</v>
      </c>
      <c r="J212" s="466">
        <v>0.03</v>
      </c>
      <c r="K212" s="466">
        <v>0.02</v>
      </c>
      <c r="L212" s="466">
        <v>0.02</v>
      </c>
      <c r="M212" s="467">
        <v>0</v>
      </c>
      <c r="N212" s="466">
        <v>-0.03</v>
      </c>
      <c r="O212" s="466">
        <v>0</v>
      </c>
      <c r="P212" s="466">
        <v>0</v>
      </c>
      <c r="Q212" s="467">
        <v>0</v>
      </c>
      <c r="R212" s="466">
        <v>0</v>
      </c>
      <c r="S212" s="466">
        <v>0</v>
      </c>
      <c r="T212" s="466">
        <v>0</v>
      </c>
      <c r="U212" s="467">
        <v>0</v>
      </c>
      <c r="V212" s="466">
        <v>0</v>
      </c>
      <c r="W212" s="466">
        <v>0</v>
      </c>
      <c r="X212" s="466">
        <v>0</v>
      </c>
      <c r="Y212" s="467">
        <v>0</v>
      </c>
      <c r="Z212" s="460"/>
      <c r="AA212" s="460"/>
      <c r="AB212" s="460"/>
      <c r="AC212" s="460"/>
      <c r="AD212" s="460"/>
      <c r="AE212" s="460"/>
      <c r="AF212" s="461"/>
      <c r="AG212" s="461"/>
      <c r="AH212" s="451"/>
      <c r="AI212" s="447"/>
      <c r="AJ212" s="447"/>
      <c r="AK212" s="447">
        <f t="shared" ref="AK212:AO218" si="99">+AK200/AJ200-1</f>
        <v>7.9165072394076885E-2</v>
      </c>
      <c r="AL212" s="447">
        <f t="shared" si="99"/>
        <v>4.9452374040812375E-2</v>
      </c>
      <c r="AM212" s="447">
        <f t="shared" si="99"/>
        <v>3.6241692708687268E-3</v>
      </c>
      <c r="AN212" s="447">
        <f t="shared" si="99"/>
        <v>1.7152658662091813E-3</v>
      </c>
      <c r="AO212" s="447">
        <f t="shared" si="99"/>
        <v>0</v>
      </c>
      <c r="AP212" s="462"/>
      <c r="AQ212" s="463"/>
      <c r="AR212" s="463"/>
      <c r="AS212" s="464"/>
      <c r="AT212" s="464"/>
      <c r="AU212" s="464"/>
    </row>
    <row r="213" spans="1:47" s="465" customFormat="1" ht="11.4" x14ac:dyDescent="0.4">
      <c r="A213" s="205" t="s">
        <v>263</v>
      </c>
      <c r="B213" s="468"/>
      <c r="C213" s="466">
        <v>0</v>
      </c>
      <c r="D213" s="466">
        <v>-0.01</v>
      </c>
      <c r="E213" s="467">
        <v>-0.03</v>
      </c>
      <c r="F213" s="466">
        <v>-0.02</v>
      </c>
      <c r="G213" s="466">
        <v>0</v>
      </c>
      <c r="H213" s="466">
        <v>0</v>
      </c>
      <c r="I213" s="467">
        <v>0</v>
      </c>
      <c r="J213" s="466">
        <v>0</v>
      </c>
      <c r="K213" s="466">
        <v>0</v>
      </c>
      <c r="L213" s="466">
        <v>0</v>
      </c>
      <c r="M213" s="467">
        <v>0</v>
      </c>
      <c r="N213" s="466">
        <v>0</v>
      </c>
      <c r="O213" s="466">
        <v>0</v>
      </c>
      <c r="P213" s="466">
        <v>0</v>
      </c>
      <c r="Q213" s="467">
        <v>0</v>
      </c>
      <c r="R213" s="466">
        <v>0</v>
      </c>
      <c r="S213" s="466">
        <v>0</v>
      </c>
      <c r="T213" s="466">
        <v>0</v>
      </c>
      <c r="U213" s="467">
        <v>0</v>
      </c>
      <c r="V213" s="466">
        <v>0</v>
      </c>
      <c r="W213" s="466">
        <v>0</v>
      </c>
      <c r="X213" s="466">
        <v>0</v>
      </c>
      <c r="Y213" s="467">
        <v>0</v>
      </c>
      <c r="Z213" s="460"/>
      <c r="AA213" s="460"/>
      <c r="AB213" s="460"/>
      <c r="AC213" s="460"/>
      <c r="AD213" s="460"/>
      <c r="AE213" s="460"/>
      <c r="AF213" s="461"/>
      <c r="AG213" s="461"/>
      <c r="AH213" s="451"/>
      <c r="AI213" s="447"/>
      <c r="AJ213" s="447"/>
      <c r="AK213" s="447">
        <f t="shared" si="99"/>
        <v>-0.41875572752265555</v>
      </c>
      <c r="AL213" s="447">
        <f t="shared" si="99"/>
        <v>-1.1694373972314986E-2</v>
      </c>
      <c r="AM213" s="447">
        <f t="shared" si="99"/>
        <v>2.3265224358974823E-2</v>
      </c>
      <c r="AN213" s="447">
        <f t="shared" si="99"/>
        <v>6.7592651586001473E-4</v>
      </c>
      <c r="AO213" s="447">
        <f t="shared" si="99"/>
        <v>-6.0240963855422436E-3</v>
      </c>
      <c r="AP213" s="462"/>
      <c r="AQ213" s="463"/>
      <c r="AR213" s="463"/>
      <c r="AS213" s="464"/>
      <c r="AT213" s="464"/>
      <c r="AU213" s="464"/>
    </row>
    <row r="214" spans="1:47" s="465" customFormat="1" ht="11.4" x14ac:dyDescent="0.4">
      <c r="A214" s="205" t="s">
        <v>264</v>
      </c>
      <c r="B214" s="466"/>
      <c r="C214" s="466">
        <v>0</v>
      </c>
      <c r="D214" s="466">
        <v>-2.5000000000000001E-2</v>
      </c>
      <c r="E214" s="467">
        <v>-2.5000000000000001E-2</v>
      </c>
      <c r="F214" s="466">
        <v>-0.1</v>
      </c>
      <c r="G214" s="466">
        <v>-0.02</v>
      </c>
      <c r="H214" s="466">
        <v>0</v>
      </c>
      <c r="I214" s="467">
        <v>0</v>
      </c>
      <c r="J214" s="466">
        <v>0</v>
      </c>
      <c r="K214" s="466">
        <v>0</v>
      </c>
      <c r="L214" s="466">
        <v>0</v>
      </c>
      <c r="M214" s="467">
        <v>0</v>
      </c>
      <c r="N214" s="466">
        <v>0</v>
      </c>
      <c r="O214" s="466">
        <v>0</v>
      </c>
      <c r="P214" s="466">
        <v>0</v>
      </c>
      <c r="Q214" s="467">
        <v>0</v>
      </c>
      <c r="R214" s="466">
        <v>0</v>
      </c>
      <c r="S214" s="466">
        <v>0</v>
      </c>
      <c r="T214" s="466">
        <v>0</v>
      </c>
      <c r="U214" s="467">
        <v>0</v>
      </c>
      <c r="V214" s="466">
        <v>0</v>
      </c>
      <c r="W214" s="466">
        <v>0</v>
      </c>
      <c r="X214" s="466">
        <v>0</v>
      </c>
      <c r="Y214" s="467">
        <v>0</v>
      </c>
      <c r="Z214" s="460"/>
      <c r="AA214" s="460"/>
      <c r="AB214" s="460"/>
      <c r="AC214" s="460"/>
      <c r="AD214" s="460"/>
      <c r="AE214" s="460"/>
      <c r="AF214" s="461"/>
      <c r="AG214" s="461"/>
      <c r="AH214" s="451"/>
      <c r="AI214" s="447"/>
      <c r="AJ214" s="447"/>
      <c r="AK214" s="447">
        <f t="shared" si="99"/>
        <v>-0.17989750153894257</v>
      </c>
      <c r="AL214" s="447">
        <f t="shared" si="99"/>
        <v>-3.6368908338608286E-2</v>
      </c>
      <c r="AM214" s="447">
        <f t="shared" si="99"/>
        <v>-3.0201619455126005E-2</v>
      </c>
      <c r="AN214" s="447">
        <f t="shared" si="99"/>
        <v>4.3101552535507182E-4</v>
      </c>
      <c r="AO214" s="447">
        <f t="shared" si="99"/>
        <v>7.926829268293023E-3</v>
      </c>
      <c r="AP214" s="462"/>
      <c r="AQ214" s="463"/>
      <c r="AR214" s="463"/>
      <c r="AS214" s="464"/>
      <c r="AT214" s="464"/>
      <c r="AU214" s="464"/>
    </row>
    <row r="215" spans="1:47" s="465" customFormat="1" ht="11.4" x14ac:dyDescent="0.4">
      <c r="A215" s="205" t="s">
        <v>265</v>
      </c>
      <c r="B215" s="466"/>
      <c r="C215" s="466">
        <v>0</v>
      </c>
      <c r="D215" s="466">
        <v>-0.03</v>
      </c>
      <c r="E215" s="467">
        <v>-0.03</v>
      </c>
      <c r="F215" s="466">
        <v>-0.12</v>
      </c>
      <c r="G215" s="466">
        <v>-0.03</v>
      </c>
      <c r="H215" s="466">
        <v>0</v>
      </c>
      <c r="I215" s="467">
        <v>-0.01</v>
      </c>
      <c r="J215" s="466">
        <v>-0.21</v>
      </c>
      <c r="K215" s="466">
        <v>-0.01</v>
      </c>
      <c r="L215" s="466">
        <v>1.0999999999999999E-2</v>
      </c>
      <c r="M215" s="467">
        <v>5.0000000000000001E-3</v>
      </c>
      <c r="N215" s="466">
        <v>-0.12</v>
      </c>
      <c r="O215" s="466">
        <v>-0.08</v>
      </c>
      <c r="P215" s="466">
        <v>0</v>
      </c>
      <c r="Q215" s="467">
        <v>0</v>
      </c>
      <c r="R215" s="466">
        <v>-0.02</v>
      </c>
      <c r="S215" s="466">
        <v>0</v>
      </c>
      <c r="T215" s="466">
        <v>0</v>
      </c>
      <c r="U215" s="467">
        <v>0</v>
      </c>
      <c r="V215" s="466">
        <v>-0.03</v>
      </c>
      <c r="W215" s="466">
        <v>0</v>
      </c>
      <c r="X215" s="466">
        <v>0</v>
      </c>
      <c r="Y215" s="467">
        <v>0</v>
      </c>
      <c r="Z215" s="460"/>
      <c r="AA215" s="460"/>
      <c r="AB215" s="460"/>
      <c r="AC215" s="460"/>
      <c r="AD215" s="460"/>
      <c r="AE215" s="460"/>
      <c r="AF215" s="461"/>
      <c r="AG215" s="461"/>
      <c r="AH215" s="451"/>
      <c r="AI215" s="447"/>
      <c r="AJ215" s="447"/>
      <c r="AK215" s="447">
        <f t="shared" si="99"/>
        <v>-0.16409115402625074</v>
      </c>
      <c r="AL215" s="447">
        <f t="shared" si="99"/>
        <v>-0.21365767733379426</v>
      </c>
      <c r="AM215" s="447">
        <f t="shared" si="99"/>
        <v>-0.16397925497159604</v>
      </c>
      <c r="AN215" s="447">
        <f t="shared" si="99"/>
        <v>-5.4093417030162461E-2</v>
      </c>
      <c r="AO215" s="447">
        <f t="shared" si="99"/>
        <v>-3.0000000000000138E-2</v>
      </c>
      <c r="AP215" s="462"/>
      <c r="AQ215" s="463"/>
      <c r="AR215" s="463"/>
      <c r="AS215" s="464"/>
      <c r="AT215" s="464"/>
      <c r="AU215" s="464"/>
    </row>
    <row r="216" spans="1:47" s="465" customFormat="1" ht="11.4" x14ac:dyDescent="0.4">
      <c r="A216" s="205" t="s">
        <v>275</v>
      </c>
      <c r="B216" s="466"/>
      <c r="C216" s="466"/>
      <c r="D216" s="466"/>
      <c r="E216" s="467"/>
      <c r="F216" s="387"/>
      <c r="G216" s="466">
        <v>-0.05</v>
      </c>
      <c r="H216" s="466">
        <v>-1.7999999999999999E-2</v>
      </c>
      <c r="I216" s="467">
        <v>-2.5999999999999999E-2</v>
      </c>
      <c r="J216" s="466">
        <v>-4.4999999999999998E-2</v>
      </c>
      <c r="K216" s="466">
        <v>-0.28000000000000003</v>
      </c>
      <c r="L216" s="466">
        <v>0.01</v>
      </c>
      <c r="M216" s="467">
        <v>-0.02</v>
      </c>
      <c r="N216" s="466">
        <v>-7.0000000000000007E-2</v>
      </c>
      <c r="O216" s="466">
        <v>-0.1</v>
      </c>
      <c r="P216" s="466">
        <v>0</v>
      </c>
      <c r="Q216" s="467">
        <v>0</v>
      </c>
      <c r="R216" s="466">
        <v>-0.03</v>
      </c>
      <c r="S216" s="466">
        <v>-0.08</v>
      </c>
      <c r="T216" s="466">
        <v>0</v>
      </c>
      <c r="U216" s="467">
        <v>0</v>
      </c>
      <c r="V216" s="466">
        <v>-0.03</v>
      </c>
      <c r="W216" s="466">
        <v>-0.02</v>
      </c>
      <c r="X216" s="466">
        <v>-0.02</v>
      </c>
      <c r="Y216" s="467">
        <v>-0.02</v>
      </c>
      <c r="Z216" s="460"/>
      <c r="AA216" s="460"/>
      <c r="AB216" s="460"/>
      <c r="AC216" s="460"/>
      <c r="AD216" s="460"/>
      <c r="AE216" s="460"/>
      <c r="AF216" s="461"/>
      <c r="AG216" s="461"/>
      <c r="AH216" s="451"/>
      <c r="AI216" s="447"/>
      <c r="AJ216" s="447"/>
      <c r="AK216" s="87">
        <v>0</v>
      </c>
      <c r="AL216" s="447">
        <f t="shared" si="99"/>
        <v>-0.3261529471686947</v>
      </c>
      <c r="AM216" s="447">
        <f t="shared" si="99"/>
        <v>-0.18197651835061279</v>
      </c>
      <c r="AN216" s="447">
        <f t="shared" si="99"/>
        <v>-0.12158675567581489</v>
      </c>
      <c r="AO216" s="447">
        <f t="shared" si="99"/>
        <v>-8.8598721417507575E-2</v>
      </c>
      <c r="AP216" s="462"/>
      <c r="AQ216" s="463"/>
      <c r="AR216" s="463"/>
      <c r="AS216" s="464"/>
      <c r="AT216" s="464"/>
      <c r="AU216" s="464"/>
    </row>
    <row r="217" spans="1:47" s="465" customFormat="1" ht="11.4" x14ac:dyDescent="0.4">
      <c r="A217" s="205" t="s">
        <v>276</v>
      </c>
      <c r="B217" s="466"/>
      <c r="C217" s="466"/>
      <c r="D217" s="466"/>
      <c r="E217" s="467"/>
      <c r="F217" s="387"/>
      <c r="G217" s="466"/>
      <c r="H217" s="466"/>
      <c r="I217" s="467"/>
      <c r="J217" s="466"/>
      <c r="K217" s="466"/>
      <c r="L217" s="466"/>
      <c r="M217" s="467"/>
      <c r="N217" s="466">
        <v>-0.08</v>
      </c>
      <c r="O217" s="466">
        <v>-0.1</v>
      </c>
      <c r="P217" s="466">
        <v>0</v>
      </c>
      <c r="Q217" s="467">
        <v>0</v>
      </c>
      <c r="R217" s="466">
        <v>-0.05</v>
      </c>
      <c r="S217" s="466">
        <v>-0.1</v>
      </c>
      <c r="T217" s="466">
        <v>0</v>
      </c>
      <c r="U217" s="467">
        <v>0</v>
      </c>
      <c r="V217" s="466">
        <v>-0.03</v>
      </c>
      <c r="W217" s="466">
        <v>-0.08</v>
      </c>
      <c r="X217" s="466">
        <v>-0.01</v>
      </c>
      <c r="Y217" s="467">
        <v>-0.01</v>
      </c>
      <c r="Z217" s="460"/>
      <c r="AA217" s="460"/>
      <c r="AB217" s="460"/>
      <c r="AC217" s="460"/>
      <c r="AD217" s="460"/>
      <c r="AE217" s="460"/>
      <c r="AF217" s="461"/>
      <c r="AG217" s="461"/>
      <c r="AH217" s="451"/>
      <c r="AI217" s="447"/>
      <c r="AJ217" s="447"/>
      <c r="AK217" s="87"/>
      <c r="AL217" s="447" t="e">
        <f t="shared" si="99"/>
        <v>#DIV/0!</v>
      </c>
      <c r="AM217" s="447" t="e">
        <f t="shared" si="99"/>
        <v>#DIV/0!</v>
      </c>
      <c r="AN217" s="447">
        <f t="shared" si="99"/>
        <v>-0.16483038707638764</v>
      </c>
      <c r="AO217" s="447">
        <f t="shared" si="99"/>
        <v>-0.13654756567405057</v>
      </c>
      <c r="AP217" s="462"/>
      <c r="AQ217" s="463"/>
      <c r="AR217" s="463"/>
      <c r="AS217" s="464"/>
      <c r="AT217" s="464"/>
      <c r="AU217" s="464"/>
    </row>
    <row r="218" spans="1:47" s="465" customFormat="1" ht="11.4" x14ac:dyDescent="0.4">
      <c r="A218" s="205" t="s">
        <v>277</v>
      </c>
      <c r="B218" s="466"/>
      <c r="C218" s="466"/>
      <c r="D218" s="466"/>
      <c r="E218" s="467"/>
      <c r="F218" s="387"/>
      <c r="G218" s="466">
        <v>-0.05</v>
      </c>
      <c r="H218" s="466">
        <v>-1.7999999999999999E-2</v>
      </c>
      <c r="I218" s="467">
        <v>-2.5999999999999999E-2</v>
      </c>
      <c r="J218" s="466">
        <v>-4.4999999999999998E-2</v>
      </c>
      <c r="K218" s="466">
        <v>-0.25</v>
      </c>
      <c r="L218" s="466">
        <v>0.01</v>
      </c>
      <c r="M218" s="467">
        <v>-0.02</v>
      </c>
      <c r="N218" s="466">
        <v>-0.03</v>
      </c>
      <c r="O218" s="466">
        <v>-0.05</v>
      </c>
      <c r="P218" s="466">
        <v>0</v>
      </c>
      <c r="Q218" s="467">
        <v>0</v>
      </c>
      <c r="R218" s="466">
        <v>0</v>
      </c>
      <c r="S218" s="466">
        <v>0</v>
      </c>
      <c r="T218" s="466">
        <v>0</v>
      </c>
      <c r="U218" s="467">
        <v>0</v>
      </c>
      <c r="V218" s="466">
        <v>-0.03</v>
      </c>
      <c r="W218" s="466">
        <v>-0.02</v>
      </c>
      <c r="X218" s="466">
        <v>-0.02</v>
      </c>
      <c r="Y218" s="467">
        <v>-0.02</v>
      </c>
      <c r="Z218" s="460"/>
      <c r="AA218" s="460"/>
      <c r="AB218" s="460"/>
      <c r="AC218" s="460"/>
      <c r="AD218" s="460"/>
      <c r="AE218" s="460"/>
      <c r="AF218" s="461"/>
      <c r="AG218" s="461"/>
      <c r="AH218" s="451"/>
      <c r="AI218" s="447"/>
      <c r="AJ218" s="447"/>
      <c r="AK218" s="87">
        <v>0</v>
      </c>
      <c r="AL218" s="447">
        <f t="shared" si="99"/>
        <v>-0.30984572476914363</v>
      </c>
      <c r="AM218" s="447">
        <f t="shared" si="99"/>
        <v>-0.11684900265080422</v>
      </c>
      <c r="AN218" s="447">
        <f t="shared" si="99"/>
        <v>7.8239646823670128E-3</v>
      </c>
      <c r="AO218" s="447">
        <f t="shared" si="99"/>
        <v>-5.7751197003477306E-2</v>
      </c>
      <c r="AP218" s="462"/>
      <c r="AQ218" s="463"/>
      <c r="AR218" s="463"/>
      <c r="AS218" s="464"/>
      <c r="AT218" s="464"/>
      <c r="AU218" s="464"/>
    </row>
    <row r="219" spans="1:47" s="465" customFormat="1" ht="11.4" x14ac:dyDescent="0.4">
      <c r="A219" s="205" t="s">
        <v>288</v>
      </c>
      <c r="B219" s="466"/>
      <c r="C219" s="466"/>
      <c r="D219" s="466"/>
      <c r="E219" s="467"/>
      <c r="F219" s="387"/>
      <c r="G219" s="387"/>
      <c r="H219" s="466"/>
      <c r="I219" s="467"/>
      <c r="J219" s="466"/>
      <c r="K219" s="466"/>
      <c r="L219" s="466"/>
      <c r="M219" s="467"/>
      <c r="N219" s="466">
        <v>0</v>
      </c>
      <c r="O219" s="466">
        <v>0</v>
      </c>
      <c r="P219" s="466">
        <v>0</v>
      </c>
      <c r="Q219" s="467">
        <v>0</v>
      </c>
      <c r="R219" s="466">
        <v>-0.05</v>
      </c>
      <c r="S219" s="466">
        <v>-0.1</v>
      </c>
      <c r="T219" s="466">
        <v>0</v>
      </c>
      <c r="U219" s="467">
        <v>0</v>
      </c>
      <c r="V219" s="466">
        <v>-0.08</v>
      </c>
      <c r="W219" s="466">
        <v>-0.08</v>
      </c>
      <c r="X219" s="466">
        <v>-5.0000000000000001E-3</v>
      </c>
      <c r="Y219" s="467">
        <v>0</v>
      </c>
      <c r="Z219" s="460"/>
      <c r="AA219" s="460"/>
      <c r="AB219" s="460"/>
      <c r="AC219" s="460"/>
      <c r="AD219" s="460"/>
      <c r="AE219" s="460"/>
      <c r="AF219" s="461"/>
      <c r="AG219" s="461"/>
      <c r="AH219" s="451"/>
      <c r="AI219" s="447"/>
      <c r="AJ219" s="447"/>
      <c r="AK219" s="87">
        <v>0</v>
      </c>
      <c r="AL219" s="87">
        <v>0</v>
      </c>
      <c r="AM219" s="87">
        <v>0</v>
      </c>
      <c r="AN219" s="447" t="e">
        <f>+AN207/AM207-1</f>
        <v>#DIV/0!</v>
      </c>
      <c r="AO219" s="447">
        <f>+AO207/AN207-1</f>
        <v>-0.15752598951426511</v>
      </c>
      <c r="AP219" s="462"/>
      <c r="AQ219" s="463"/>
      <c r="AR219" s="463"/>
      <c r="AS219" s="464"/>
      <c r="AT219" s="464"/>
      <c r="AU219" s="464"/>
    </row>
    <row r="220" spans="1:47" s="465" customFormat="1" ht="11.4" x14ac:dyDescent="0.4">
      <c r="A220" s="205" t="s">
        <v>279</v>
      </c>
      <c r="B220" s="466"/>
      <c r="C220" s="466"/>
      <c r="D220" s="466"/>
      <c r="E220" s="467"/>
      <c r="F220" s="387"/>
      <c r="G220" s="387"/>
      <c r="H220" s="466"/>
      <c r="I220" s="467"/>
      <c r="J220" s="466"/>
      <c r="K220" s="466"/>
      <c r="L220" s="466"/>
      <c r="M220" s="467"/>
      <c r="N220" s="466">
        <v>0</v>
      </c>
      <c r="O220" s="466">
        <v>0</v>
      </c>
      <c r="P220" s="466">
        <v>0</v>
      </c>
      <c r="Q220" s="467">
        <v>0</v>
      </c>
      <c r="R220" s="466">
        <v>-0.05</v>
      </c>
      <c r="S220" s="466">
        <v>-0.1</v>
      </c>
      <c r="T220" s="466">
        <v>0</v>
      </c>
      <c r="U220" s="467">
        <v>0</v>
      </c>
      <c r="V220" s="466">
        <v>-0.08</v>
      </c>
      <c r="W220" s="466">
        <v>-0.08</v>
      </c>
      <c r="X220" s="466">
        <v>0</v>
      </c>
      <c r="Y220" s="467">
        <v>0</v>
      </c>
      <c r="Z220" s="460"/>
      <c r="AA220" s="460"/>
      <c r="AB220" s="460"/>
      <c r="AC220" s="460"/>
      <c r="AD220" s="460"/>
      <c r="AE220" s="460"/>
      <c r="AF220" s="461"/>
      <c r="AG220" s="461"/>
      <c r="AH220" s="451"/>
      <c r="AI220" s="447"/>
      <c r="AJ220" s="447"/>
      <c r="AK220" s="87"/>
      <c r="AL220" s="87"/>
      <c r="AM220" s="87">
        <v>0</v>
      </c>
      <c r="AN220" s="447">
        <f>+AN208/AM208-1</f>
        <v>-0.25291249979321018</v>
      </c>
      <c r="AO220" s="447">
        <f>+AO208/AN208-1</f>
        <v>-0.15695400076531107</v>
      </c>
      <c r="AP220" s="462"/>
      <c r="AQ220" s="463"/>
      <c r="AR220" s="463"/>
      <c r="AS220" s="464"/>
      <c r="AT220" s="464"/>
      <c r="AU220" s="464"/>
    </row>
    <row r="221" spans="1:47" s="465" customFormat="1" ht="11.4" x14ac:dyDescent="0.4">
      <c r="A221" s="205" t="s">
        <v>268</v>
      </c>
      <c r="B221" s="466"/>
      <c r="C221" s="466"/>
      <c r="D221" s="466"/>
      <c r="E221" s="467"/>
      <c r="F221" s="387"/>
      <c r="G221" s="387"/>
      <c r="H221" s="466"/>
      <c r="I221" s="467"/>
      <c r="J221" s="466"/>
      <c r="K221" s="466"/>
      <c r="L221" s="466"/>
      <c r="M221" s="467"/>
      <c r="N221" s="466"/>
      <c r="O221" s="466"/>
      <c r="P221" s="466"/>
      <c r="Q221" s="467"/>
      <c r="R221" s="466"/>
      <c r="S221" s="466"/>
      <c r="T221" s="466"/>
      <c r="U221" s="467"/>
      <c r="V221" s="466"/>
      <c r="W221" s="466"/>
      <c r="X221" s="466"/>
      <c r="Y221" s="467"/>
      <c r="Z221" s="460"/>
      <c r="AA221" s="460"/>
      <c r="AB221" s="460"/>
      <c r="AC221" s="460"/>
      <c r="AD221" s="460"/>
      <c r="AE221" s="460"/>
      <c r="AF221" s="461"/>
      <c r="AG221" s="461"/>
      <c r="AH221" s="451"/>
      <c r="AI221" s="447"/>
      <c r="AJ221" s="447"/>
      <c r="AK221" s="87"/>
      <c r="AL221" s="87"/>
      <c r="AM221" s="87"/>
      <c r="AN221" s="447"/>
      <c r="AO221" s="447"/>
      <c r="AP221" s="462"/>
      <c r="AQ221" s="463"/>
      <c r="AR221" s="463"/>
      <c r="AS221" s="464"/>
      <c r="AT221" s="464"/>
      <c r="AU221" s="464"/>
    </row>
    <row r="222" spans="1:47" s="465" customFormat="1" ht="11.4" x14ac:dyDescent="0.4">
      <c r="A222" s="354"/>
      <c r="B222" s="443"/>
      <c r="C222" s="443"/>
      <c r="D222" s="443"/>
      <c r="E222" s="444"/>
      <c r="F222" s="425"/>
      <c r="G222" s="87"/>
      <c r="H222" s="434"/>
      <c r="I222" s="435"/>
      <c r="J222" s="434"/>
      <c r="K222" s="434"/>
      <c r="L222" s="434"/>
      <c r="M222" s="435"/>
      <c r="N222" s="434"/>
      <c r="O222" s="434"/>
      <c r="P222" s="434"/>
      <c r="Q222" s="435"/>
      <c r="R222" s="434"/>
      <c r="S222" s="434"/>
      <c r="T222" s="434"/>
      <c r="U222" s="435"/>
      <c r="V222" s="434"/>
      <c r="W222" s="434"/>
      <c r="X222" s="434"/>
      <c r="Y222" s="435"/>
      <c r="Z222" s="460"/>
      <c r="AA222" s="460"/>
      <c r="AB222" s="460"/>
      <c r="AC222" s="460"/>
      <c r="AD222" s="460"/>
      <c r="AE222" s="460"/>
      <c r="AF222" s="461"/>
      <c r="AG222" s="461"/>
      <c r="AH222" s="451"/>
      <c r="AI222" s="447"/>
      <c r="AJ222" s="447"/>
      <c r="AK222" s="447"/>
      <c r="AL222" s="447"/>
      <c r="AM222" s="447"/>
      <c r="AN222" s="447"/>
      <c r="AO222" s="447"/>
      <c r="AP222" s="462"/>
      <c r="AQ222" s="463"/>
      <c r="AR222" s="463"/>
      <c r="AS222" s="464"/>
      <c r="AT222" s="464"/>
      <c r="AU222" s="464"/>
    </row>
    <row r="223" spans="1:47" s="465" customFormat="1" ht="11.4" x14ac:dyDescent="0.4">
      <c r="A223" s="205" t="s">
        <v>316</v>
      </c>
      <c r="B223" s="443"/>
      <c r="C223" s="443"/>
      <c r="D223" s="443"/>
      <c r="E223" s="444"/>
      <c r="F223" s="425"/>
      <c r="G223" s="87"/>
      <c r="H223" s="87"/>
      <c r="I223" s="151"/>
      <c r="J223" s="87"/>
      <c r="K223" s="87"/>
      <c r="L223" s="434"/>
      <c r="M223" s="435"/>
      <c r="N223" s="434"/>
      <c r="O223" s="434"/>
      <c r="P223" s="434"/>
      <c r="Q223" s="435"/>
      <c r="R223" s="434"/>
      <c r="S223" s="434"/>
      <c r="T223" s="434"/>
      <c r="U223" s="435"/>
      <c r="V223" s="434"/>
      <c r="W223" s="434"/>
      <c r="X223" s="434"/>
      <c r="Y223" s="435"/>
      <c r="Z223" s="460"/>
      <c r="AA223" s="460"/>
      <c r="AB223" s="460"/>
      <c r="AC223" s="460"/>
      <c r="AD223" s="460"/>
      <c r="AE223" s="460"/>
      <c r="AF223" s="461"/>
      <c r="AG223" s="461"/>
      <c r="AH223" s="451"/>
      <c r="AI223" s="447"/>
      <c r="AJ223" s="447"/>
      <c r="AK223" s="447"/>
      <c r="AL223" s="447"/>
      <c r="AM223" s="447"/>
      <c r="AN223" s="447"/>
      <c r="AO223" s="447"/>
      <c r="AP223" s="462"/>
      <c r="AQ223" s="463"/>
      <c r="AR223" s="463"/>
      <c r="AS223" s="464"/>
      <c r="AT223" s="464"/>
      <c r="AU223" s="464"/>
    </row>
    <row r="224" spans="1:47" s="465" customFormat="1" ht="11.4" x14ac:dyDescent="0.4">
      <c r="A224" s="205" t="s">
        <v>262</v>
      </c>
      <c r="B224" s="73">
        <f t="shared" ref="B224:Y224" si="100">+B106/B$103-B200</f>
        <v>5</v>
      </c>
      <c r="C224" s="73">
        <f t="shared" si="100"/>
        <v>5</v>
      </c>
      <c r="D224" s="73">
        <f t="shared" si="100"/>
        <v>5</v>
      </c>
      <c r="E224" s="108">
        <f t="shared" si="100"/>
        <v>5</v>
      </c>
      <c r="F224" s="73">
        <f t="shared" si="100"/>
        <v>5.3890410958904091</v>
      </c>
      <c r="G224" s="73">
        <f t="shared" si="100"/>
        <v>4.8850410958904078</v>
      </c>
      <c r="H224" s="73">
        <f t="shared" si="100"/>
        <v>4.3709610958904079</v>
      </c>
      <c r="I224" s="108">
        <f t="shared" si="100"/>
        <v>4.3709610958904079</v>
      </c>
      <c r="J224" s="73">
        <f t="shared" si="100"/>
        <v>6.6433228054794533</v>
      </c>
      <c r="K224" s="73">
        <f t="shared" si="100"/>
        <v>6.103230357479454</v>
      </c>
      <c r="L224" s="73">
        <f t="shared" si="100"/>
        <v>6.9943908550399989</v>
      </c>
      <c r="M224" s="108">
        <f t="shared" si="100"/>
        <v>6.9943908550399989</v>
      </c>
      <c r="N224" s="73">
        <f t="shared" si="100"/>
        <v>6.6272591293888006</v>
      </c>
      <c r="O224" s="73">
        <f t="shared" si="100"/>
        <v>6.3952043348682572</v>
      </c>
      <c r="P224" s="73">
        <f t="shared" si="100"/>
        <v>6.3952043348682572</v>
      </c>
      <c r="Q224" s="108">
        <f t="shared" si="100"/>
        <v>6.3952043348682572</v>
      </c>
      <c r="R224" s="73">
        <f t="shared" si="100"/>
        <v>6.3952043348682572</v>
      </c>
      <c r="S224" s="73">
        <f t="shared" si="100"/>
        <v>6.3952043348682572</v>
      </c>
      <c r="T224" s="73">
        <f t="shared" si="100"/>
        <v>6.3952043348682572</v>
      </c>
      <c r="U224" s="108">
        <f t="shared" si="100"/>
        <v>6.3952043348682572</v>
      </c>
      <c r="V224" s="73">
        <f t="shared" si="100"/>
        <v>6.3952043348682572</v>
      </c>
      <c r="W224" s="73">
        <f t="shared" si="100"/>
        <v>6.3952043348682572</v>
      </c>
      <c r="X224" s="73">
        <f t="shared" si="100"/>
        <v>6.3952043348682572</v>
      </c>
      <c r="Y224" s="108">
        <f t="shared" si="100"/>
        <v>6.3952043348682572</v>
      </c>
      <c r="Z224" s="460"/>
      <c r="AA224" s="460"/>
      <c r="AB224" s="460"/>
      <c r="AC224" s="460"/>
      <c r="AD224" s="460"/>
      <c r="AE224" s="460"/>
      <c r="AF224" s="461"/>
      <c r="AG224" s="461"/>
      <c r="AH224" s="447"/>
      <c r="AI224" s="447"/>
      <c r="AJ224" s="73">
        <f t="shared" ref="AJ224:AO227" si="101">+AJ249/AJ$103/AJ60</f>
        <v>5</v>
      </c>
      <c r="AK224" s="73">
        <f t="shared" si="101"/>
        <v>4.7585865485546606</v>
      </c>
      <c r="AL224" s="73">
        <f t="shared" si="101"/>
        <v>6.5401133582246569</v>
      </c>
      <c r="AM224" s="73">
        <f t="shared" si="101"/>
        <v>6.44186998704396</v>
      </c>
      <c r="AN224" s="73">
        <f t="shared" si="101"/>
        <v>6.3952043348682581</v>
      </c>
      <c r="AO224" s="73">
        <f t="shared" si="101"/>
        <v>6.3952043348682572</v>
      </c>
      <c r="AP224" s="462"/>
      <c r="AQ224" s="463"/>
      <c r="AR224" s="463"/>
      <c r="AS224" s="464"/>
      <c r="AT224" s="464"/>
      <c r="AU224" s="464"/>
    </row>
    <row r="225" spans="1:49" s="418" customFormat="1" ht="11.4" x14ac:dyDescent="0.4">
      <c r="A225" s="205" t="s">
        <v>263</v>
      </c>
      <c r="B225" s="73">
        <f>+B237*B73</f>
        <v>32.200000000000003</v>
      </c>
      <c r="C225" s="73">
        <f t="shared" ref="C225:Y226" si="102">+C237*C73</f>
        <v>32.200000000000003</v>
      </c>
      <c r="D225" s="73">
        <f t="shared" si="102"/>
        <v>33.349999999999994</v>
      </c>
      <c r="E225" s="108">
        <f t="shared" si="102"/>
        <v>35.65</v>
      </c>
      <c r="F225" s="73">
        <f t="shared" si="102"/>
        <v>19.43</v>
      </c>
      <c r="G225" s="73">
        <f t="shared" si="102"/>
        <v>19.43</v>
      </c>
      <c r="H225" s="73">
        <f t="shared" si="102"/>
        <v>19.43</v>
      </c>
      <c r="I225" s="108">
        <f t="shared" si="102"/>
        <v>19.43</v>
      </c>
      <c r="J225" s="73">
        <f t="shared" si="102"/>
        <v>16</v>
      </c>
      <c r="K225" s="73">
        <f t="shared" si="102"/>
        <v>16</v>
      </c>
      <c r="L225" s="73">
        <f t="shared" si="102"/>
        <v>16</v>
      </c>
      <c r="M225" s="108">
        <f t="shared" si="102"/>
        <v>16</v>
      </c>
      <c r="N225" s="73">
        <f t="shared" si="102"/>
        <v>12.809999999999999</v>
      </c>
      <c r="O225" s="73">
        <f t="shared" si="102"/>
        <v>12.809999999999999</v>
      </c>
      <c r="P225" s="73">
        <f t="shared" si="102"/>
        <v>12.809999999999999</v>
      </c>
      <c r="Q225" s="108">
        <f t="shared" si="102"/>
        <v>12.809999999999999</v>
      </c>
      <c r="R225" s="73">
        <f t="shared" si="102"/>
        <v>9.8600000000000012</v>
      </c>
      <c r="S225" s="73">
        <f t="shared" si="102"/>
        <v>9.8600000000000012</v>
      </c>
      <c r="T225" s="73">
        <f t="shared" si="102"/>
        <v>9.8600000000000012</v>
      </c>
      <c r="U225" s="108">
        <f t="shared" si="102"/>
        <v>9.8600000000000012</v>
      </c>
      <c r="V225" s="73">
        <f t="shared" si="102"/>
        <v>7.15</v>
      </c>
      <c r="W225" s="73">
        <f t="shared" si="102"/>
        <v>7.15</v>
      </c>
      <c r="X225" s="73">
        <f t="shared" si="102"/>
        <v>7.15</v>
      </c>
      <c r="Y225" s="108">
        <f t="shared" si="102"/>
        <v>7.15</v>
      </c>
      <c r="Z225" s="456"/>
      <c r="AA225" s="456"/>
      <c r="AB225" s="456"/>
      <c r="AC225" s="456"/>
      <c r="AD225" s="456"/>
      <c r="AE225" s="456"/>
      <c r="AF225" s="446"/>
      <c r="AG225" s="446"/>
      <c r="AH225" s="447"/>
      <c r="AI225" s="447"/>
      <c r="AJ225" s="73">
        <f t="shared" si="101"/>
        <v>33.158333333333331</v>
      </c>
      <c r="AK225" s="73">
        <f t="shared" si="101"/>
        <v>19.43</v>
      </c>
      <c r="AL225" s="73">
        <f t="shared" si="101"/>
        <v>15.671232876712329</v>
      </c>
      <c r="AM225" s="73">
        <f t="shared" si="101"/>
        <v>12.788065068493149</v>
      </c>
      <c r="AN225" s="73">
        <f t="shared" si="101"/>
        <v>9.8600000000000012</v>
      </c>
      <c r="AO225" s="73">
        <f t="shared" si="101"/>
        <v>7.15</v>
      </c>
      <c r="AP225" s="457"/>
      <c r="AQ225" s="458"/>
      <c r="AR225" s="458"/>
      <c r="AS225" s="459"/>
      <c r="AT225" s="459"/>
      <c r="AU225" s="459"/>
    </row>
    <row r="226" spans="1:49" s="442" customFormat="1" ht="11.4" x14ac:dyDescent="0.4">
      <c r="A226" s="205" t="s">
        <v>264</v>
      </c>
      <c r="B226" s="73">
        <f>+B238*B74</f>
        <v>59.068493150684937</v>
      </c>
      <c r="C226" s="73">
        <f t="shared" si="102"/>
        <v>59.068493150684937</v>
      </c>
      <c r="D226" s="73">
        <f t="shared" si="102"/>
        <v>63.287671232876711</v>
      </c>
      <c r="E226" s="108">
        <f t="shared" si="102"/>
        <v>67.506849315068493</v>
      </c>
      <c r="F226" s="73">
        <f t="shared" si="102"/>
        <v>57.6</v>
      </c>
      <c r="G226" s="73">
        <f t="shared" si="102"/>
        <v>59.400000000000006</v>
      </c>
      <c r="H226" s="73">
        <f t="shared" si="102"/>
        <v>59.400000000000006</v>
      </c>
      <c r="I226" s="108">
        <f t="shared" si="102"/>
        <v>59.400000000000006</v>
      </c>
      <c r="J226" s="73">
        <f t="shared" si="102"/>
        <v>42.120000000000005</v>
      </c>
      <c r="K226" s="73">
        <f t="shared" si="102"/>
        <v>42.120000000000005</v>
      </c>
      <c r="L226" s="73">
        <f t="shared" si="102"/>
        <v>42.120000000000005</v>
      </c>
      <c r="M226" s="108">
        <f t="shared" si="102"/>
        <v>42.120000000000005</v>
      </c>
      <c r="N226" s="73">
        <f t="shared" si="102"/>
        <v>32.076000000000001</v>
      </c>
      <c r="O226" s="73">
        <f t="shared" si="102"/>
        <v>32.076000000000001</v>
      </c>
      <c r="P226" s="73">
        <f t="shared" si="102"/>
        <v>32.076000000000001</v>
      </c>
      <c r="Q226" s="108">
        <f t="shared" si="102"/>
        <v>32.076000000000001</v>
      </c>
      <c r="R226" s="73">
        <f t="shared" si="102"/>
        <v>24.931800000000003</v>
      </c>
      <c r="S226" s="73">
        <f t="shared" si="102"/>
        <v>24.931800000000003</v>
      </c>
      <c r="T226" s="73">
        <f t="shared" si="102"/>
        <v>24.931800000000003</v>
      </c>
      <c r="U226" s="108">
        <f t="shared" si="102"/>
        <v>24.931800000000003</v>
      </c>
      <c r="V226" s="73">
        <f t="shared" si="102"/>
        <v>17.105985000000004</v>
      </c>
      <c r="W226" s="73">
        <f t="shared" si="102"/>
        <v>17.105985000000004</v>
      </c>
      <c r="X226" s="73">
        <f t="shared" si="102"/>
        <v>17.105985000000004</v>
      </c>
      <c r="Y226" s="108">
        <f t="shared" si="102"/>
        <v>17.105985000000004</v>
      </c>
      <c r="Z226" s="452"/>
      <c r="AA226" s="452"/>
      <c r="AB226" s="452"/>
      <c r="AC226" s="452"/>
      <c r="AD226" s="452"/>
      <c r="AE226" s="452"/>
      <c r="AF226" s="441"/>
      <c r="AG226" s="441"/>
      <c r="AH226" s="438"/>
      <c r="AI226" s="438"/>
      <c r="AJ226" s="73">
        <f t="shared" si="101"/>
        <v>62.827397260273969</v>
      </c>
      <c r="AK226" s="73">
        <f t="shared" si="101"/>
        <v>58.516981132075465</v>
      </c>
      <c r="AL226" s="73">
        <f t="shared" si="101"/>
        <v>41.130880626223089</v>
      </c>
      <c r="AM226" s="73">
        <f t="shared" si="101"/>
        <v>32.021075342465757</v>
      </c>
      <c r="AN226" s="73">
        <f t="shared" si="101"/>
        <v>24.931800000000003</v>
      </c>
      <c r="AO226" s="73">
        <f t="shared" si="101"/>
        <v>17.105985000000004</v>
      </c>
      <c r="AP226" s="453"/>
      <c r="AQ226" s="454"/>
      <c r="AR226" s="454"/>
      <c r="AS226" s="455"/>
      <c r="AT226" s="455"/>
      <c r="AU226" s="455"/>
    </row>
    <row r="227" spans="1:49" s="442" customFormat="1" ht="11.4" x14ac:dyDescent="0.4">
      <c r="A227" s="205" t="s">
        <v>265</v>
      </c>
      <c r="B227" s="73">
        <f t="shared" ref="B227:Y232" si="103">+B75-B203</f>
        <v>172</v>
      </c>
      <c r="C227" s="73">
        <f t="shared" si="103"/>
        <v>172</v>
      </c>
      <c r="D227" s="73">
        <f t="shared" si="103"/>
        <v>182.44</v>
      </c>
      <c r="E227" s="108">
        <f t="shared" si="103"/>
        <v>192.5668</v>
      </c>
      <c r="F227" s="73">
        <f t="shared" si="103"/>
        <v>131.85878400000001</v>
      </c>
      <c r="G227" s="73">
        <f t="shared" si="103"/>
        <v>140.50302048000003</v>
      </c>
      <c r="H227" s="73">
        <f t="shared" si="103"/>
        <v>140.50302048000003</v>
      </c>
      <c r="I227" s="108">
        <f t="shared" si="103"/>
        <v>143.29799027520005</v>
      </c>
      <c r="J227" s="73">
        <f t="shared" si="103"/>
        <v>87.405412317408036</v>
      </c>
      <c r="K227" s="73">
        <f t="shared" si="103"/>
        <v>89.591358194233948</v>
      </c>
      <c r="L227" s="73">
        <f t="shared" si="103"/>
        <v>87.210863134370555</v>
      </c>
      <c r="M227" s="108">
        <f t="shared" si="103"/>
        <v>86.116917450042422</v>
      </c>
      <c r="N227" s="73">
        <f t="shared" si="103"/>
        <v>81.902887356037354</v>
      </c>
      <c r="O227" s="73">
        <f t="shared" si="103"/>
        <v>97.382656367554347</v>
      </c>
      <c r="P227" s="73">
        <f t="shared" si="103"/>
        <v>97.382656367554347</v>
      </c>
      <c r="Q227" s="108">
        <f t="shared" si="103"/>
        <v>97.382656367554347</v>
      </c>
      <c r="R227" s="73">
        <f t="shared" si="103"/>
        <v>73.403003240203276</v>
      </c>
      <c r="S227" s="73">
        <f t="shared" si="103"/>
        <v>73.403003240203276</v>
      </c>
      <c r="T227" s="73">
        <f t="shared" si="103"/>
        <v>73.403003240203276</v>
      </c>
      <c r="U227" s="108">
        <f t="shared" si="103"/>
        <v>73.403003240203276</v>
      </c>
      <c r="V227" s="73">
        <f t="shared" si="103"/>
        <v>53.850713142997193</v>
      </c>
      <c r="W227" s="73">
        <f t="shared" si="103"/>
        <v>53.850713142997193</v>
      </c>
      <c r="X227" s="73">
        <f t="shared" si="103"/>
        <v>53.850713142997193</v>
      </c>
      <c r="Y227" s="108">
        <f t="shared" si="103"/>
        <v>53.850713142997193</v>
      </c>
      <c r="Z227" s="452"/>
      <c r="AA227" s="452"/>
      <c r="AB227" s="452"/>
      <c r="AC227" s="452"/>
      <c r="AD227" s="452"/>
      <c r="AE227" s="452"/>
      <c r="AF227" s="441"/>
      <c r="AG227" s="441"/>
      <c r="AH227" s="451"/>
      <c r="AI227" s="447"/>
      <c r="AJ227" s="73">
        <f t="shared" si="101"/>
        <v>184.3763797198132</v>
      </c>
      <c r="AK227" s="73">
        <f t="shared" si="101"/>
        <v>139.4492468900572</v>
      </c>
      <c r="AL227" s="73">
        <f t="shared" si="101"/>
        <v>85.391069173774355</v>
      </c>
      <c r="AM227" s="73">
        <f t="shared" si="101"/>
        <v>90.966357290739239</v>
      </c>
      <c r="AN227" s="73">
        <f t="shared" si="101"/>
        <v>73.403003240203276</v>
      </c>
      <c r="AO227" s="73">
        <f t="shared" si="101"/>
        <v>53.850713142997201</v>
      </c>
      <c r="AP227" s="453"/>
      <c r="AQ227" s="454"/>
      <c r="AR227" s="454"/>
      <c r="AS227" s="455"/>
      <c r="AT227" s="455"/>
      <c r="AU227" s="455"/>
    </row>
    <row r="228" spans="1:49" s="418" customFormat="1" ht="11.4" x14ac:dyDescent="0.4">
      <c r="A228" s="205" t="s">
        <v>275</v>
      </c>
      <c r="C228" s="434"/>
      <c r="D228" s="434"/>
      <c r="E228" s="435"/>
      <c r="F228" s="73">
        <f t="shared" si="103"/>
        <v>280</v>
      </c>
      <c r="G228" s="73">
        <f t="shared" si="103"/>
        <v>310</v>
      </c>
      <c r="H228" s="73">
        <f t="shared" si="103"/>
        <v>320.26</v>
      </c>
      <c r="I228" s="108">
        <f t="shared" si="103"/>
        <v>334.81323999999995</v>
      </c>
      <c r="J228" s="73">
        <f t="shared" si="103"/>
        <v>286.34664420000001</v>
      </c>
      <c r="K228" s="73">
        <f t="shared" si="103"/>
        <v>225.12958382400001</v>
      </c>
      <c r="L228" s="73">
        <f t="shared" si="103"/>
        <v>221.38087966223998</v>
      </c>
      <c r="M228" s="108">
        <f t="shared" si="103"/>
        <v>228.95326206899517</v>
      </c>
      <c r="N228" s="73">
        <f t="shared" si="103"/>
        <v>224.92653372416555</v>
      </c>
      <c r="O228" s="73">
        <f t="shared" si="103"/>
        <v>199.433880351749</v>
      </c>
      <c r="P228" s="73">
        <f t="shared" si="103"/>
        <v>199.433880351749</v>
      </c>
      <c r="Q228" s="108">
        <f t="shared" si="103"/>
        <v>199.433880351749</v>
      </c>
      <c r="R228" s="73">
        <f t="shared" si="103"/>
        <v>193.45086394119653</v>
      </c>
      <c r="S228" s="73">
        <f t="shared" si="103"/>
        <v>156.35079482590083</v>
      </c>
      <c r="T228" s="73">
        <f t="shared" si="103"/>
        <v>156.35079482590083</v>
      </c>
      <c r="U228" s="108">
        <f t="shared" si="103"/>
        <v>156.35079482590083</v>
      </c>
      <c r="V228" s="73">
        <f t="shared" si="103"/>
        <v>155.99527098112378</v>
      </c>
      <c r="W228" s="73">
        <f t="shared" si="103"/>
        <v>105.01696556150131</v>
      </c>
      <c r="X228" s="73">
        <f t="shared" si="103"/>
        <v>110.28612625027131</v>
      </c>
      <c r="Y228" s="108">
        <f t="shared" si="103"/>
        <v>115.4499037252659</v>
      </c>
      <c r="Z228" s="456"/>
      <c r="AA228" s="456"/>
      <c r="AB228" s="456"/>
      <c r="AC228" s="456"/>
      <c r="AD228" s="456"/>
      <c r="AE228" s="456"/>
      <c r="AF228" s="446"/>
      <c r="AG228" s="446"/>
      <c r="AH228" s="447"/>
      <c r="AI228" s="447"/>
      <c r="AJ228" s="73">
        <v>0</v>
      </c>
      <c r="AK228" s="73">
        <f>+AK253/AK$103/AK64</f>
        <v>326.77106250000003</v>
      </c>
      <c r="AL228" s="73">
        <f>+AL253/AL$103/AL64</f>
        <v>227.20831092463058</v>
      </c>
      <c r="AM228" s="73">
        <f>+AM253/AM$103/AM64</f>
        <v>205.04764457261052</v>
      </c>
      <c r="AN228" s="73">
        <f>+AN253/AN$103/AN64</f>
        <v>165.62581210472479</v>
      </c>
      <c r="AO228" s="73">
        <f>+AO253/AO$103/AO64</f>
        <v>124.33412265299931</v>
      </c>
      <c r="AP228" s="457"/>
      <c r="AQ228" s="458"/>
      <c r="AR228" s="458"/>
      <c r="AS228" s="459"/>
      <c r="AT228" s="459"/>
      <c r="AU228" s="459"/>
    </row>
    <row r="229" spans="1:49" s="418" customFormat="1" ht="11.4" x14ac:dyDescent="0.4">
      <c r="A229" s="205" t="s">
        <v>276</v>
      </c>
      <c r="C229" s="434"/>
      <c r="D229" s="434"/>
      <c r="E229" s="435"/>
      <c r="F229" s="73"/>
      <c r="G229" s="73"/>
      <c r="H229" s="73"/>
      <c r="I229" s="108"/>
      <c r="J229" s="73"/>
      <c r="K229" s="73"/>
      <c r="L229" s="73">
        <f t="shared" si="103"/>
        <v>226</v>
      </c>
      <c r="M229" s="108">
        <f t="shared" si="103"/>
        <v>226</v>
      </c>
      <c r="N229" s="73">
        <f t="shared" si="103"/>
        <v>222.92</v>
      </c>
      <c r="O229" s="73">
        <f>+O77-O205</f>
        <v>223.12799999999999</v>
      </c>
      <c r="P229" s="73">
        <f t="shared" si="103"/>
        <v>223.12799999999999</v>
      </c>
      <c r="Q229" s="108">
        <f t="shared" si="103"/>
        <v>223.12799999999999</v>
      </c>
      <c r="R229" s="73">
        <f t="shared" si="103"/>
        <v>211.9716</v>
      </c>
      <c r="S229" s="73">
        <f t="shared" si="103"/>
        <v>188.52444</v>
      </c>
      <c r="T229" s="73">
        <f t="shared" si="103"/>
        <v>188.52444</v>
      </c>
      <c r="U229" s="108">
        <f t="shared" si="103"/>
        <v>188.52444</v>
      </c>
      <c r="V229" s="73">
        <f t="shared" si="103"/>
        <v>175.21870680000001</v>
      </c>
      <c r="W229" s="73">
        <f t="shared" si="103"/>
        <v>152.02121025599999</v>
      </c>
      <c r="X229" s="73">
        <f t="shared" si="103"/>
        <v>153.75224815343998</v>
      </c>
      <c r="Y229" s="108">
        <f t="shared" si="103"/>
        <v>155.46597567190557</v>
      </c>
      <c r="Z229" s="456"/>
      <c r="AA229" s="456"/>
      <c r="AB229" s="456"/>
      <c r="AC229" s="456"/>
      <c r="AD229" s="456"/>
      <c r="AE229" s="456"/>
      <c r="AF229" s="446"/>
      <c r="AG229" s="446"/>
      <c r="AH229" s="447"/>
      <c r="AI229" s="447"/>
      <c r="AJ229" s="73"/>
      <c r="AK229" s="73"/>
      <c r="AL229" s="73" t="e">
        <f t="shared" ref="AL229:AO232" si="104">+AL254/AL$103/AL65</f>
        <v>#DIV/0!</v>
      </c>
      <c r="AM229" s="73">
        <f t="shared" si="104"/>
        <v>223.06563613573286</v>
      </c>
      <c r="AN229" s="73">
        <f t="shared" si="104"/>
        <v>192.9713151724138</v>
      </c>
      <c r="AO229" s="73">
        <f t="shared" si="104"/>
        <v>161.47599571102506</v>
      </c>
      <c r="AP229" s="457"/>
      <c r="AQ229" s="458"/>
      <c r="AR229" s="458"/>
      <c r="AS229" s="459"/>
      <c r="AT229" s="459"/>
      <c r="AU229" s="459"/>
    </row>
    <row r="230" spans="1:49" s="418" customFormat="1" ht="11.4" x14ac:dyDescent="0.4">
      <c r="A230" s="205" t="s">
        <v>277</v>
      </c>
      <c r="C230" s="434"/>
      <c r="D230" s="434"/>
      <c r="E230" s="435"/>
      <c r="F230" s="73">
        <f t="shared" ref="F230:K230" si="105">+F78-F206</f>
        <v>200</v>
      </c>
      <c r="G230" s="73">
        <f t="shared" si="105"/>
        <v>221.5</v>
      </c>
      <c r="H230" s="73">
        <f t="shared" si="105"/>
        <v>228.85300000000001</v>
      </c>
      <c r="I230" s="108">
        <f t="shared" si="105"/>
        <v>239.28282200000001</v>
      </c>
      <c r="J230" s="73">
        <f t="shared" si="105"/>
        <v>204.86509501</v>
      </c>
      <c r="K230" s="73">
        <f t="shared" si="105"/>
        <v>170.1488212575</v>
      </c>
      <c r="L230" s="73">
        <f t="shared" si="103"/>
        <v>167.35030947007499</v>
      </c>
      <c r="M230" s="108">
        <f t="shared" si="103"/>
        <v>173.00330328067349</v>
      </c>
      <c r="N230" s="73">
        <f t="shared" si="103"/>
        <v>158.81320418225329</v>
      </c>
      <c r="O230" s="73">
        <f t="shared" si="103"/>
        <v>127.24754397314064</v>
      </c>
      <c r="P230" s="73">
        <f t="shared" si="103"/>
        <v>127.24754397314064</v>
      </c>
      <c r="Q230" s="108">
        <f t="shared" si="103"/>
        <v>127.24754397314064</v>
      </c>
      <c r="R230" s="73">
        <f t="shared" si="103"/>
        <v>115.77254397314061</v>
      </c>
      <c r="S230" s="73">
        <f t="shared" si="103"/>
        <v>69.872543973140637</v>
      </c>
      <c r="T230" s="73">
        <f t="shared" si="103"/>
        <v>69.872543973140637</v>
      </c>
      <c r="U230" s="108">
        <f t="shared" si="103"/>
        <v>69.872543973140637</v>
      </c>
      <c r="V230" s="73">
        <f t="shared" si="103"/>
        <v>71.027617653946436</v>
      </c>
      <c r="W230" s="73">
        <f t="shared" si="103"/>
        <v>33.713265300867505</v>
      </c>
      <c r="X230" s="73">
        <f t="shared" si="103"/>
        <v>38.566124994850156</v>
      </c>
      <c r="Y230" s="108">
        <f t="shared" si="103"/>
        <v>43.321927494953144</v>
      </c>
      <c r="Z230" s="456"/>
      <c r="AA230" s="456"/>
      <c r="AB230" s="456"/>
      <c r="AC230" s="456"/>
      <c r="AD230" s="456"/>
      <c r="AE230" s="456"/>
      <c r="AF230" s="446"/>
      <c r="AG230" s="446"/>
      <c r="AH230" s="447"/>
      <c r="AI230" s="447"/>
      <c r="AJ230" s="73">
        <v>0</v>
      </c>
      <c r="AK230" s="73">
        <f>+AK255/AK$103/AK66</f>
        <v>233.14878600000003</v>
      </c>
      <c r="AL230" s="73">
        <f t="shared" si="104"/>
        <v>176.11143802734452</v>
      </c>
      <c r="AM230" s="73">
        <f t="shared" si="104"/>
        <v>140.61504333131234</v>
      </c>
      <c r="AN230" s="73">
        <f t="shared" si="104"/>
        <v>81.347543973140631</v>
      </c>
      <c r="AO230" s="73">
        <f t="shared" si="104"/>
        <v>46.657233861154317</v>
      </c>
      <c r="AP230" s="457"/>
      <c r="AQ230" s="458"/>
      <c r="AR230" s="458"/>
      <c r="AS230" s="459"/>
      <c r="AT230" s="459"/>
      <c r="AU230" s="459"/>
    </row>
    <row r="231" spans="1:49" s="418" customFormat="1" ht="11.4" x14ac:dyDescent="0.4">
      <c r="A231" s="205" t="s">
        <v>288</v>
      </c>
      <c r="B231" s="443"/>
      <c r="C231" s="443"/>
      <c r="D231" s="443"/>
      <c r="E231" s="444"/>
      <c r="F231" s="443"/>
      <c r="G231" s="434"/>
      <c r="H231" s="434"/>
      <c r="I231" s="435"/>
      <c r="J231" s="434"/>
      <c r="K231" s="434"/>
      <c r="L231" s="434"/>
      <c r="M231" s="108">
        <f t="shared" si="103"/>
        <v>517</v>
      </c>
      <c r="N231" s="73">
        <f t="shared" si="103"/>
        <v>517</v>
      </c>
      <c r="O231" s="73">
        <f t="shared" si="103"/>
        <v>517</v>
      </c>
      <c r="P231" s="73">
        <f t="shared" si="103"/>
        <v>517</v>
      </c>
      <c r="Q231" s="108">
        <f t="shared" si="103"/>
        <v>517</v>
      </c>
      <c r="R231" s="73">
        <f t="shared" si="103"/>
        <v>427.15</v>
      </c>
      <c r="S231" s="73">
        <f t="shared" si="103"/>
        <v>435.63499999999999</v>
      </c>
      <c r="T231" s="73">
        <f t="shared" si="103"/>
        <v>435.63499999999999</v>
      </c>
      <c r="U231" s="108">
        <f t="shared" si="103"/>
        <v>435.63499999999999</v>
      </c>
      <c r="V231" s="73">
        <f t="shared" si="103"/>
        <v>379.02420000000006</v>
      </c>
      <c r="W231" s="73">
        <f t="shared" si="103"/>
        <v>372.63826399999994</v>
      </c>
      <c r="X231" s="73">
        <f t="shared" si="103"/>
        <v>375.3990726799999</v>
      </c>
      <c r="Y231" s="108">
        <f t="shared" si="103"/>
        <v>375.3990726799999</v>
      </c>
      <c r="Z231" s="456"/>
      <c r="AA231" s="456"/>
      <c r="AB231" s="456"/>
      <c r="AC231" s="456"/>
      <c r="AD231" s="456"/>
      <c r="AE231" s="456"/>
      <c r="AF231" s="446"/>
      <c r="AG231" s="446"/>
      <c r="AH231" s="447"/>
      <c r="AI231" s="447"/>
      <c r="AJ231" s="73">
        <v>0</v>
      </c>
      <c r="AK231" s="73">
        <v>0</v>
      </c>
      <c r="AL231" s="73">
        <v>0</v>
      </c>
      <c r="AM231" s="73" t="e">
        <f t="shared" si="104"/>
        <v>#DIV/0!</v>
      </c>
      <c r="AN231" s="73">
        <f t="shared" si="104"/>
        <v>435.63499999999999</v>
      </c>
      <c r="AO231" s="73">
        <f t="shared" si="104"/>
        <v>375.19944214947355</v>
      </c>
      <c r="AP231" s="457"/>
      <c r="AQ231" s="458"/>
      <c r="AR231" s="458"/>
      <c r="AS231" s="459"/>
      <c r="AT231" s="459"/>
      <c r="AU231" s="459"/>
    </row>
    <row r="232" spans="1:49" s="418" customFormat="1" ht="11.4" x14ac:dyDescent="0.4">
      <c r="A232" s="205" t="s">
        <v>279</v>
      </c>
      <c r="B232" s="443"/>
      <c r="C232" s="443"/>
      <c r="D232" s="443"/>
      <c r="E232" s="444"/>
      <c r="F232" s="443"/>
      <c r="G232" s="434"/>
      <c r="H232" s="434"/>
      <c r="I232" s="435"/>
      <c r="J232" s="73"/>
      <c r="K232" s="434"/>
      <c r="L232" s="434"/>
      <c r="M232" s="108">
        <f t="shared" si="103"/>
        <v>455</v>
      </c>
      <c r="N232" s="73">
        <f t="shared" si="103"/>
        <v>455</v>
      </c>
      <c r="O232" s="73">
        <f t="shared" si="103"/>
        <v>455</v>
      </c>
      <c r="P232" s="73">
        <f t="shared" si="103"/>
        <v>455</v>
      </c>
      <c r="Q232" s="108">
        <f t="shared" si="103"/>
        <v>455</v>
      </c>
      <c r="R232" s="73">
        <f t="shared" si="103"/>
        <v>442.70000000000005</v>
      </c>
      <c r="S232" s="73">
        <f t="shared" si="103"/>
        <v>436.43</v>
      </c>
      <c r="T232" s="73">
        <f t="shared" si="103"/>
        <v>436.43</v>
      </c>
      <c r="U232" s="108">
        <f t="shared" si="103"/>
        <v>436.43</v>
      </c>
      <c r="V232" s="73">
        <f t="shared" si="103"/>
        <v>385.36559999999997</v>
      </c>
      <c r="W232" s="73">
        <f t="shared" si="103"/>
        <v>372.30135199999995</v>
      </c>
      <c r="X232" s="73">
        <f t="shared" si="103"/>
        <v>372.30135199999995</v>
      </c>
      <c r="Y232" s="108">
        <f t="shared" si="103"/>
        <v>372.30135199999995</v>
      </c>
      <c r="Z232" s="456"/>
      <c r="AA232" s="456"/>
      <c r="AB232" s="456"/>
      <c r="AC232" s="456"/>
      <c r="AD232" s="456"/>
      <c r="AE232" s="456"/>
      <c r="AF232" s="446"/>
      <c r="AG232" s="446"/>
      <c r="AH232" s="447"/>
      <c r="AI232" s="447"/>
      <c r="AJ232" s="73">
        <v>0</v>
      </c>
      <c r="AK232" s="73">
        <v>0</v>
      </c>
      <c r="AL232" s="73">
        <v>0</v>
      </c>
      <c r="AM232" s="73">
        <f t="shared" si="104"/>
        <v>454.79223744292244</v>
      </c>
      <c r="AN232" s="73">
        <f t="shared" si="104"/>
        <v>437.53647058823537</v>
      </c>
      <c r="AO232" s="73">
        <f t="shared" si="104"/>
        <v>374.47872666666666</v>
      </c>
      <c r="AP232" s="457"/>
      <c r="AQ232" s="458"/>
      <c r="AR232" s="458"/>
      <c r="AS232" s="459"/>
      <c r="AT232" s="459"/>
      <c r="AU232" s="459"/>
    </row>
    <row r="233" spans="1:49" s="418" customFormat="1" ht="11.4" x14ac:dyDescent="0.4">
      <c r="A233" s="205" t="s">
        <v>268</v>
      </c>
      <c r="B233" s="443"/>
      <c r="C233" s="443"/>
      <c r="D233" s="443"/>
      <c r="E233" s="444"/>
      <c r="F233" s="443"/>
      <c r="G233" s="434"/>
      <c r="H233" s="434"/>
      <c r="I233" s="435"/>
      <c r="J233" s="73"/>
      <c r="K233" s="434"/>
      <c r="L233" s="434"/>
      <c r="M233" s="108"/>
      <c r="N233" s="73"/>
      <c r="O233" s="73"/>
      <c r="P233" s="73"/>
      <c r="Q233" s="108"/>
      <c r="R233" s="73"/>
      <c r="S233" s="73"/>
      <c r="T233" s="73"/>
      <c r="U233" s="108"/>
      <c r="V233" s="73"/>
      <c r="W233" s="73"/>
      <c r="X233" s="73">
        <f>+X81-X209</f>
        <v>1020</v>
      </c>
      <c r="Y233" s="108">
        <f>+Y81-Y209</f>
        <v>1020</v>
      </c>
      <c r="Z233" s="456"/>
      <c r="AA233" s="456"/>
      <c r="AB233" s="456"/>
      <c r="AC233" s="456"/>
      <c r="AD233" s="456"/>
      <c r="AE233" s="456"/>
      <c r="AF233" s="446"/>
      <c r="AG233" s="446"/>
      <c r="AH233" s="447"/>
      <c r="AI233" s="447"/>
      <c r="AJ233" s="73"/>
      <c r="AK233" s="73"/>
      <c r="AL233" s="73"/>
      <c r="AM233" s="73"/>
      <c r="AN233" s="73"/>
      <c r="AO233" s="73"/>
      <c r="AP233" s="457"/>
      <c r="AQ233" s="458"/>
      <c r="AR233" s="458"/>
      <c r="AS233" s="459"/>
      <c r="AT233" s="459"/>
      <c r="AU233" s="459"/>
    </row>
    <row r="234" spans="1:49" s="418" customFormat="1" ht="11.4" x14ac:dyDescent="0.4">
      <c r="A234" s="335"/>
      <c r="B234" s="443"/>
      <c r="C234" s="443"/>
      <c r="D234" s="443"/>
      <c r="E234" s="444"/>
      <c r="F234" s="443"/>
      <c r="G234" s="434"/>
      <c r="H234" s="434"/>
      <c r="I234" s="435"/>
      <c r="J234" s="434"/>
      <c r="K234" s="434"/>
      <c r="L234" s="434"/>
      <c r="M234" s="435"/>
      <c r="N234" s="434"/>
      <c r="O234" s="434"/>
      <c r="P234" s="434"/>
      <c r="Q234" s="435"/>
      <c r="R234" s="434"/>
      <c r="S234" s="434"/>
      <c r="T234" s="434"/>
      <c r="U234" s="435"/>
      <c r="V234" s="434"/>
      <c r="W234" s="434"/>
      <c r="X234" s="434"/>
      <c r="Y234" s="435"/>
      <c r="Z234" s="456"/>
      <c r="AA234" s="456"/>
      <c r="AB234" s="456"/>
      <c r="AC234" s="456"/>
      <c r="AD234" s="456"/>
      <c r="AE234" s="456"/>
      <c r="AF234" s="446"/>
      <c r="AG234" s="446"/>
      <c r="AH234" s="447"/>
      <c r="AI234" s="447"/>
      <c r="AJ234" s="447"/>
      <c r="AK234" s="447"/>
      <c r="AL234" s="447"/>
      <c r="AM234" s="447"/>
      <c r="AN234" s="447"/>
      <c r="AO234" s="447"/>
      <c r="AP234" s="457"/>
      <c r="AQ234" s="458"/>
      <c r="AR234" s="458"/>
      <c r="AS234" s="459"/>
      <c r="AT234" s="459"/>
      <c r="AU234" s="459"/>
    </row>
    <row r="235" spans="1:49" s="418" customFormat="1" ht="11.4" x14ac:dyDescent="0.4">
      <c r="A235" s="205" t="s">
        <v>313</v>
      </c>
      <c r="B235" s="443"/>
      <c r="C235" s="443"/>
      <c r="D235" s="443"/>
      <c r="E235" s="444"/>
      <c r="F235" s="443"/>
      <c r="G235" s="434"/>
      <c r="H235" s="434"/>
      <c r="I235" s="435"/>
      <c r="J235" s="434"/>
      <c r="K235" s="434"/>
      <c r="L235" s="434"/>
      <c r="M235" s="435"/>
      <c r="N235" s="434">
        <f>+Model!BO13</f>
        <v>0.36700998847074501</v>
      </c>
      <c r="O235" s="434">
        <f>+Model!BP13</f>
        <v>0.41486885195222745</v>
      </c>
      <c r="P235" s="434">
        <f>+Model!BQ13</f>
        <v>0.4286071191840829</v>
      </c>
      <c r="Q235" s="435">
        <f>+Model!BR13</f>
        <v>0.43639831649761757</v>
      </c>
      <c r="R235" s="434">
        <f>+Model!BS13</f>
        <v>0.44338738821455753</v>
      </c>
      <c r="S235" s="434">
        <f>+Model!BT13</f>
        <v>0.44521225909968509</v>
      </c>
      <c r="T235" s="434">
        <f>+Model!BU13</f>
        <v>0.45507067370003268</v>
      </c>
      <c r="U235" s="435">
        <f>+Model!BV13</f>
        <v>0.46008562356410765</v>
      </c>
      <c r="V235" s="434">
        <f>+Model!BW13</f>
        <v>0.44712499373273334</v>
      </c>
      <c r="W235" s="434">
        <f>+Model!BX13</f>
        <v>0.44921029409774121</v>
      </c>
      <c r="X235" s="434">
        <f>+Model!BY13</f>
        <v>0.45722439007023674</v>
      </c>
      <c r="Y235" s="435">
        <f>+Model!BZ13</f>
        <v>0.46602934491315939</v>
      </c>
      <c r="Z235" s="456"/>
      <c r="AA235" s="456"/>
      <c r="AB235" s="456"/>
      <c r="AC235" s="456"/>
      <c r="AD235" s="456"/>
      <c r="AE235" s="456"/>
      <c r="AF235" s="446"/>
      <c r="AG235" s="446"/>
      <c r="AH235" s="447"/>
      <c r="AI235" s="447"/>
      <c r="AJ235" s="447"/>
      <c r="AK235" s="447"/>
      <c r="AL235" s="447"/>
      <c r="AM235" s="447"/>
      <c r="AN235" s="447"/>
      <c r="AO235" s="447"/>
      <c r="AP235" s="457"/>
      <c r="AQ235" s="458"/>
      <c r="AR235" s="458"/>
      <c r="AS235" s="459"/>
      <c r="AT235" s="459"/>
      <c r="AU235" s="459"/>
    </row>
    <row r="236" spans="1:49" s="418" customFormat="1" ht="11.4" x14ac:dyDescent="0.4">
      <c r="A236" s="205" t="s">
        <v>262</v>
      </c>
      <c r="B236" s="447">
        <f>+B224/(B200+B224)</f>
        <v>0.17241379310344829</v>
      </c>
      <c r="C236" s="447">
        <f>+C224/(C200+C224)</f>
        <v>0.17241379310344829</v>
      </c>
      <c r="D236" s="447">
        <f t="shared" ref="D236:Y236" si="106">+D224/(D200+D224)</f>
        <v>0.17241379310344829</v>
      </c>
      <c r="E236" s="469">
        <f t="shared" si="106"/>
        <v>0.17241379310344829</v>
      </c>
      <c r="F236" s="447">
        <f t="shared" si="106"/>
        <v>0.17617554858934162</v>
      </c>
      <c r="G236" s="447">
        <f t="shared" si="106"/>
        <v>0.15969905956112843</v>
      </c>
      <c r="H236" s="447">
        <f t="shared" si="106"/>
        <v>0.14289304075235099</v>
      </c>
      <c r="I236" s="469">
        <f t="shared" si="106"/>
        <v>0.14289304075235099</v>
      </c>
      <c r="J236" s="447">
        <f t="shared" si="106"/>
        <v>0.19743621088629237</v>
      </c>
      <c r="K236" s="447">
        <f t="shared" si="106"/>
        <v>0.18138493510401826</v>
      </c>
      <c r="L236" s="447">
        <f t="shared" si="106"/>
        <v>0.19932718310173833</v>
      </c>
      <c r="M236" s="469">
        <f t="shared" si="106"/>
        <v>0.19932718310173833</v>
      </c>
      <c r="N236" s="447">
        <f t="shared" si="106"/>
        <v>0.19560977359471074</v>
      </c>
      <c r="O236" s="447">
        <f t="shared" si="106"/>
        <v>0.19006225479191577</v>
      </c>
      <c r="P236" s="447">
        <f t="shared" si="106"/>
        <v>0.19006225479191577</v>
      </c>
      <c r="Q236" s="469">
        <f t="shared" si="106"/>
        <v>0.19006225479191577</v>
      </c>
      <c r="R236" s="447">
        <f t="shared" si="106"/>
        <v>0.19006225479191577</v>
      </c>
      <c r="S236" s="447">
        <f t="shared" si="106"/>
        <v>0.19006225479191577</v>
      </c>
      <c r="T236" s="447">
        <f t="shared" si="106"/>
        <v>0.19006225479191577</v>
      </c>
      <c r="U236" s="469">
        <f t="shared" si="106"/>
        <v>0.19006225479191577</v>
      </c>
      <c r="V236" s="447">
        <f t="shared" si="106"/>
        <v>0.19006225479191577</v>
      </c>
      <c r="W236" s="447">
        <f t="shared" si="106"/>
        <v>0.19006225479191577</v>
      </c>
      <c r="X236" s="447">
        <f t="shared" si="106"/>
        <v>0.19006225479191577</v>
      </c>
      <c r="Y236" s="469">
        <f t="shared" si="106"/>
        <v>0.19006225479191577</v>
      </c>
      <c r="Z236" s="456"/>
      <c r="AA236" s="456"/>
      <c r="AB236" s="456"/>
      <c r="AC236" s="456"/>
      <c r="AD236" s="456"/>
      <c r="AE236" s="456"/>
      <c r="AF236" s="447">
        <v>0.24360000000000001</v>
      </c>
      <c r="AG236" s="447">
        <v>0.2923</v>
      </c>
      <c r="AH236" s="447">
        <v>0.25359999999999999</v>
      </c>
      <c r="AI236" s="447">
        <v>0.1414</v>
      </c>
      <c r="AJ236" s="90">
        <f t="shared" ref="AJ236:AO239" si="107">+AJ249/AJ13</f>
        <v>0.17279757235386553</v>
      </c>
      <c r="AK236" s="90">
        <f t="shared" si="107"/>
        <v>0.15556507749417381</v>
      </c>
      <c r="AL236" s="90">
        <f t="shared" si="107"/>
        <v>0.19436887804844682</v>
      </c>
      <c r="AM236" s="90">
        <f t="shared" si="107"/>
        <v>0.1914491344926145</v>
      </c>
      <c r="AN236" s="90">
        <f t="shared" si="107"/>
        <v>0.1900622547919158</v>
      </c>
      <c r="AO236" s="90">
        <f t="shared" si="107"/>
        <v>0.1900622547919158</v>
      </c>
      <c r="AP236" s="457"/>
      <c r="AQ236" s="458"/>
      <c r="AR236" s="458"/>
      <c r="AS236" s="459"/>
      <c r="AT236" s="459"/>
      <c r="AU236" s="459"/>
    </row>
    <row r="237" spans="1:49" s="418" customFormat="1" ht="11.4" x14ac:dyDescent="0.4">
      <c r="A237" s="205" t="s">
        <v>263</v>
      </c>
      <c r="B237" s="90">
        <v>0.28000000000000003</v>
      </c>
      <c r="C237" s="90">
        <v>0.28000000000000003</v>
      </c>
      <c r="D237" s="90">
        <v>0.28999999999999998</v>
      </c>
      <c r="E237" s="144">
        <v>0.31</v>
      </c>
      <c r="F237" s="90">
        <v>0.28999999999999998</v>
      </c>
      <c r="G237" s="90">
        <v>0.28999999999999998</v>
      </c>
      <c r="H237" s="90">
        <v>0.28999999999999998</v>
      </c>
      <c r="I237" s="144">
        <v>0.28999999999999998</v>
      </c>
      <c r="J237" s="90">
        <v>0.25</v>
      </c>
      <c r="K237" s="90">
        <v>0.25</v>
      </c>
      <c r="L237" s="90">
        <v>0.25</v>
      </c>
      <c r="M237" s="144">
        <v>0.25</v>
      </c>
      <c r="N237" s="90">
        <v>0.21</v>
      </c>
      <c r="O237" s="90">
        <v>0.21</v>
      </c>
      <c r="P237" s="90">
        <v>0.21</v>
      </c>
      <c r="Q237" s="144">
        <v>0.21</v>
      </c>
      <c r="R237" s="90">
        <v>0.17</v>
      </c>
      <c r="S237" s="90">
        <v>0.17</v>
      </c>
      <c r="T237" s="90">
        <v>0.17</v>
      </c>
      <c r="U237" s="144">
        <v>0.17</v>
      </c>
      <c r="V237" s="90">
        <v>0.13</v>
      </c>
      <c r="W237" s="90">
        <v>0.13</v>
      </c>
      <c r="X237" s="90">
        <v>0.13</v>
      </c>
      <c r="Y237" s="144">
        <v>0.13</v>
      </c>
      <c r="Z237" s="456"/>
      <c r="AA237" s="456"/>
      <c r="AB237" s="456"/>
      <c r="AC237" s="456"/>
      <c r="AD237" s="456"/>
      <c r="AE237" s="456"/>
      <c r="AF237" s="446">
        <v>0.28160000000000002</v>
      </c>
      <c r="AG237" s="446">
        <v>0.25659999999999999</v>
      </c>
      <c r="AH237" s="446">
        <v>0.2797</v>
      </c>
      <c r="AI237" s="457">
        <v>0.3075</v>
      </c>
      <c r="AJ237" s="90">
        <f t="shared" si="107"/>
        <v>0.28833333333333333</v>
      </c>
      <c r="AK237" s="90">
        <f t="shared" si="107"/>
        <v>0.29000000000000004</v>
      </c>
      <c r="AL237" s="90">
        <f t="shared" si="107"/>
        <v>0.25</v>
      </c>
      <c r="AM237" s="90">
        <f t="shared" si="107"/>
        <v>0.20999999999999994</v>
      </c>
      <c r="AN237" s="90">
        <f t="shared" si="107"/>
        <v>0.17</v>
      </c>
      <c r="AO237" s="90">
        <f t="shared" si="107"/>
        <v>0.13</v>
      </c>
      <c r="AP237" s="457"/>
      <c r="AQ237" s="458"/>
      <c r="AR237" s="458"/>
      <c r="AS237" s="459"/>
      <c r="AT237" s="459"/>
      <c r="AU237" s="459"/>
    </row>
    <row r="238" spans="1:49" s="474" customFormat="1" ht="12" customHeight="1" x14ac:dyDescent="0.4">
      <c r="A238" s="205" t="s">
        <v>264</v>
      </c>
      <c r="B238" s="90">
        <v>0.28000000000000003</v>
      </c>
      <c r="C238" s="90">
        <v>0.28000000000000003</v>
      </c>
      <c r="D238" s="90">
        <v>0.3</v>
      </c>
      <c r="E238" s="144">
        <v>0.32</v>
      </c>
      <c r="F238" s="90">
        <v>0.32</v>
      </c>
      <c r="G238" s="90">
        <v>0.33</v>
      </c>
      <c r="H238" s="90">
        <v>0.33</v>
      </c>
      <c r="I238" s="144">
        <v>0.33</v>
      </c>
      <c r="J238" s="90">
        <v>0.26</v>
      </c>
      <c r="K238" s="90">
        <v>0.26</v>
      </c>
      <c r="L238" s="90">
        <v>0.26</v>
      </c>
      <c r="M238" s="144">
        <v>0.26</v>
      </c>
      <c r="N238" s="90">
        <v>0.22</v>
      </c>
      <c r="O238" s="90">
        <v>0.22</v>
      </c>
      <c r="P238" s="90">
        <v>0.22</v>
      </c>
      <c r="Q238" s="144">
        <v>0.22</v>
      </c>
      <c r="R238" s="90">
        <v>0.18</v>
      </c>
      <c r="S238" s="90">
        <v>0.18</v>
      </c>
      <c r="T238" s="90">
        <v>0.18</v>
      </c>
      <c r="U238" s="144">
        <v>0.18</v>
      </c>
      <c r="V238" s="90">
        <v>0.13</v>
      </c>
      <c r="W238" s="90">
        <v>0.13</v>
      </c>
      <c r="X238" s="90">
        <v>0.13</v>
      </c>
      <c r="Y238" s="144">
        <v>0.13</v>
      </c>
      <c r="Z238" s="470"/>
      <c r="AA238" s="470"/>
      <c r="AB238" s="471"/>
      <c r="AC238" s="471"/>
      <c r="AD238" s="471"/>
      <c r="AE238" s="471"/>
      <c r="AF238" s="446">
        <v>0.28160000000000002</v>
      </c>
      <c r="AG238" s="446">
        <v>0.25659999999999999</v>
      </c>
      <c r="AH238" s="446">
        <v>0.2797</v>
      </c>
      <c r="AI238" s="457">
        <v>0.3075</v>
      </c>
      <c r="AJ238" s="90">
        <f t="shared" si="107"/>
        <v>0.29781818181818182</v>
      </c>
      <c r="AK238" s="90">
        <f t="shared" si="107"/>
        <v>0.3250943396226415</v>
      </c>
      <c r="AL238" s="90">
        <f t="shared" si="107"/>
        <v>0.26</v>
      </c>
      <c r="AM238" s="90">
        <f t="shared" si="107"/>
        <v>0.21999999999999997</v>
      </c>
      <c r="AN238" s="90">
        <f t="shared" si="107"/>
        <v>0.18</v>
      </c>
      <c r="AO238" s="90">
        <f t="shared" si="107"/>
        <v>0.13</v>
      </c>
      <c r="AP238" s="472"/>
      <c r="AQ238" s="473"/>
      <c r="AR238" s="473"/>
      <c r="AS238" s="473"/>
      <c r="AT238" s="473"/>
      <c r="AU238" s="473"/>
      <c r="AV238" s="473"/>
      <c r="AW238" s="473"/>
    </row>
    <row r="239" spans="1:49" s="442" customFormat="1" ht="11.4" x14ac:dyDescent="0.4">
      <c r="A239" s="205" t="s">
        <v>265</v>
      </c>
      <c r="B239" s="90">
        <f t="shared" ref="B239:Y244" si="108">+B227/B75</f>
        <v>0.33076923076923076</v>
      </c>
      <c r="C239" s="90">
        <f t="shared" si="108"/>
        <v>0.33076923076923076</v>
      </c>
      <c r="D239" s="90">
        <f t="shared" si="108"/>
        <v>0.35084615384615386</v>
      </c>
      <c r="E239" s="144">
        <f t="shared" si="108"/>
        <v>0.37032076923076923</v>
      </c>
      <c r="F239" s="90">
        <f t="shared" si="108"/>
        <v>0.31394948571428577</v>
      </c>
      <c r="G239" s="90">
        <f t="shared" si="108"/>
        <v>0.33453100114285722</v>
      </c>
      <c r="H239" s="90">
        <f t="shared" si="108"/>
        <v>0.33453100114285722</v>
      </c>
      <c r="I239" s="144">
        <f t="shared" si="108"/>
        <v>0.34118569113142871</v>
      </c>
      <c r="J239" s="90">
        <f t="shared" si="108"/>
        <v>0.28563860234447069</v>
      </c>
      <c r="K239" s="90">
        <f t="shared" si="108"/>
        <v>0.29278221632102597</v>
      </c>
      <c r="L239" s="90">
        <f t="shared" si="108"/>
        <v>0.28500282070055738</v>
      </c>
      <c r="M239" s="144">
        <f t="shared" si="108"/>
        <v>0.2814278348040602</v>
      </c>
      <c r="N239" s="90">
        <f t="shared" si="108"/>
        <v>0.2973961051417478</v>
      </c>
      <c r="O239" s="90">
        <f t="shared" si="108"/>
        <v>0.35360441673040788</v>
      </c>
      <c r="P239" s="90">
        <f t="shared" si="108"/>
        <v>0.35360441673040788</v>
      </c>
      <c r="Q239" s="144">
        <f t="shared" si="108"/>
        <v>0.35360441673040788</v>
      </c>
      <c r="R239" s="90">
        <f t="shared" si="108"/>
        <v>0.29614703155088867</v>
      </c>
      <c r="S239" s="90">
        <f t="shared" si="108"/>
        <v>0.29614703155088867</v>
      </c>
      <c r="T239" s="90">
        <f t="shared" si="108"/>
        <v>0.29614703155088867</v>
      </c>
      <c r="U239" s="144">
        <f t="shared" si="108"/>
        <v>0.29614703155088867</v>
      </c>
      <c r="V239" s="90">
        <f t="shared" si="108"/>
        <v>0.24140291178262452</v>
      </c>
      <c r="W239" s="90">
        <f t="shared" si="108"/>
        <v>0.24140291178262452</v>
      </c>
      <c r="X239" s="90">
        <f t="shared" si="108"/>
        <v>0.24140291178262452</v>
      </c>
      <c r="Y239" s="144">
        <f t="shared" si="108"/>
        <v>0.24140291178262452</v>
      </c>
      <c r="Z239" s="475"/>
      <c r="AA239" s="475"/>
      <c r="AB239" s="122"/>
      <c r="AC239" s="122"/>
      <c r="AD239" s="122"/>
      <c r="AE239" s="122"/>
      <c r="AF239" s="446">
        <v>0.28160000000000002</v>
      </c>
      <c r="AG239" s="446">
        <v>0.25659999999999999</v>
      </c>
      <c r="AH239" s="446">
        <v>0.2797</v>
      </c>
      <c r="AI239" s="457">
        <v>0.3075</v>
      </c>
      <c r="AJ239" s="90">
        <f t="shared" si="107"/>
        <v>0.35456996099964072</v>
      </c>
      <c r="AK239" s="90">
        <f t="shared" si="107"/>
        <v>0.33202201640489809</v>
      </c>
      <c r="AL239" s="90">
        <f t="shared" si="107"/>
        <v>0.28607458140270831</v>
      </c>
      <c r="AM239" s="90">
        <f t="shared" si="107"/>
        <v>0.33121374315800206</v>
      </c>
      <c r="AN239" s="90">
        <f t="shared" si="107"/>
        <v>0.29614703155088862</v>
      </c>
      <c r="AO239" s="90">
        <f t="shared" si="107"/>
        <v>0.24140291178262455</v>
      </c>
      <c r="AP239" s="476"/>
      <c r="AQ239" s="473"/>
      <c r="AR239" s="473"/>
      <c r="AS239" s="477"/>
      <c r="AT239" s="477"/>
      <c r="AU239" s="477"/>
      <c r="AV239" s="477"/>
      <c r="AW239" s="477"/>
    </row>
    <row r="240" spans="1:49" s="418" customFormat="1" ht="11.4" x14ac:dyDescent="0.4">
      <c r="A240" s="205" t="s">
        <v>275</v>
      </c>
      <c r="B240" s="90"/>
      <c r="C240" s="90"/>
      <c r="D240" s="90"/>
      <c r="E240" s="144"/>
      <c r="F240" s="90">
        <f t="shared" si="108"/>
        <v>0.31818181818181818</v>
      </c>
      <c r="G240" s="90">
        <f t="shared" si="108"/>
        <v>0.35227272727272729</v>
      </c>
      <c r="H240" s="90">
        <f t="shared" si="108"/>
        <v>0.36393181818181819</v>
      </c>
      <c r="I240" s="144">
        <f t="shared" si="108"/>
        <v>0.38046959090909083</v>
      </c>
      <c r="J240" s="90">
        <f t="shared" si="108"/>
        <v>0.35482855539033459</v>
      </c>
      <c r="K240" s="90">
        <f t="shared" si="108"/>
        <v>0.37521597304000004</v>
      </c>
      <c r="L240" s="90">
        <f t="shared" si="108"/>
        <v>0.36896813277039997</v>
      </c>
      <c r="M240" s="144">
        <f t="shared" si="108"/>
        <v>0.38158877011499198</v>
      </c>
      <c r="N240" s="90">
        <f t="shared" si="108"/>
        <v>0.39460795390204484</v>
      </c>
      <c r="O240" s="90">
        <f t="shared" si="108"/>
        <v>0.39104682421911569</v>
      </c>
      <c r="P240" s="90">
        <f t="shared" si="108"/>
        <v>0.39104682421911569</v>
      </c>
      <c r="Q240" s="144">
        <f t="shared" si="108"/>
        <v>0.39104682421911569</v>
      </c>
      <c r="R240" s="90">
        <f t="shared" si="108"/>
        <v>0.39104682421911569</v>
      </c>
      <c r="S240" s="90">
        <f t="shared" si="108"/>
        <v>0.36067080698016341</v>
      </c>
      <c r="T240" s="90">
        <f t="shared" si="108"/>
        <v>0.36067080698016341</v>
      </c>
      <c r="U240" s="144">
        <f t="shared" si="108"/>
        <v>0.36067080698016341</v>
      </c>
      <c r="V240" s="90">
        <f t="shared" si="108"/>
        <v>0.36719457425587598</v>
      </c>
      <c r="W240" s="90">
        <f t="shared" si="108"/>
        <v>0.28500431660628622</v>
      </c>
      <c r="X240" s="90">
        <f t="shared" si="108"/>
        <v>0.29930423027416059</v>
      </c>
      <c r="Y240" s="144">
        <f t="shared" si="108"/>
        <v>0.31331814566867738</v>
      </c>
      <c r="Z240" s="419"/>
      <c r="AA240" s="419"/>
      <c r="AB240" s="73"/>
      <c r="AC240" s="73"/>
      <c r="AD240" s="73"/>
      <c r="AE240" s="73"/>
      <c r="AF240" s="446"/>
      <c r="AG240" s="446"/>
      <c r="AH240" s="446"/>
      <c r="AI240" s="457"/>
      <c r="AJ240" s="90"/>
      <c r="AK240" s="90">
        <f t="shared" ref="AK240:AO244" si="109">+AK253/AK49</f>
        <v>0.37133075284090911</v>
      </c>
      <c r="AL240" s="90">
        <f t="shared" si="109"/>
        <v>0.37191865400238555</v>
      </c>
      <c r="AM240" s="90">
        <f t="shared" si="109"/>
        <v>0.39194998473627229</v>
      </c>
      <c r="AN240" s="90">
        <f t="shared" si="109"/>
        <v>0.36904147082157934</v>
      </c>
      <c r="AO240" s="90">
        <f t="shared" si="109"/>
        <v>0.32156427265709969</v>
      </c>
      <c r="AP240" s="415"/>
      <c r="AQ240" s="416"/>
      <c r="AR240" s="416"/>
      <c r="AS240" s="417"/>
      <c r="AT240" s="417"/>
      <c r="AU240" s="417"/>
      <c r="AV240" s="417"/>
      <c r="AW240" s="417"/>
    </row>
    <row r="241" spans="1:49" s="418" customFormat="1" ht="11.4" x14ac:dyDescent="0.4">
      <c r="A241" s="205" t="s">
        <v>276</v>
      </c>
      <c r="B241" s="90"/>
      <c r="C241" s="90"/>
      <c r="D241" s="90"/>
      <c r="E241" s="144"/>
      <c r="F241" s="90"/>
      <c r="G241" s="90"/>
      <c r="H241" s="90"/>
      <c r="I241" s="144"/>
      <c r="J241" s="90"/>
      <c r="K241" s="90"/>
      <c r="L241" s="90">
        <f t="shared" si="108"/>
        <v>0.45200000000000001</v>
      </c>
      <c r="M241" s="144">
        <f t="shared" si="108"/>
        <v>0.45200000000000001</v>
      </c>
      <c r="N241" s="90">
        <f t="shared" si="108"/>
        <v>0.46930526315789473</v>
      </c>
      <c r="O241" s="90">
        <f t="shared" si="108"/>
        <v>0.49583999999999995</v>
      </c>
      <c r="P241" s="90">
        <f t="shared" si="108"/>
        <v>0.49583999999999995</v>
      </c>
      <c r="Q241" s="144">
        <f t="shared" si="108"/>
        <v>0.49583999999999995</v>
      </c>
      <c r="R241" s="90">
        <f t="shared" si="108"/>
        <v>0.49584</v>
      </c>
      <c r="S241" s="90">
        <f t="shared" si="108"/>
        <v>0.49287435294117649</v>
      </c>
      <c r="T241" s="90">
        <f t="shared" si="108"/>
        <v>0.49287435294117649</v>
      </c>
      <c r="U241" s="144">
        <f t="shared" si="108"/>
        <v>0.49287435294117649</v>
      </c>
      <c r="V241" s="90">
        <f t="shared" si="108"/>
        <v>0.48219802352941177</v>
      </c>
      <c r="W241" s="90">
        <f t="shared" si="108"/>
        <v>0.4675777324290657</v>
      </c>
      <c r="X241" s="90">
        <f t="shared" si="108"/>
        <v>0.47290195510477501</v>
      </c>
      <c r="Y241" s="144">
        <f t="shared" si="108"/>
        <v>0.47817293555372725</v>
      </c>
      <c r="Z241" s="419"/>
      <c r="AA241" s="419"/>
      <c r="AB241" s="73"/>
      <c r="AC241" s="73"/>
      <c r="AD241" s="73"/>
      <c r="AE241" s="73"/>
      <c r="AF241" s="446"/>
      <c r="AG241" s="446"/>
      <c r="AH241" s="446"/>
      <c r="AI241" s="457"/>
      <c r="AJ241" s="90"/>
      <c r="AK241" s="90" t="e">
        <f t="shared" si="109"/>
        <v>#DIV/0!</v>
      </c>
      <c r="AL241" s="90" t="e">
        <f t="shared" si="109"/>
        <v>#DIV/0!</v>
      </c>
      <c r="AM241" s="90">
        <f t="shared" si="109"/>
        <v>0.49484177490332865</v>
      </c>
      <c r="AN241" s="90">
        <f t="shared" si="109"/>
        <v>0.49348925396825388</v>
      </c>
      <c r="AO241" s="90">
        <f t="shared" si="109"/>
        <v>0.47602551052298853</v>
      </c>
      <c r="AP241" s="415"/>
      <c r="AQ241" s="416"/>
      <c r="AR241" s="416"/>
      <c r="AS241" s="417"/>
      <c r="AT241" s="417"/>
      <c r="AU241" s="417"/>
      <c r="AV241" s="417"/>
      <c r="AW241" s="417"/>
    </row>
    <row r="242" spans="1:49" s="418" customFormat="1" ht="11.4" x14ac:dyDescent="0.4">
      <c r="A242" s="205" t="s">
        <v>277</v>
      </c>
      <c r="B242" s="90"/>
      <c r="C242" s="90"/>
      <c r="D242" s="90"/>
      <c r="E242" s="144"/>
      <c r="F242" s="90">
        <f t="shared" ref="F242:K242" si="110">+F230/F78</f>
        <v>0.31746031746031744</v>
      </c>
      <c r="G242" s="90">
        <f t="shared" si="110"/>
        <v>0.35158730158730161</v>
      </c>
      <c r="H242" s="90">
        <f t="shared" si="110"/>
        <v>0.36325873015873017</v>
      </c>
      <c r="I242" s="144">
        <f t="shared" si="110"/>
        <v>0.37981400317460318</v>
      </c>
      <c r="J242" s="90">
        <f t="shared" si="110"/>
        <v>0.35443788064013843</v>
      </c>
      <c r="K242" s="90">
        <f t="shared" si="110"/>
        <v>0.37810849168333333</v>
      </c>
      <c r="L242" s="90">
        <f t="shared" si="108"/>
        <v>0.37188957660016664</v>
      </c>
      <c r="M242" s="144">
        <f t="shared" si="108"/>
        <v>0.3844517850681633</v>
      </c>
      <c r="N242" s="90">
        <f t="shared" si="108"/>
        <v>0.37149287528012465</v>
      </c>
      <c r="O242" s="90">
        <f t="shared" si="108"/>
        <v>0.33267331757683827</v>
      </c>
      <c r="P242" s="90">
        <f t="shared" si="108"/>
        <v>0.33267331757683827</v>
      </c>
      <c r="Q242" s="144">
        <f t="shared" si="108"/>
        <v>0.33267331757683827</v>
      </c>
      <c r="R242" s="90">
        <f t="shared" si="108"/>
        <v>0.31203434801735902</v>
      </c>
      <c r="S242" s="90">
        <f t="shared" si="108"/>
        <v>0.21490978538451561</v>
      </c>
      <c r="T242" s="90">
        <f t="shared" si="108"/>
        <v>0.21490978538451561</v>
      </c>
      <c r="U242" s="144">
        <f t="shared" si="108"/>
        <v>0.21490978538451561</v>
      </c>
      <c r="V242" s="90">
        <f t="shared" si="108"/>
        <v>0.22292091002344919</v>
      </c>
      <c r="W242" s="90">
        <f t="shared" si="108"/>
        <v>0.12199204939590658</v>
      </c>
      <c r="X242" s="90">
        <f t="shared" si="108"/>
        <v>0.13955220840798846</v>
      </c>
      <c r="Y242" s="144">
        <f t="shared" si="108"/>
        <v>0.15676116423982864</v>
      </c>
      <c r="Z242" s="419"/>
      <c r="AA242" s="419"/>
      <c r="AB242" s="73"/>
      <c r="AC242" s="73"/>
      <c r="AD242" s="73"/>
      <c r="AE242" s="73"/>
      <c r="AF242" s="446"/>
      <c r="AG242" s="446"/>
      <c r="AH242" s="446"/>
      <c r="AI242" s="457"/>
      <c r="AJ242" s="90"/>
      <c r="AK242" s="90">
        <f t="shared" si="109"/>
        <v>0.37007743809523808</v>
      </c>
      <c r="AL242" s="90">
        <f t="shared" si="109"/>
        <v>0.36990605635710649</v>
      </c>
      <c r="AM242" s="90">
        <f t="shared" si="109"/>
        <v>0.35070241444744321</v>
      </c>
      <c r="AN242" s="90">
        <f t="shared" si="109"/>
        <v>0.24167422451913442</v>
      </c>
      <c r="AO242" s="90">
        <f t="shared" si="109"/>
        <v>0.16261249307652842</v>
      </c>
      <c r="AP242" s="415"/>
      <c r="AQ242" s="416"/>
      <c r="AR242" s="416"/>
      <c r="AS242" s="417"/>
      <c r="AT242" s="417"/>
      <c r="AU242" s="417"/>
      <c r="AV242" s="417"/>
      <c r="AW242" s="417"/>
    </row>
    <row r="243" spans="1:49" s="418" customFormat="1" ht="11.4" x14ac:dyDescent="0.4">
      <c r="A243" s="205" t="s">
        <v>288</v>
      </c>
      <c r="B243" s="447"/>
      <c r="C243" s="447"/>
      <c r="D243" s="447"/>
      <c r="E243" s="469"/>
      <c r="F243" s="324"/>
      <c r="G243" s="324"/>
      <c r="H243" s="324"/>
      <c r="I243" s="325"/>
      <c r="J243" s="324"/>
      <c r="K243" s="324"/>
      <c r="L243" s="324"/>
      <c r="M243" s="144">
        <f t="shared" si="108"/>
        <v>0.40390625000000002</v>
      </c>
      <c r="N243" s="90">
        <f t="shared" si="108"/>
        <v>0.40390625000000002</v>
      </c>
      <c r="O243" s="90">
        <f t="shared" si="108"/>
        <v>0.40390625000000002</v>
      </c>
      <c r="P243" s="90">
        <f t="shared" si="108"/>
        <v>0.40390625000000002</v>
      </c>
      <c r="Q243" s="144">
        <f t="shared" si="108"/>
        <v>0.40390625000000002</v>
      </c>
      <c r="R243" s="90">
        <f t="shared" si="108"/>
        <v>0.37078993055555554</v>
      </c>
      <c r="S243" s="90">
        <f t="shared" si="108"/>
        <v>0.40039981617647058</v>
      </c>
      <c r="T243" s="90">
        <f t="shared" si="108"/>
        <v>0.40039981617647058</v>
      </c>
      <c r="U243" s="144">
        <f t="shared" si="108"/>
        <v>0.40039981617647058</v>
      </c>
      <c r="V243" s="90">
        <f t="shared" si="108"/>
        <v>0.38707536764705885</v>
      </c>
      <c r="W243" s="90">
        <f t="shared" si="108"/>
        <v>0.40293929930795841</v>
      </c>
      <c r="X243" s="90">
        <f t="shared" si="108"/>
        <v>0.40592460281141862</v>
      </c>
      <c r="Y243" s="144">
        <f t="shared" si="108"/>
        <v>0.40592460281141862</v>
      </c>
      <c r="Z243" s="419"/>
      <c r="AA243" s="419"/>
      <c r="AB243" s="73"/>
      <c r="AC243" s="73"/>
      <c r="AD243" s="73"/>
      <c r="AE243" s="73"/>
      <c r="AF243" s="446"/>
      <c r="AG243" s="446"/>
      <c r="AH243" s="446"/>
      <c r="AI243" s="457"/>
      <c r="AJ243" s="90"/>
      <c r="AK243" s="90"/>
      <c r="AL243" s="90" t="e">
        <f t="shared" si="109"/>
        <v>#DIV/0!</v>
      </c>
      <c r="AM243" s="90" t="e">
        <f t="shared" si="109"/>
        <v>#DIV/0!</v>
      </c>
      <c r="AN243" s="90">
        <f t="shared" si="109"/>
        <v>0.40039981617647058</v>
      </c>
      <c r="AO243" s="90">
        <f t="shared" si="109"/>
        <v>0.40321207018325789</v>
      </c>
      <c r="AP243" s="478"/>
      <c r="AQ243" s="479"/>
      <c r="AR243" s="416"/>
      <c r="AS243" s="417"/>
      <c r="AT243" s="417"/>
      <c r="AU243" s="417"/>
      <c r="AV243" s="417"/>
      <c r="AW243" s="417"/>
    </row>
    <row r="244" spans="1:49" s="418" customFormat="1" ht="11.4" x14ac:dyDescent="0.4">
      <c r="A244" s="205" t="s">
        <v>279</v>
      </c>
      <c r="B244" s="447"/>
      <c r="C244" s="447"/>
      <c r="D244" s="447"/>
      <c r="E244" s="469"/>
      <c r="F244" s="324"/>
      <c r="G244" s="324"/>
      <c r="H244" s="324"/>
      <c r="I244" s="325"/>
      <c r="J244" s="324"/>
      <c r="K244" s="324"/>
      <c r="L244" s="324"/>
      <c r="M244" s="144">
        <f t="shared" si="108"/>
        <v>0.47894736842105262</v>
      </c>
      <c r="N244" s="90">
        <f t="shared" si="108"/>
        <v>0.47894736842105262</v>
      </c>
      <c r="O244" s="90">
        <f t="shared" si="108"/>
        <v>0.47894736842105262</v>
      </c>
      <c r="P244" s="90">
        <f t="shared" si="108"/>
        <v>0.47894736842105262</v>
      </c>
      <c r="Q244" s="144">
        <f t="shared" si="108"/>
        <v>0.47894736842105262</v>
      </c>
      <c r="R244" s="90">
        <f t="shared" si="108"/>
        <v>0.51777777777777778</v>
      </c>
      <c r="S244" s="90">
        <f t="shared" si="108"/>
        <v>0.54047058823529415</v>
      </c>
      <c r="T244" s="90">
        <f t="shared" si="108"/>
        <v>0.54047058823529415</v>
      </c>
      <c r="U244" s="144">
        <f t="shared" si="108"/>
        <v>0.54047058823529415</v>
      </c>
      <c r="V244" s="90">
        <f t="shared" si="108"/>
        <v>0.53025882352941167</v>
      </c>
      <c r="W244" s="90">
        <f t="shared" si="108"/>
        <v>0.54241683044982691</v>
      </c>
      <c r="X244" s="90">
        <f t="shared" si="108"/>
        <v>0.54241683044982691</v>
      </c>
      <c r="Y244" s="144">
        <f t="shared" si="108"/>
        <v>0.54241683044982691</v>
      </c>
      <c r="Z244" s="419"/>
      <c r="AA244" s="419"/>
      <c r="AB244" s="73"/>
      <c r="AC244" s="73"/>
      <c r="AD244" s="73"/>
      <c r="AE244" s="73"/>
      <c r="AF244" s="446"/>
      <c r="AG244" s="446"/>
      <c r="AH244" s="446"/>
      <c r="AI244" s="457"/>
      <c r="AJ244" s="90"/>
      <c r="AK244" s="90"/>
      <c r="AL244" s="90">
        <f t="shared" si="109"/>
        <v>0.47894736842105257</v>
      </c>
      <c r="AM244" s="90">
        <f t="shared" si="109"/>
        <v>0.47894736842105268</v>
      </c>
      <c r="AN244" s="90">
        <f t="shared" si="109"/>
        <v>0.5362739726027399</v>
      </c>
      <c r="AO244" s="90">
        <f t="shared" si="109"/>
        <v>0.54029213021130784</v>
      </c>
      <c r="AP244" s="478"/>
      <c r="AQ244" s="479"/>
      <c r="AR244" s="416"/>
      <c r="AS244" s="417"/>
      <c r="AT244" s="417"/>
      <c r="AU244" s="417"/>
      <c r="AV244" s="417"/>
      <c r="AW244" s="417"/>
    </row>
    <row r="245" spans="1:49" s="418" customFormat="1" ht="11.4" x14ac:dyDescent="0.4">
      <c r="A245" s="205" t="s">
        <v>268</v>
      </c>
      <c r="B245" s="447"/>
      <c r="C245" s="447"/>
      <c r="D245" s="447"/>
      <c r="E245" s="469"/>
      <c r="F245" s="324"/>
      <c r="G245" s="324"/>
      <c r="H245" s="324"/>
      <c r="I245" s="325"/>
      <c r="J245" s="324"/>
      <c r="K245" s="324"/>
      <c r="L245" s="324"/>
      <c r="M245" s="144"/>
      <c r="N245" s="90"/>
      <c r="O245" s="90"/>
      <c r="P245" s="90"/>
      <c r="Q245" s="144"/>
      <c r="R245" s="90"/>
      <c r="S245" s="90"/>
      <c r="T245" s="90"/>
      <c r="U245" s="144"/>
      <c r="V245" s="90"/>
      <c r="W245" s="90"/>
      <c r="X245" s="90">
        <v>0.55000000000000004</v>
      </c>
      <c r="Y245" s="144">
        <v>0.55000000000000004</v>
      </c>
      <c r="Z245" s="419"/>
      <c r="AA245" s="419"/>
      <c r="AB245" s="73"/>
      <c r="AC245" s="73"/>
      <c r="AD245" s="73"/>
      <c r="AE245" s="73"/>
      <c r="AF245" s="446"/>
      <c r="AG245" s="446"/>
      <c r="AH245" s="446"/>
      <c r="AI245" s="457"/>
      <c r="AJ245" s="90"/>
      <c r="AK245" s="90"/>
      <c r="AL245" s="90"/>
      <c r="AM245" s="90"/>
      <c r="AN245" s="90"/>
      <c r="AO245" s="90">
        <f>+AO258/AO54</f>
        <v>0.53125</v>
      </c>
      <c r="AP245" s="478"/>
      <c r="AQ245" s="479"/>
      <c r="AR245" s="416"/>
      <c r="AS245" s="417"/>
      <c r="AT245" s="417"/>
      <c r="AU245" s="417"/>
      <c r="AV245" s="417"/>
      <c r="AW245" s="417"/>
    </row>
    <row r="246" spans="1:49" s="418" customFormat="1" ht="11.4" x14ac:dyDescent="0.4">
      <c r="A246" s="205" t="s">
        <v>271</v>
      </c>
      <c r="B246" s="166">
        <v>9.2899999999999996E-2</v>
      </c>
      <c r="C246" s="166">
        <v>9.2899999999999996E-2</v>
      </c>
      <c r="D246" s="166">
        <v>9.2899999999999996E-2</v>
      </c>
      <c r="E246" s="480">
        <v>9.2899999999999996E-2</v>
      </c>
      <c r="F246" s="90">
        <v>0.1</v>
      </c>
      <c r="G246" s="90">
        <v>0.1</v>
      </c>
      <c r="H246" s="90">
        <v>0.1</v>
      </c>
      <c r="I246" s="144">
        <v>0.1</v>
      </c>
      <c r="J246" s="90">
        <v>0.1</v>
      </c>
      <c r="K246" s="90">
        <v>0.1</v>
      </c>
      <c r="L246" s="90">
        <v>0.1</v>
      </c>
      <c r="M246" s="144">
        <v>0.1</v>
      </c>
      <c r="N246" s="90">
        <v>0.2</v>
      </c>
      <c r="O246" s="90">
        <v>0.2</v>
      </c>
      <c r="P246" s="90">
        <v>0.1</v>
      </c>
      <c r="Q246" s="144">
        <v>0.1</v>
      </c>
      <c r="R246" s="90">
        <v>0.1</v>
      </c>
      <c r="S246" s="90">
        <v>0.1</v>
      </c>
      <c r="T246" s="90">
        <v>0.1</v>
      </c>
      <c r="U246" s="144">
        <v>0.1</v>
      </c>
      <c r="V246" s="90">
        <v>0.1</v>
      </c>
      <c r="W246" s="90">
        <v>0.1</v>
      </c>
      <c r="X246" s="90">
        <v>0.1</v>
      </c>
      <c r="Y246" s="144">
        <v>0.1</v>
      </c>
      <c r="Z246" s="419"/>
      <c r="AA246" s="419"/>
      <c r="AB246" s="73"/>
      <c r="AC246" s="73"/>
      <c r="AD246" s="73"/>
      <c r="AE246" s="73"/>
      <c r="AF246" s="90">
        <v>0.11</v>
      </c>
      <c r="AG246" s="90">
        <v>0.11</v>
      </c>
      <c r="AH246" s="90">
        <v>0.11</v>
      </c>
      <c r="AI246" s="90">
        <v>0.1239</v>
      </c>
      <c r="AJ246" s="90">
        <f t="shared" ref="AJ246:AO246" si="111">+AJ259/AJ20</f>
        <v>9.2298422409436948E-2</v>
      </c>
      <c r="AK246" s="90">
        <f t="shared" si="111"/>
        <v>0.1</v>
      </c>
      <c r="AL246" s="90">
        <f t="shared" si="111"/>
        <v>9.9999999999999992E-2</v>
      </c>
      <c r="AM246" s="90">
        <f t="shared" si="111"/>
        <v>0.15973866186962632</v>
      </c>
      <c r="AN246" s="90">
        <f t="shared" si="111"/>
        <v>0.1</v>
      </c>
      <c r="AO246" s="90">
        <f t="shared" si="111"/>
        <v>0.1</v>
      </c>
      <c r="AP246" s="415"/>
      <c r="AQ246" s="416"/>
      <c r="AR246" s="416"/>
      <c r="AS246" s="417"/>
      <c r="AT246" s="417"/>
      <c r="AU246" s="417"/>
      <c r="AV246" s="417"/>
      <c r="AW246" s="417"/>
    </row>
    <row r="247" spans="1:49" s="418" customFormat="1" ht="11.4" x14ac:dyDescent="0.4">
      <c r="A247" s="335"/>
      <c r="B247" s="324"/>
      <c r="C247" s="324"/>
      <c r="D247" s="324"/>
      <c r="E247" s="325"/>
      <c r="F247" s="324"/>
      <c r="G247" s="324"/>
      <c r="H247" s="324"/>
      <c r="I247" s="325"/>
      <c r="J247" s="324"/>
      <c r="K247" s="324"/>
      <c r="L247" s="324"/>
      <c r="M247" s="325"/>
      <c r="N247" s="324"/>
      <c r="O247" s="324"/>
      <c r="P247" s="324"/>
      <c r="Q247" s="325"/>
      <c r="R247" s="324"/>
      <c r="S247" s="324"/>
      <c r="T247" s="324"/>
      <c r="U247" s="325"/>
      <c r="V247" s="324"/>
      <c r="W247" s="324"/>
      <c r="X247" s="324"/>
      <c r="Y247" s="325"/>
      <c r="Z247" s="419"/>
      <c r="AA247" s="419"/>
      <c r="AB247" s="73"/>
      <c r="AC247" s="73"/>
      <c r="AD247" s="73"/>
      <c r="AE247" s="73"/>
      <c r="AF247" s="72"/>
      <c r="AG247" s="72"/>
      <c r="AH247" s="73"/>
      <c r="AI247" s="73"/>
      <c r="AJ247" s="73"/>
      <c r="AK247" s="73"/>
      <c r="AL247" s="73"/>
      <c r="AM247" s="73"/>
      <c r="AN247" s="73"/>
      <c r="AO247" s="73"/>
      <c r="AP247" s="415"/>
      <c r="AQ247" s="416"/>
      <c r="AR247" s="416"/>
      <c r="AS247" s="417"/>
      <c r="AT247" s="417"/>
      <c r="AU247" s="417"/>
      <c r="AV247" s="417"/>
      <c r="AW247" s="417"/>
    </row>
    <row r="248" spans="1:49" s="442" customFormat="1" ht="11.4" x14ac:dyDescent="0.4">
      <c r="A248" s="346" t="s">
        <v>317</v>
      </c>
      <c r="B248" s="399"/>
      <c r="C248" s="399"/>
      <c r="D248" s="399"/>
      <c r="E248" s="400"/>
      <c r="F248" s="399"/>
      <c r="G248" s="399"/>
      <c r="H248" s="399"/>
      <c r="I248" s="400"/>
      <c r="J248" s="399"/>
      <c r="K248" s="399"/>
      <c r="L248" s="399"/>
      <c r="M248" s="400"/>
      <c r="N248" s="399"/>
      <c r="O248" s="399"/>
      <c r="P248" s="399"/>
      <c r="Q248" s="400"/>
      <c r="R248" s="399"/>
      <c r="S248" s="399"/>
      <c r="T248" s="399"/>
      <c r="U248" s="400"/>
      <c r="V248" s="399"/>
      <c r="W248" s="399"/>
      <c r="X248" s="399"/>
      <c r="Y248" s="400"/>
      <c r="Z248" s="481"/>
      <c r="AA248" s="481"/>
      <c r="AB248" s="482"/>
      <c r="AC248" s="482"/>
      <c r="AD248" s="482"/>
      <c r="AE248" s="482"/>
      <c r="AF248" s="482"/>
      <c r="AG248" s="482"/>
      <c r="AH248" s="122"/>
      <c r="AI248" s="122"/>
      <c r="AJ248" s="122"/>
      <c r="AK248" s="122"/>
      <c r="AL248" s="122"/>
      <c r="AM248" s="122"/>
      <c r="AN248" s="122"/>
      <c r="AO248" s="122"/>
      <c r="AQ248" s="455"/>
      <c r="AR248" s="455"/>
      <c r="AS248" s="455"/>
      <c r="AT248" s="455"/>
      <c r="AU248" s="455"/>
    </row>
    <row r="249" spans="1:49" s="418" customFormat="1" ht="11.4" x14ac:dyDescent="0.4">
      <c r="A249" s="205" t="s">
        <v>262</v>
      </c>
      <c r="B249" s="73">
        <f t="shared" ref="B249:Y257" si="112">+B224*B$103*B60</f>
        <v>28</v>
      </c>
      <c r="C249" s="73">
        <f t="shared" si="112"/>
        <v>31.5</v>
      </c>
      <c r="D249" s="73">
        <f t="shared" si="112"/>
        <v>31.5</v>
      </c>
      <c r="E249" s="108">
        <f t="shared" si="112"/>
        <v>24.15</v>
      </c>
      <c r="F249" s="73">
        <f t="shared" si="112"/>
        <v>27.53799999999999</v>
      </c>
      <c r="G249" s="73">
        <f t="shared" si="112"/>
        <v>28.528639999999982</v>
      </c>
      <c r="H249" s="73">
        <f t="shared" si="112"/>
        <v>22.335611199999985</v>
      </c>
      <c r="I249" s="108">
        <f t="shared" si="112"/>
        <v>22.319657191999987</v>
      </c>
      <c r="J249" s="73">
        <f t="shared" si="112"/>
        <v>33.947379536</v>
      </c>
      <c r="K249" s="73">
        <f t="shared" si="112"/>
        <v>31.187507126720011</v>
      </c>
      <c r="L249" s="73">
        <f t="shared" si="112"/>
        <v>34.272515189695994</v>
      </c>
      <c r="M249" s="108">
        <f t="shared" si="112"/>
        <v>34.272515189695994</v>
      </c>
      <c r="N249" s="73">
        <f t="shared" si="112"/>
        <v>28.828577212841282</v>
      </c>
      <c r="O249" s="73">
        <f t="shared" si="112"/>
        <v>28.010994986722967</v>
      </c>
      <c r="P249" s="73">
        <f t="shared" si="112"/>
        <v>28.010994986722967</v>
      </c>
      <c r="Q249" s="108">
        <f t="shared" si="112"/>
        <v>28.010994986722967</v>
      </c>
      <c r="R249" s="73">
        <f t="shared" si="112"/>
        <v>28.010994986722967</v>
      </c>
      <c r="S249" s="73">
        <f t="shared" si="112"/>
        <v>25.676745404496057</v>
      </c>
      <c r="T249" s="73">
        <f t="shared" si="112"/>
        <v>23.342495822269139</v>
      </c>
      <c r="U249" s="108">
        <f t="shared" si="112"/>
        <v>25.676745404496057</v>
      </c>
      <c r="V249" s="73">
        <f t="shared" si="112"/>
        <v>18.673996657815312</v>
      </c>
      <c r="W249" s="73">
        <f t="shared" si="112"/>
        <v>18.673996657815312</v>
      </c>
      <c r="X249" s="73">
        <f t="shared" si="112"/>
        <v>18.673996657815312</v>
      </c>
      <c r="Y249" s="108">
        <f t="shared" si="112"/>
        <v>18.673996657815312</v>
      </c>
      <c r="Z249" s="483"/>
      <c r="AA249" s="483"/>
      <c r="AB249" s="72"/>
      <c r="AC249" s="72"/>
      <c r="AD249" s="72"/>
      <c r="AE249" s="72"/>
      <c r="AF249" s="73">
        <f t="shared" ref="AF249:AI253" si="113">+AF13*AF236</f>
        <v>304.1986196634</v>
      </c>
      <c r="AG249" s="73">
        <f t="shared" si="113"/>
        <v>301.02008547741201</v>
      </c>
      <c r="AH249" s="73">
        <f t="shared" si="113"/>
        <v>127.202783020032</v>
      </c>
      <c r="AI249" s="73">
        <f t="shared" si="113"/>
        <v>126.844049479616</v>
      </c>
      <c r="AJ249" s="73">
        <f>SUM(B249:E249)</f>
        <v>115.15</v>
      </c>
      <c r="AK249" s="73">
        <f>SUM(F249:I249)</f>
        <v>100.72190839199993</v>
      </c>
      <c r="AL249" s="73">
        <f>SUM(J249:M249)</f>
        <v>133.67991704211198</v>
      </c>
      <c r="AM249" s="73">
        <f>SUM(N249:Q249)</f>
        <v>112.86156217301017</v>
      </c>
      <c r="AN249" s="73">
        <f>SUM(R249:U249)</f>
        <v>102.70698161798423</v>
      </c>
      <c r="AO249" s="73">
        <f>SUM(V249:Y249)</f>
        <v>74.695986631261249</v>
      </c>
      <c r="AQ249" s="459"/>
      <c r="AR249" s="459"/>
      <c r="AS249" s="459"/>
      <c r="AT249" s="459"/>
      <c r="AU249" s="459"/>
    </row>
    <row r="250" spans="1:49" s="465" customFormat="1" ht="11.4" x14ac:dyDescent="0.4">
      <c r="A250" s="205" t="s">
        <v>263</v>
      </c>
      <c r="B250" s="73">
        <f t="shared" si="112"/>
        <v>322.87080000000003</v>
      </c>
      <c r="C250" s="73">
        <f t="shared" si="112"/>
        <v>322.87080000000003</v>
      </c>
      <c r="D250" s="73">
        <f t="shared" si="112"/>
        <v>355.30201874999989</v>
      </c>
      <c r="E250" s="108">
        <f t="shared" si="112"/>
        <v>245.75656874999987</v>
      </c>
      <c r="F250" s="73">
        <f t="shared" si="112"/>
        <v>231.90771765</v>
      </c>
      <c r="G250" s="73">
        <f t="shared" si="112"/>
        <v>207.06046218749998</v>
      </c>
      <c r="H250" s="73">
        <f t="shared" si="112"/>
        <v>82.824184875</v>
      </c>
      <c r="I250" s="108">
        <f t="shared" si="112"/>
        <v>82.824184875</v>
      </c>
      <c r="J250" s="73">
        <f t="shared" si="112"/>
        <v>50.87261355468749</v>
      </c>
      <c r="K250" s="73">
        <f t="shared" si="112"/>
        <v>50.87261355468749</v>
      </c>
      <c r="L250" s="73">
        <f t="shared" si="112"/>
        <v>48.781958203124987</v>
      </c>
      <c r="M250" s="108">
        <f t="shared" si="112"/>
        <v>48.781958203124987</v>
      </c>
      <c r="N250" s="73">
        <f t="shared" si="112"/>
        <v>40.318288454882797</v>
      </c>
      <c r="O250" s="73">
        <f t="shared" si="112"/>
        <v>40.596345616640612</v>
      </c>
      <c r="P250" s="73">
        <f t="shared" si="112"/>
        <v>40.596345616640612</v>
      </c>
      <c r="Q250" s="108">
        <f t="shared" si="112"/>
        <v>40.596345616640612</v>
      </c>
      <c r="R250" s="73">
        <f t="shared" si="112"/>
        <v>31.220522938511714</v>
      </c>
      <c r="S250" s="73">
        <f t="shared" si="112"/>
        <v>31.220522938511714</v>
      </c>
      <c r="T250" s="73">
        <f t="shared" si="112"/>
        <v>31.220522938511714</v>
      </c>
      <c r="U250" s="108">
        <f t="shared" si="112"/>
        <v>31.220522938511714</v>
      </c>
      <c r="V250" s="73">
        <f t="shared" si="112"/>
        <v>22.680791664154096</v>
      </c>
      <c r="W250" s="73">
        <f t="shared" si="112"/>
        <v>22.680791664154096</v>
      </c>
      <c r="X250" s="73">
        <f t="shared" si="112"/>
        <v>22.680791664154096</v>
      </c>
      <c r="Y250" s="108">
        <f t="shared" si="112"/>
        <v>22.680791664154096</v>
      </c>
      <c r="Z250" s="460"/>
      <c r="AA250" s="460"/>
      <c r="AB250" s="484"/>
      <c r="AC250" s="484"/>
      <c r="AD250" s="484"/>
      <c r="AE250" s="484"/>
      <c r="AF250" s="73">
        <f t="shared" si="113"/>
        <v>1055.7550080000001</v>
      </c>
      <c r="AG250" s="73">
        <f t="shared" si="113"/>
        <v>923.91395999999997</v>
      </c>
      <c r="AH250" s="73">
        <f t="shared" si="113"/>
        <v>1595.8918418999999</v>
      </c>
      <c r="AI250" s="73">
        <f t="shared" si="113"/>
        <v>1273.3335303749998</v>
      </c>
      <c r="AJ250" s="73">
        <f t="shared" ref="AJ250:AJ260" si="114">SUM(B250:E250)</f>
        <v>1246.8001874999998</v>
      </c>
      <c r="AK250" s="73">
        <f t="shared" ref="AK250:AK260" si="115">SUM(F250:I250)</f>
        <v>604.6165495875</v>
      </c>
      <c r="AL250" s="73">
        <f t="shared" ref="AL250:AL260" si="116">SUM(J250:M250)</f>
        <v>199.30914351562495</v>
      </c>
      <c r="AM250" s="73">
        <f t="shared" ref="AM250:AM260" si="117">SUM(N250:Q250)</f>
        <v>162.10732530480462</v>
      </c>
      <c r="AN250" s="73">
        <f t="shared" ref="AN250:AN260" si="118">SUM(R250:U250)</f>
        <v>124.88209175404685</v>
      </c>
      <c r="AO250" s="73">
        <f t="shared" ref="AO250:AO260" si="119">SUM(V250:Y250)</f>
        <v>90.723166656616385</v>
      </c>
      <c r="AQ250" s="464"/>
      <c r="AR250" s="464"/>
      <c r="AS250" s="464"/>
      <c r="AT250" s="464"/>
      <c r="AU250" s="464"/>
    </row>
    <row r="251" spans="1:49" s="465" customFormat="1" ht="11.4" x14ac:dyDescent="0.4">
      <c r="A251" s="205" t="s">
        <v>264</v>
      </c>
      <c r="B251" s="73">
        <f t="shared" si="112"/>
        <v>90.551999999999992</v>
      </c>
      <c r="C251" s="73">
        <f t="shared" si="112"/>
        <v>107.79999999999998</v>
      </c>
      <c r="D251" s="73">
        <f t="shared" si="112"/>
        <v>138.59999999999997</v>
      </c>
      <c r="E251" s="108">
        <f t="shared" si="112"/>
        <v>167.55199999999999</v>
      </c>
      <c r="F251" s="73">
        <f t="shared" si="112"/>
        <v>120.25728000000002</v>
      </c>
      <c r="G251" s="73">
        <f t="shared" si="112"/>
        <v>71.547300000000007</v>
      </c>
      <c r="H251" s="73">
        <f t="shared" si="112"/>
        <v>28.618920000000003</v>
      </c>
      <c r="I251" s="108">
        <f t="shared" si="112"/>
        <v>28.618920000000003</v>
      </c>
      <c r="J251" s="73">
        <f t="shared" si="112"/>
        <v>20.293416000000001</v>
      </c>
      <c r="K251" s="73">
        <f t="shared" si="112"/>
        <v>20.293416000000001</v>
      </c>
      <c r="L251" s="73">
        <f t="shared" si="112"/>
        <v>25.945920000000005</v>
      </c>
      <c r="M251" s="108">
        <f t="shared" si="112"/>
        <v>25.945920000000005</v>
      </c>
      <c r="N251" s="73">
        <f t="shared" si="112"/>
        <v>16.201052999999998</v>
      </c>
      <c r="O251" s="73">
        <f t="shared" si="112"/>
        <v>16.312784399999998</v>
      </c>
      <c r="P251" s="73">
        <f t="shared" si="112"/>
        <v>16.312784399999998</v>
      </c>
      <c r="Q251" s="108">
        <f t="shared" si="112"/>
        <v>16.312784399999998</v>
      </c>
      <c r="R251" s="73">
        <f t="shared" si="112"/>
        <v>12.679482419999999</v>
      </c>
      <c r="S251" s="73">
        <f t="shared" si="112"/>
        <v>12.679482419999999</v>
      </c>
      <c r="T251" s="73">
        <f t="shared" si="112"/>
        <v>12.679482419999999</v>
      </c>
      <c r="U251" s="108">
        <f t="shared" si="112"/>
        <v>12.679482419999999</v>
      </c>
      <c r="V251" s="73">
        <f t="shared" si="112"/>
        <v>8.6995337715000005</v>
      </c>
      <c r="W251" s="73">
        <f t="shared" si="112"/>
        <v>8.6995337715000005</v>
      </c>
      <c r="X251" s="73">
        <f t="shared" si="112"/>
        <v>8.6995337715000005</v>
      </c>
      <c r="Y251" s="108">
        <f t="shared" si="112"/>
        <v>8.6995337715000005</v>
      </c>
      <c r="Z251" s="460"/>
      <c r="AA251" s="460"/>
      <c r="AB251" s="484"/>
      <c r="AC251" s="484"/>
      <c r="AD251" s="484"/>
      <c r="AE251" s="484"/>
      <c r="AF251" s="73">
        <f t="shared" si="113"/>
        <v>0</v>
      </c>
      <c r="AG251" s="73">
        <f t="shared" si="113"/>
        <v>0</v>
      </c>
      <c r="AH251" s="73">
        <f t="shared" si="113"/>
        <v>8.558819999999999</v>
      </c>
      <c r="AI251" s="73">
        <f t="shared" si="113"/>
        <v>308.42250000000001</v>
      </c>
      <c r="AJ251" s="73">
        <f t="shared" si="114"/>
        <v>504.50399999999991</v>
      </c>
      <c r="AK251" s="73">
        <f t="shared" si="115"/>
        <v>249.04242000000005</v>
      </c>
      <c r="AL251" s="73">
        <f t="shared" si="116"/>
        <v>92.478672000000003</v>
      </c>
      <c r="AM251" s="73">
        <f t="shared" si="117"/>
        <v>65.139406199999996</v>
      </c>
      <c r="AN251" s="73">
        <f t="shared" si="118"/>
        <v>50.717929679999997</v>
      </c>
      <c r="AO251" s="73">
        <f t="shared" si="119"/>
        <v>34.798135086000002</v>
      </c>
      <c r="AQ251" s="464"/>
      <c r="AR251" s="464"/>
      <c r="AS251" s="464"/>
      <c r="AT251" s="464"/>
      <c r="AU251" s="464"/>
    </row>
    <row r="252" spans="1:49" s="465" customFormat="1" ht="11.4" x14ac:dyDescent="0.4">
      <c r="A252" s="205" t="s">
        <v>265</v>
      </c>
      <c r="B252" s="73">
        <f t="shared" si="112"/>
        <v>120.4</v>
      </c>
      <c r="C252" s="73">
        <f t="shared" si="112"/>
        <v>120.4</v>
      </c>
      <c r="D252" s="73">
        <f t="shared" si="112"/>
        <v>255.416</v>
      </c>
      <c r="E252" s="108">
        <f t="shared" si="112"/>
        <v>471.11467620000002</v>
      </c>
      <c r="F252" s="73">
        <f t="shared" si="112"/>
        <v>144.38536848000001</v>
      </c>
      <c r="G252" s="73">
        <f t="shared" si="112"/>
        <v>153.85080742560001</v>
      </c>
      <c r="H252" s="73">
        <f t="shared" si="112"/>
        <v>205.13440990080005</v>
      </c>
      <c r="I252" s="108">
        <f t="shared" si="112"/>
        <v>209.21506580179209</v>
      </c>
      <c r="J252" s="73">
        <f t="shared" si="112"/>
        <v>255.2238039668315</v>
      </c>
      <c r="K252" s="73">
        <f t="shared" si="112"/>
        <v>444.73150207617738</v>
      </c>
      <c r="L252" s="73">
        <f t="shared" si="112"/>
        <v>488.38083355247511</v>
      </c>
      <c r="M252" s="108">
        <f t="shared" si="112"/>
        <v>482.25473772023764</v>
      </c>
      <c r="N252" s="73">
        <f t="shared" si="112"/>
        <v>475.03674666501666</v>
      </c>
      <c r="O252" s="384">
        <f t="shared" ref="O252:Y257" si="120">+O227*O$103*O63-O188</f>
        <v>426.53603488988801</v>
      </c>
      <c r="P252" s="384">
        <f t="shared" si="120"/>
        <v>284.35735659325871</v>
      </c>
      <c r="Q252" s="385">
        <f t="shared" si="120"/>
        <v>142.17867829662936</v>
      </c>
      <c r="R252" s="384">
        <f t="shared" si="120"/>
        <v>107.1683847306968</v>
      </c>
      <c r="S252" s="384">
        <f t="shared" si="120"/>
        <v>107.1683847306968</v>
      </c>
      <c r="T252" s="384">
        <f t="shared" si="120"/>
        <v>53.5841923653484</v>
      </c>
      <c r="U252" s="385">
        <f t="shared" si="120"/>
        <v>53.5841923653484</v>
      </c>
      <c r="V252" s="384">
        <f t="shared" si="120"/>
        <v>39.311020594387955</v>
      </c>
      <c r="W252" s="384">
        <f t="shared" si="120"/>
        <v>39.311020594387955</v>
      </c>
      <c r="X252" s="384">
        <f t="shared" si="120"/>
        <v>39.311020594387955</v>
      </c>
      <c r="Y252" s="385">
        <f t="shared" si="120"/>
        <v>39.311020594387955</v>
      </c>
      <c r="Z252" s="460"/>
      <c r="AA252" s="460"/>
      <c r="AB252" s="484"/>
      <c r="AC252" s="484"/>
      <c r="AD252" s="484"/>
      <c r="AE252" s="484"/>
      <c r="AF252" s="73">
        <f t="shared" si="113"/>
        <v>0</v>
      </c>
      <c r="AG252" s="73">
        <f t="shared" si="113"/>
        <v>0</v>
      </c>
      <c r="AH252" s="73">
        <f t="shared" si="113"/>
        <v>76.078400000000002</v>
      </c>
      <c r="AI252" s="73">
        <f t="shared" si="113"/>
        <v>375.12540000000001</v>
      </c>
      <c r="AJ252" s="73">
        <f t="shared" si="114"/>
        <v>967.33067619999997</v>
      </c>
      <c r="AK252" s="73">
        <f t="shared" si="115"/>
        <v>712.58565160819217</v>
      </c>
      <c r="AL252" s="73">
        <f t="shared" si="116"/>
        <v>1670.5908773157216</v>
      </c>
      <c r="AM252" s="73">
        <f t="shared" si="117"/>
        <v>1328.1088164447926</v>
      </c>
      <c r="AN252" s="73">
        <f t="shared" si="118"/>
        <v>321.50515419209034</v>
      </c>
      <c r="AO252" s="73">
        <f t="shared" si="119"/>
        <v>157.24408237755182</v>
      </c>
      <c r="AQ252" s="464"/>
      <c r="AR252" s="464"/>
      <c r="AS252" s="464"/>
      <c r="AT252" s="464"/>
      <c r="AU252" s="464"/>
    </row>
    <row r="253" spans="1:49" s="418" customFormat="1" ht="11.4" x14ac:dyDescent="0.4">
      <c r="A253" s="205" t="s">
        <v>275</v>
      </c>
      <c r="B253" s="73">
        <f t="shared" si="112"/>
        <v>0</v>
      </c>
      <c r="C253" s="73">
        <f t="shared" si="112"/>
        <v>0</v>
      </c>
      <c r="D253" s="73">
        <f t="shared" si="112"/>
        <v>0</v>
      </c>
      <c r="E253" s="108">
        <f t="shared" si="112"/>
        <v>0</v>
      </c>
      <c r="F253" s="73">
        <f t="shared" si="112"/>
        <v>0</v>
      </c>
      <c r="G253" s="73">
        <f t="shared" si="112"/>
        <v>113.15</v>
      </c>
      <c r="H253" s="73">
        <f t="shared" si="112"/>
        <v>420.82163999999995</v>
      </c>
      <c r="I253" s="108">
        <f t="shared" si="112"/>
        <v>611.03416299999992</v>
      </c>
      <c r="J253" s="73">
        <f t="shared" si="112"/>
        <v>627.09915079799998</v>
      </c>
      <c r="K253" s="73">
        <f t="shared" si="112"/>
        <v>986.06757714911998</v>
      </c>
      <c r="L253" s="73">
        <f t="shared" si="112"/>
        <v>1115.7596334976895</v>
      </c>
      <c r="M253" s="108">
        <f t="shared" si="112"/>
        <v>1202.0046258622247</v>
      </c>
      <c r="N253" s="73">
        <f t="shared" si="112"/>
        <v>1223.0380271251502</v>
      </c>
      <c r="O253" s="384">
        <f t="shared" si="120"/>
        <v>1091.9004949258256</v>
      </c>
      <c r="P253" s="384">
        <f t="shared" si="120"/>
        <v>1164.6938612542142</v>
      </c>
      <c r="Q253" s="385">
        <f t="shared" si="120"/>
        <v>1310.2805939109908</v>
      </c>
      <c r="R253" s="384">
        <f t="shared" si="120"/>
        <v>1412.1913067707346</v>
      </c>
      <c r="S253" s="384">
        <f t="shared" si="120"/>
        <v>1141.3608022290762</v>
      </c>
      <c r="T253" s="384">
        <f t="shared" si="120"/>
        <v>1141.3608022290762</v>
      </c>
      <c r="U253" s="385">
        <f t="shared" si="120"/>
        <v>1141.3608022290762</v>
      </c>
      <c r="V253" s="384">
        <f t="shared" si="120"/>
        <v>1138.7654781622036</v>
      </c>
      <c r="W253" s="384">
        <f t="shared" si="120"/>
        <v>689.96146373906356</v>
      </c>
      <c r="X253" s="384">
        <f t="shared" si="120"/>
        <v>563.5621051388863</v>
      </c>
      <c r="Y253" s="385">
        <f t="shared" si="120"/>
        <v>421.39214859722051</v>
      </c>
      <c r="Z253" s="483"/>
      <c r="AA253" s="483"/>
      <c r="AB253" s="72"/>
      <c r="AC253" s="72"/>
      <c r="AD253" s="72"/>
      <c r="AE253" s="72"/>
      <c r="AF253" s="73">
        <f t="shared" si="113"/>
        <v>0</v>
      </c>
      <c r="AG253" s="73">
        <f t="shared" si="113"/>
        <v>0</v>
      </c>
      <c r="AH253" s="73">
        <f t="shared" si="113"/>
        <v>0</v>
      </c>
      <c r="AI253" s="73">
        <f t="shared" si="113"/>
        <v>0</v>
      </c>
      <c r="AJ253" s="73">
        <f t="shared" si="114"/>
        <v>0</v>
      </c>
      <c r="AK253" s="73">
        <f t="shared" si="115"/>
        <v>1145.005803</v>
      </c>
      <c r="AL253" s="73">
        <f t="shared" si="116"/>
        <v>3930.9309873070338</v>
      </c>
      <c r="AM253" s="73">
        <f t="shared" si="117"/>
        <v>4789.9129772161814</v>
      </c>
      <c r="AN253" s="73">
        <f t="shared" si="118"/>
        <v>4836.2737134579638</v>
      </c>
      <c r="AO253" s="73">
        <f t="shared" si="119"/>
        <v>2813.681195637374</v>
      </c>
      <c r="AQ253" s="459"/>
      <c r="AR253" s="459"/>
      <c r="AS253" s="459"/>
      <c r="AT253" s="459"/>
      <c r="AU253" s="459"/>
    </row>
    <row r="254" spans="1:49" s="418" customFormat="1" ht="11.4" x14ac:dyDescent="0.4">
      <c r="A254" s="205" t="s">
        <v>276</v>
      </c>
      <c r="B254" s="73"/>
      <c r="C254" s="73"/>
      <c r="D254" s="73"/>
      <c r="E254" s="108"/>
      <c r="F254" s="73"/>
      <c r="G254" s="73"/>
      <c r="H254" s="73"/>
      <c r="I254" s="108"/>
      <c r="J254" s="73"/>
      <c r="K254" s="73"/>
      <c r="L254" s="73">
        <f t="shared" si="112"/>
        <v>0</v>
      </c>
      <c r="M254" s="108">
        <f t="shared" si="112"/>
        <v>0</v>
      </c>
      <c r="N254" s="73">
        <f t="shared" si="112"/>
        <v>177.77869999999999</v>
      </c>
      <c r="O254" s="384">
        <f t="shared" si="120"/>
        <v>1465.9509599999999</v>
      </c>
      <c r="P254" s="384">
        <f t="shared" si="120"/>
        <v>1628.8344</v>
      </c>
      <c r="Q254" s="385">
        <f t="shared" si="120"/>
        <v>1710.27612</v>
      </c>
      <c r="R254" s="384">
        <f t="shared" si="120"/>
        <v>1702.131948</v>
      </c>
      <c r="S254" s="384">
        <f t="shared" si="120"/>
        <v>1789.0969356000001</v>
      </c>
      <c r="T254" s="384">
        <f t="shared" si="120"/>
        <v>2201.9654592000002</v>
      </c>
      <c r="U254" s="385">
        <f t="shared" si="120"/>
        <v>2477.2111415999998</v>
      </c>
      <c r="V254" s="384">
        <f t="shared" si="120"/>
        <v>1790.735183496</v>
      </c>
      <c r="W254" s="384">
        <f t="shared" si="120"/>
        <v>1109.7548348687999</v>
      </c>
      <c r="X254" s="384">
        <f t="shared" si="120"/>
        <v>897.9131292160896</v>
      </c>
      <c r="Y254" s="385">
        <f t="shared" si="120"/>
        <v>680.9409734429463</v>
      </c>
      <c r="Z254" s="483"/>
      <c r="AA254" s="483"/>
      <c r="AB254" s="72"/>
      <c r="AC254" s="72"/>
      <c r="AD254" s="72"/>
      <c r="AE254" s="72"/>
      <c r="AF254" s="73"/>
      <c r="AG254" s="73"/>
      <c r="AH254" s="73"/>
      <c r="AI254" s="73"/>
      <c r="AJ254" s="73"/>
      <c r="AK254" s="73">
        <f>SUM(F254:I254)</f>
        <v>0</v>
      </c>
      <c r="AL254" s="73">
        <f>SUM(J254:M254)</f>
        <v>0</v>
      </c>
      <c r="AM254" s="73">
        <f>SUM(N254:Q254)</f>
        <v>4982.8401799999992</v>
      </c>
      <c r="AN254" s="73">
        <f>SUM(R254:U254)</f>
        <v>8170.4054843999993</v>
      </c>
      <c r="AO254" s="73">
        <f>SUM(V254:Y254)</f>
        <v>4479.3441210238352</v>
      </c>
      <c r="AQ254" s="459"/>
      <c r="AR254" s="459"/>
      <c r="AS254" s="459"/>
      <c r="AT254" s="459"/>
      <c r="AU254" s="459"/>
    </row>
    <row r="255" spans="1:49" s="418" customFormat="1" ht="11.4" x14ac:dyDescent="0.4">
      <c r="A255" s="205" t="s">
        <v>277</v>
      </c>
      <c r="B255" s="73"/>
      <c r="C255" s="73"/>
      <c r="D255" s="73"/>
      <c r="E255" s="108"/>
      <c r="F255" s="73">
        <f t="shared" ref="F255:K256" si="121">+F230*F$103*F66</f>
        <v>0</v>
      </c>
      <c r="G255" s="73">
        <f t="shared" si="121"/>
        <v>80.847500000000011</v>
      </c>
      <c r="H255" s="73">
        <f t="shared" si="121"/>
        <v>250.59403499999999</v>
      </c>
      <c r="I255" s="108">
        <f t="shared" si="121"/>
        <v>349.35292012000002</v>
      </c>
      <c r="J255" s="73">
        <f t="shared" si="121"/>
        <v>598.20607742920004</v>
      </c>
      <c r="K255" s="73">
        <f t="shared" si="121"/>
        <v>496.83455807190006</v>
      </c>
      <c r="L255" s="73">
        <f t="shared" si="112"/>
        <v>468.58086651620999</v>
      </c>
      <c r="M255" s="108">
        <f t="shared" si="112"/>
        <v>339.08647443012012</v>
      </c>
      <c r="N255" s="73">
        <f t="shared" si="112"/>
        <v>287.84893258033406</v>
      </c>
      <c r="O255" s="384">
        <f t="shared" si="120"/>
        <v>111.46884852047118</v>
      </c>
      <c r="P255" s="384">
        <f t="shared" si="120"/>
        <v>92.89070710039266</v>
      </c>
      <c r="Q255" s="385">
        <f t="shared" si="120"/>
        <v>92.89070710039266</v>
      </c>
      <c r="R255" s="384">
        <f t="shared" si="120"/>
        <v>42.256978550196322</v>
      </c>
      <c r="S255" s="384">
        <f t="shared" si="120"/>
        <v>25.503478550196334</v>
      </c>
      <c r="T255" s="384">
        <f t="shared" si="120"/>
        <v>25.503478550196334</v>
      </c>
      <c r="U255" s="385">
        <f t="shared" si="120"/>
        <v>25.503478550196334</v>
      </c>
      <c r="V255" s="384">
        <f t="shared" si="120"/>
        <v>12.962540221845225</v>
      </c>
      <c r="W255" s="384">
        <f t="shared" si="120"/>
        <v>6.1526709174083196</v>
      </c>
      <c r="X255" s="384">
        <f t="shared" si="120"/>
        <v>7.0383178115601543</v>
      </c>
      <c r="Y255" s="385">
        <f t="shared" si="120"/>
        <v>7.9062517678289481</v>
      </c>
      <c r="Z255" s="483"/>
      <c r="AA255" s="483"/>
      <c r="AB255" s="72"/>
      <c r="AC255" s="72"/>
      <c r="AD255" s="72"/>
      <c r="AE255" s="72"/>
      <c r="AF255" s="73"/>
      <c r="AG255" s="73"/>
      <c r="AH255" s="73"/>
      <c r="AI255" s="73"/>
      <c r="AJ255" s="73"/>
      <c r="AK255" s="73">
        <f>SUM(F255:I255)</f>
        <v>680.79445512000007</v>
      </c>
      <c r="AL255" s="73">
        <f>SUM(J255:M255)</f>
        <v>1902.7079764474302</v>
      </c>
      <c r="AM255" s="73">
        <f>SUM(N255:Q255)</f>
        <v>585.0991953015905</v>
      </c>
      <c r="AN255" s="73">
        <f>SUM(R255:U255)</f>
        <v>118.76741420078532</v>
      </c>
      <c r="AO255" s="73">
        <f>SUM(V255:Y255)</f>
        <v>34.059780718642649</v>
      </c>
      <c r="AQ255" s="459"/>
      <c r="AR255" s="459"/>
      <c r="AS255" s="459"/>
      <c r="AT255" s="459"/>
      <c r="AU255" s="459"/>
    </row>
    <row r="256" spans="1:49" s="442" customFormat="1" ht="11.4" x14ac:dyDescent="0.4">
      <c r="A256" s="205" t="s">
        <v>288</v>
      </c>
      <c r="B256" s="73">
        <f>+B231*B$103*B67</f>
        <v>0</v>
      </c>
      <c r="C256" s="73">
        <f>+C231*C$103*C67</f>
        <v>0</v>
      </c>
      <c r="D256" s="73">
        <f>+D231*D$103*D67</f>
        <v>0</v>
      </c>
      <c r="E256" s="108">
        <f>+E231*E$103*E67</f>
        <v>0</v>
      </c>
      <c r="F256" s="73">
        <f t="shared" si="121"/>
        <v>0</v>
      </c>
      <c r="G256" s="73">
        <f t="shared" si="121"/>
        <v>0</v>
      </c>
      <c r="H256" s="73">
        <f t="shared" si="121"/>
        <v>0</v>
      </c>
      <c r="I256" s="108">
        <f t="shared" si="121"/>
        <v>0</v>
      </c>
      <c r="J256" s="73">
        <f t="shared" si="121"/>
        <v>0</v>
      </c>
      <c r="K256" s="73">
        <f t="shared" si="121"/>
        <v>0</v>
      </c>
      <c r="L256" s="73">
        <f t="shared" si="112"/>
        <v>0</v>
      </c>
      <c r="M256" s="108">
        <f t="shared" si="112"/>
        <v>0</v>
      </c>
      <c r="N256" s="73">
        <f t="shared" si="112"/>
        <v>0</v>
      </c>
      <c r="O256" s="384">
        <f t="shared" si="120"/>
        <v>0</v>
      </c>
      <c r="P256" s="384">
        <f t="shared" si="120"/>
        <v>0</v>
      </c>
      <c r="Q256" s="385">
        <f t="shared" si="120"/>
        <v>0</v>
      </c>
      <c r="R256" s="384">
        <f t="shared" si="120"/>
        <v>0</v>
      </c>
      <c r="S256" s="384">
        <f t="shared" si="120"/>
        <v>318.01355000000001</v>
      </c>
      <c r="T256" s="384">
        <f t="shared" si="120"/>
        <v>318.01355000000001</v>
      </c>
      <c r="U256" s="385">
        <f t="shared" si="120"/>
        <v>318.01355000000001</v>
      </c>
      <c r="V256" s="384">
        <f t="shared" si="120"/>
        <v>553.37533200000007</v>
      </c>
      <c r="W256" s="384">
        <f t="shared" si="120"/>
        <v>1088.1037308799998</v>
      </c>
      <c r="X256" s="384">
        <f t="shared" si="120"/>
        <v>1644.2479383383995</v>
      </c>
      <c r="Y256" s="385">
        <f t="shared" si="120"/>
        <v>1918.2892613947993</v>
      </c>
      <c r="Z256" s="481"/>
      <c r="AA256" s="481"/>
      <c r="AB256" s="482"/>
      <c r="AC256" s="482"/>
      <c r="AD256" s="482"/>
      <c r="AE256" s="482"/>
      <c r="AF256" s="73">
        <f>+AF18*AF243</f>
        <v>0</v>
      </c>
      <c r="AG256" s="73">
        <f>+AG18*AG243</f>
        <v>0</v>
      </c>
      <c r="AH256" s="73">
        <f>+AH18*AH243</f>
        <v>0</v>
      </c>
      <c r="AI256" s="73">
        <f>+AI18*AI243</f>
        <v>0</v>
      </c>
      <c r="AJ256" s="73">
        <f t="shared" si="114"/>
        <v>0</v>
      </c>
      <c r="AK256" s="73">
        <f t="shared" si="115"/>
        <v>0</v>
      </c>
      <c r="AL256" s="73">
        <f t="shared" si="116"/>
        <v>0</v>
      </c>
      <c r="AM256" s="73">
        <f t="shared" si="117"/>
        <v>0</v>
      </c>
      <c r="AN256" s="73">
        <f t="shared" si="118"/>
        <v>954.04065000000003</v>
      </c>
      <c r="AO256" s="73">
        <f t="shared" si="119"/>
        <v>5204.0162626131987</v>
      </c>
      <c r="AQ256" s="455"/>
      <c r="AR256" s="455"/>
      <c r="AS256" s="455"/>
      <c r="AT256" s="455"/>
      <c r="AU256" s="455"/>
    </row>
    <row r="257" spans="1:47" s="442" customFormat="1" ht="11.4" x14ac:dyDescent="0.4">
      <c r="A257" s="205" t="s">
        <v>279</v>
      </c>
      <c r="B257" s="73"/>
      <c r="C257" s="73"/>
      <c r="D257" s="73"/>
      <c r="E257" s="108"/>
      <c r="F257" s="73"/>
      <c r="G257" s="73"/>
      <c r="H257" s="73"/>
      <c r="I257" s="108"/>
      <c r="J257" s="73">
        <f>+J232*J$103*J68</f>
        <v>0</v>
      </c>
      <c r="K257" s="73">
        <f>+K232*K$103*K68</f>
        <v>0</v>
      </c>
      <c r="L257" s="73">
        <f t="shared" si="112"/>
        <v>0</v>
      </c>
      <c r="M257" s="108">
        <f t="shared" si="112"/>
        <v>143.32499999999999</v>
      </c>
      <c r="N257" s="73">
        <f t="shared" si="112"/>
        <v>164.9375</v>
      </c>
      <c r="O257" s="384">
        <f t="shared" si="120"/>
        <v>166.07500000000002</v>
      </c>
      <c r="P257" s="384">
        <f t="shared" si="120"/>
        <v>830.375</v>
      </c>
      <c r="Q257" s="385">
        <f t="shared" si="120"/>
        <v>1328.6000000000001</v>
      </c>
      <c r="R257" s="384">
        <f t="shared" si="120"/>
        <v>1454.2695000000001</v>
      </c>
      <c r="S257" s="384">
        <f t="shared" si="120"/>
        <v>1911.5633999999998</v>
      </c>
      <c r="T257" s="384">
        <f t="shared" si="120"/>
        <v>2230.1572999999999</v>
      </c>
      <c r="U257" s="385">
        <f t="shared" si="120"/>
        <v>2548.7512000000002</v>
      </c>
      <c r="V257" s="384">
        <f t="shared" si="120"/>
        <v>2391.1935479999997</v>
      </c>
      <c r="W257" s="384">
        <f t="shared" si="120"/>
        <v>3804.919817439999</v>
      </c>
      <c r="X257" s="384">
        <f t="shared" si="120"/>
        <v>3804.919817439999</v>
      </c>
      <c r="Y257" s="485">
        <f t="shared" si="120"/>
        <v>3940.8098109199991</v>
      </c>
      <c r="Z257" s="481"/>
      <c r="AA257" s="481"/>
      <c r="AB257" s="482"/>
      <c r="AC257" s="482"/>
      <c r="AD257" s="482"/>
      <c r="AE257" s="482"/>
      <c r="AF257" s="73"/>
      <c r="AG257" s="73"/>
      <c r="AH257" s="73"/>
      <c r="AI257" s="73"/>
      <c r="AJ257" s="73"/>
      <c r="AK257" s="73"/>
      <c r="AL257" s="73">
        <f t="shared" si="116"/>
        <v>143.32499999999999</v>
      </c>
      <c r="AM257" s="73">
        <f>SUM(N257:Q257)</f>
        <v>2489.9875000000002</v>
      </c>
      <c r="AN257" s="73">
        <f>SUM(R257:U257)</f>
        <v>8144.7414000000008</v>
      </c>
      <c r="AO257" s="73">
        <f>SUM(V257:Y257)</f>
        <v>13941.842993799997</v>
      </c>
      <c r="AQ257" s="455"/>
      <c r="AR257" s="455"/>
      <c r="AS257" s="455"/>
      <c r="AT257" s="455"/>
      <c r="AU257" s="455"/>
    </row>
    <row r="258" spans="1:47" s="442" customFormat="1" ht="11.4" x14ac:dyDescent="0.4">
      <c r="A258" s="205" t="s">
        <v>268</v>
      </c>
      <c r="B258" s="73"/>
      <c r="C258" s="73"/>
      <c r="D258" s="73"/>
      <c r="E258" s="108"/>
      <c r="F258" s="73"/>
      <c r="G258" s="73"/>
      <c r="H258" s="73"/>
      <c r="I258" s="108"/>
      <c r="J258" s="73"/>
      <c r="K258" s="73"/>
      <c r="L258" s="73"/>
      <c r="M258" s="108"/>
      <c r="N258" s="73"/>
      <c r="O258" s="384"/>
      <c r="P258" s="384"/>
      <c r="Q258" s="385"/>
      <c r="R258" s="384"/>
      <c r="S258" s="384"/>
      <c r="T258" s="384"/>
      <c r="U258" s="385"/>
      <c r="V258" s="384"/>
      <c r="W258" s="384"/>
      <c r="X258" s="384">
        <f>+X233*X$103*X69-X194</f>
        <v>372.3</v>
      </c>
      <c r="Y258" s="385">
        <f>+Y233*Y$103*Y69-Y194</f>
        <v>744.6</v>
      </c>
      <c r="Z258" s="481"/>
      <c r="AA258" s="481"/>
      <c r="AB258" s="482"/>
      <c r="AC258" s="482"/>
      <c r="AD258" s="482"/>
      <c r="AE258" s="482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>
        <f>SUM(V258:Y258)</f>
        <v>1116.9000000000001</v>
      </c>
      <c r="AQ258" s="455"/>
      <c r="AR258" s="455"/>
      <c r="AS258" s="455"/>
      <c r="AT258" s="455"/>
      <c r="AU258" s="455"/>
    </row>
    <row r="259" spans="1:47" s="442" customFormat="1" ht="11.4" x14ac:dyDescent="0.4">
      <c r="A259" s="205" t="s">
        <v>271</v>
      </c>
      <c r="B259" s="73">
        <f t="shared" ref="B259:Y259" si="122">+B246*B20</f>
        <v>7.9627051840710035</v>
      </c>
      <c r="C259" s="73">
        <f t="shared" si="122"/>
        <v>5.3520786693789946</v>
      </c>
      <c r="D259" s="73">
        <f t="shared" si="122"/>
        <v>3.3504420915140445</v>
      </c>
      <c r="E259" s="108">
        <f t="shared" si="122"/>
        <v>4.4771665738680362</v>
      </c>
      <c r="F259" s="73">
        <f t="shared" si="122"/>
        <v>4.5467431030000176</v>
      </c>
      <c r="G259" s="73">
        <f t="shared" si="122"/>
        <v>4.631643453000061</v>
      </c>
      <c r="H259" s="73">
        <f t="shared" si="122"/>
        <v>3.8304489789999936</v>
      </c>
      <c r="I259" s="108">
        <f t="shared" si="122"/>
        <v>2.0171111929999372</v>
      </c>
      <c r="J259" s="73">
        <f t="shared" si="122"/>
        <v>4.0453870011250732</v>
      </c>
      <c r="K259" s="73">
        <f t="shared" si="122"/>
        <v>4.1580207301251448</v>
      </c>
      <c r="L259" s="73">
        <f t="shared" si="122"/>
        <v>4.9546801587499436</v>
      </c>
      <c r="M259" s="108">
        <f t="shared" si="122"/>
        <v>3.7847085407499437</v>
      </c>
      <c r="N259" s="73">
        <f t="shared" si="122"/>
        <v>13.287847488968509</v>
      </c>
      <c r="O259" s="73">
        <f t="shared" si="122"/>
        <v>12.646679812437469</v>
      </c>
      <c r="P259" s="73">
        <f t="shared" si="122"/>
        <v>4.9546801587499436</v>
      </c>
      <c r="Q259" s="108">
        <f t="shared" si="122"/>
        <v>3.7847085407499437</v>
      </c>
      <c r="R259" s="73">
        <f t="shared" si="122"/>
        <v>6.6439237444842547</v>
      </c>
      <c r="S259" s="73">
        <f t="shared" si="122"/>
        <v>6.3233399062187345</v>
      </c>
      <c r="T259" s="73">
        <f t="shared" si="122"/>
        <v>4.9546801587499436</v>
      </c>
      <c r="U259" s="108">
        <f t="shared" si="122"/>
        <v>3.7847085407499437</v>
      </c>
      <c r="V259" s="73">
        <f t="shared" si="122"/>
        <v>6.6439237444842547</v>
      </c>
      <c r="W259" s="73">
        <f t="shared" si="122"/>
        <v>6.3233399062187345</v>
      </c>
      <c r="X259" s="73">
        <f t="shared" si="122"/>
        <v>4.9546801587499436</v>
      </c>
      <c r="Y259" s="108">
        <f t="shared" si="122"/>
        <v>3.7847085407499437</v>
      </c>
      <c r="Z259" s="481"/>
      <c r="AA259" s="481"/>
      <c r="AB259" s="482"/>
      <c r="AC259" s="482"/>
      <c r="AD259" s="482"/>
      <c r="AE259" s="482"/>
      <c r="AF259" s="73">
        <f>+AF20*AF246</f>
        <v>17.426357673999984</v>
      </c>
      <c r="AG259" s="73">
        <f>+AG20*AG246</f>
        <v>13.996880360100031</v>
      </c>
      <c r="AH259" s="73">
        <f>+AH20*AH246</f>
        <v>59.364235075199886</v>
      </c>
      <c r="AI259" s="73">
        <f>+AI20*AI246</f>
        <v>53.835096925575009</v>
      </c>
      <c r="AJ259" s="73">
        <f t="shared" si="114"/>
        <v>21.142392518832079</v>
      </c>
      <c r="AK259" s="73">
        <f t="shared" si="115"/>
        <v>15.025946728000008</v>
      </c>
      <c r="AL259" s="73">
        <f t="shared" si="116"/>
        <v>16.942796430750104</v>
      </c>
      <c r="AM259" s="73">
        <f t="shared" si="117"/>
        <v>34.673916000905869</v>
      </c>
      <c r="AN259" s="73">
        <f t="shared" si="118"/>
        <v>21.706652350202877</v>
      </c>
      <c r="AO259" s="73">
        <f t="shared" si="119"/>
        <v>21.706652350202877</v>
      </c>
      <c r="AQ259" s="455"/>
      <c r="AR259" s="455"/>
      <c r="AS259" s="455"/>
      <c r="AT259" s="455"/>
      <c r="AU259" s="455"/>
    </row>
    <row r="260" spans="1:47" s="442" customFormat="1" ht="11.4" x14ac:dyDescent="0.4">
      <c r="A260" s="346" t="s">
        <v>318</v>
      </c>
      <c r="B260" s="122">
        <f>SUM(B249:B259)</f>
        <v>569.78550518407098</v>
      </c>
      <c r="C260" s="122">
        <f t="shared" ref="C260:Y260" si="123">SUM(C249:C259)</f>
        <v>587.92287866937897</v>
      </c>
      <c r="D260" s="122">
        <f t="shared" si="123"/>
        <v>784.16846084151382</v>
      </c>
      <c r="E260" s="402">
        <f t="shared" si="123"/>
        <v>913.05041152386798</v>
      </c>
      <c r="F260" s="122">
        <f t="shared" si="123"/>
        <v>528.63510923300009</v>
      </c>
      <c r="G260" s="122">
        <f t="shared" si="123"/>
        <v>659.61635306610003</v>
      </c>
      <c r="H260" s="122">
        <f t="shared" si="123"/>
        <v>1014.1592499548</v>
      </c>
      <c r="I260" s="402">
        <f t="shared" si="123"/>
        <v>1305.3820221817919</v>
      </c>
      <c r="J260" s="122">
        <f t="shared" si="123"/>
        <v>1589.6878282858443</v>
      </c>
      <c r="K260" s="122">
        <f t="shared" si="123"/>
        <v>2034.1451947087301</v>
      </c>
      <c r="L260" s="122">
        <f t="shared" si="123"/>
        <v>2186.6764071179455</v>
      </c>
      <c r="M260" s="402">
        <f t="shared" si="123"/>
        <v>2279.4559399461532</v>
      </c>
      <c r="N260" s="122">
        <f t="shared" si="123"/>
        <v>2427.2756725271934</v>
      </c>
      <c r="O260" s="122">
        <f t="shared" si="123"/>
        <v>3359.4981431519855</v>
      </c>
      <c r="P260" s="122">
        <f t="shared" si="123"/>
        <v>4091.026130109979</v>
      </c>
      <c r="Q260" s="402">
        <f t="shared" si="123"/>
        <v>4672.9309328521267</v>
      </c>
      <c r="R260" s="122">
        <f t="shared" si="123"/>
        <v>4796.5730421413464</v>
      </c>
      <c r="S260" s="122">
        <f t="shared" si="123"/>
        <v>5368.6066417791953</v>
      </c>
      <c r="T260" s="122">
        <f t="shared" si="123"/>
        <v>6042.7819636841523</v>
      </c>
      <c r="U260" s="402">
        <f t="shared" si="123"/>
        <v>6637.7858240483783</v>
      </c>
      <c r="V260" s="122">
        <f t="shared" si="123"/>
        <v>5983.0413483123903</v>
      </c>
      <c r="W260" s="122">
        <f t="shared" si="123"/>
        <v>6794.5812004393465</v>
      </c>
      <c r="X260" s="122">
        <f t="shared" si="123"/>
        <v>7384.3013307915426</v>
      </c>
      <c r="Y260" s="402">
        <f t="shared" si="123"/>
        <v>7807.0884973514021</v>
      </c>
      <c r="Z260" s="481"/>
      <c r="AA260" s="481"/>
      <c r="AB260" s="482"/>
      <c r="AC260" s="482"/>
      <c r="AD260" s="482"/>
      <c r="AE260" s="482"/>
      <c r="AF260" s="122">
        <f>SUM(AF249:AF259)</f>
        <v>1377.3799853374001</v>
      </c>
      <c r="AG260" s="122">
        <f>SUM(AG249:AG259)</f>
        <v>1238.9309258375119</v>
      </c>
      <c r="AH260" s="122">
        <f>SUM(AH249:AH259)</f>
        <v>1867.096079995232</v>
      </c>
      <c r="AI260" s="122">
        <f>SUM(AI249:AI259)</f>
        <v>2137.5605767801903</v>
      </c>
      <c r="AJ260" s="122">
        <f t="shared" si="114"/>
        <v>2854.9272562188316</v>
      </c>
      <c r="AK260" s="122">
        <f t="shared" si="115"/>
        <v>3507.7927344356922</v>
      </c>
      <c r="AL260" s="122">
        <f t="shared" si="116"/>
        <v>8089.9653700586723</v>
      </c>
      <c r="AM260" s="122">
        <f t="shared" si="117"/>
        <v>14550.730878641283</v>
      </c>
      <c r="AN260" s="122">
        <f t="shared" si="118"/>
        <v>22845.747471653071</v>
      </c>
      <c r="AO260" s="122">
        <f t="shared" si="119"/>
        <v>27969.01237689468</v>
      </c>
      <c r="AQ260" s="455"/>
      <c r="AR260" s="455"/>
      <c r="AS260" s="455"/>
      <c r="AT260" s="455"/>
      <c r="AU260" s="455"/>
    </row>
    <row r="261" spans="1:47" s="418" customFormat="1" ht="11.4" x14ac:dyDescent="0.4">
      <c r="A261" s="335"/>
      <c r="B261" s="486"/>
      <c r="C261" s="324"/>
      <c r="D261" s="324"/>
      <c r="E261" s="325"/>
      <c r="F261" s="324"/>
      <c r="G261" s="324"/>
      <c r="H261" s="324"/>
      <c r="I261" s="325"/>
      <c r="J261" s="324"/>
      <c r="K261" s="324"/>
      <c r="L261" s="324"/>
      <c r="M261" s="325"/>
      <c r="N261" s="324"/>
      <c r="O261" s="324"/>
      <c r="P261" s="324"/>
      <c r="Q261" s="325"/>
      <c r="R261" s="324"/>
      <c r="S261" s="324"/>
      <c r="T261" s="324"/>
      <c r="U261" s="325"/>
      <c r="V261" s="324"/>
      <c r="W261" s="324"/>
      <c r="X261" s="324"/>
      <c r="Y261" s="325"/>
      <c r="Z261" s="483"/>
      <c r="AA261" s="483"/>
      <c r="AB261" s="72"/>
      <c r="AC261" s="72"/>
      <c r="AD261" s="72"/>
      <c r="AE261" s="72"/>
      <c r="AF261" s="72"/>
      <c r="AG261" s="72"/>
      <c r="AH261" s="73"/>
      <c r="AI261" s="73"/>
      <c r="AJ261" s="73"/>
      <c r="AK261" s="73"/>
      <c r="AL261" s="73"/>
      <c r="AM261" s="73"/>
      <c r="AN261" s="73"/>
      <c r="AO261" s="73"/>
      <c r="AQ261" s="459"/>
      <c r="AR261" s="459"/>
      <c r="AS261" s="459"/>
      <c r="AT261" s="459"/>
      <c r="AU261" s="459"/>
    </row>
    <row r="262" spans="1:47" s="418" customFormat="1" ht="11.4" x14ac:dyDescent="0.4">
      <c r="A262" s="346" t="s">
        <v>319</v>
      </c>
      <c r="B262" s="486"/>
      <c r="C262" s="324"/>
      <c r="D262" s="324"/>
      <c r="E262" s="325"/>
      <c r="F262" s="324"/>
      <c r="G262" s="324"/>
      <c r="H262" s="324"/>
      <c r="I262" s="325"/>
      <c r="J262" s="324"/>
      <c r="K262" s="324"/>
      <c r="L262" s="324"/>
      <c r="M262" s="325"/>
      <c r="N262" s="324"/>
      <c r="O262" s="324"/>
      <c r="P262" s="324"/>
      <c r="Q262" s="325"/>
      <c r="R262" s="324"/>
      <c r="S262" s="324"/>
      <c r="T262" s="324"/>
      <c r="U262" s="325"/>
      <c r="V262" s="324"/>
      <c r="W262" s="324"/>
      <c r="X262" s="324"/>
      <c r="Y262" s="325"/>
      <c r="Z262" s="483"/>
      <c r="AA262" s="483"/>
      <c r="AB262" s="72"/>
      <c r="AC262" s="72"/>
      <c r="AD262" s="72"/>
      <c r="AE262" s="72"/>
      <c r="AF262" s="72"/>
      <c r="AG262" s="72"/>
      <c r="AH262" s="73"/>
      <c r="AI262" s="73"/>
      <c r="AJ262" s="73"/>
      <c r="AK262" s="73"/>
      <c r="AL262" s="73"/>
      <c r="AM262" s="73"/>
      <c r="AN262" s="73"/>
      <c r="AO262" s="73"/>
      <c r="AQ262" s="459"/>
      <c r="AR262" s="459"/>
      <c r="AS262" s="459"/>
      <c r="AT262" s="459"/>
      <c r="AU262" s="459"/>
    </row>
    <row r="263" spans="1:47" s="418" customFormat="1" ht="11.4" x14ac:dyDescent="0.4">
      <c r="A263" s="205" t="s">
        <v>262</v>
      </c>
      <c r="B263" s="90">
        <f t="shared" ref="B263:Y272" si="124">+B249/B45</f>
        <v>0.17241379310344826</v>
      </c>
      <c r="C263" s="90">
        <f t="shared" si="124"/>
        <v>0.17241379310344826</v>
      </c>
      <c r="D263" s="90">
        <f t="shared" si="124"/>
        <v>0.17241379310344826</v>
      </c>
      <c r="E263" s="144">
        <f t="shared" si="124"/>
        <v>0.17241379310344829</v>
      </c>
      <c r="F263" s="90">
        <f t="shared" si="124"/>
        <v>0.17617554858934162</v>
      </c>
      <c r="G263" s="90">
        <f t="shared" si="124"/>
        <v>0.1596990595611284</v>
      </c>
      <c r="H263" s="90">
        <f t="shared" si="124"/>
        <v>0.14289304075235099</v>
      </c>
      <c r="I263" s="144">
        <f t="shared" si="124"/>
        <v>0.14289304075235101</v>
      </c>
      <c r="J263" s="90">
        <f t="shared" si="124"/>
        <v>0.19743621088629237</v>
      </c>
      <c r="K263" s="90">
        <f t="shared" si="124"/>
        <v>0.18138493510401829</v>
      </c>
      <c r="L263" s="90">
        <f t="shared" si="124"/>
        <v>0.19932718310173836</v>
      </c>
      <c r="M263" s="144">
        <f t="shared" si="124"/>
        <v>0.19932718310173836</v>
      </c>
      <c r="N263" s="90">
        <f t="shared" si="124"/>
        <v>0.19560977359471074</v>
      </c>
      <c r="O263" s="90">
        <f t="shared" si="124"/>
        <v>0.19006225479191577</v>
      </c>
      <c r="P263" s="90">
        <f t="shared" si="124"/>
        <v>0.19006225479191577</v>
      </c>
      <c r="Q263" s="144">
        <f t="shared" si="124"/>
        <v>0.19006225479191577</v>
      </c>
      <c r="R263" s="90">
        <f t="shared" si="124"/>
        <v>0.19006225479191577</v>
      </c>
      <c r="S263" s="90">
        <f t="shared" si="124"/>
        <v>0.1900622547919158</v>
      </c>
      <c r="T263" s="90">
        <f t="shared" si="124"/>
        <v>0.1900622547919158</v>
      </c>
      <c r="U263" s="144">
        <f t="shared" si="124"/>
        <v>0.1900622547919158</v>
      </c>
      <c r="V263" s="90">
        <f t="shared" si="124"/>
        <v>0.1900622547919158</v>
      </c>
      <c r="W263" s="90">
        <f t="shared" si="124"/>
        <v>0.1900622547919158</v>
      </c>
      <c r="X263" s="90">
        <f t="shared" si="124"/>
        <v>0.1900622547919158</v>
      </c>
      <c r="Y263" s="144">
        <f t="shared" si="124"/>
        <v>0.1900622547919158</v>
      </c>
      <c r="Z263" s="483"/>
      <c r="AA263" s="483"/>
      <c r="AB263" s="72"/>
      <c r="AC263" s="72"/>
      <c r="AD263" s="72"/>
      <c r="AE263" s="72"/>
      <c r="AF263" s="90">
        <f t="shared" ref="AF263:AO266" si="125">+AF249/AF45</f>
        <v>0.24360000000000001</v>
      </c>
      <c r="AG263" s="90">
        <f t="shared" si="125"/>
        <v>0.2923</v>
      </c>
      <c r="AH263" s="90">
        <f t="shared" si="125"/>
        <v>0.25359999999999999</v>
      </c>
      <c r="AI263" s="90">
        <f t="shared" si="125"/>
        <v>0.1414</v>
      </c>
      <c r="AJ263" s="90">
        <f t="shared" si="125"/>
        <v>0.17279757235386553</v>
      </c>
      <c r="AK263" s="90">
        <f t="shared" si="125"/>
        <v>0.15556507749417381</v>
      </c>
      <c r="AL263" s="90">
        <f t="shared" si="125"/>
        <v>0.19436887804844682</v>
      </c>
      <c r="AM263" s="90">
        <f t="shared" si="125"/>
        <v>0.1914491344926145</v>
      </c>
      <c r="AN263" s="90">
        <f t="shared" si="125"/>
        <v>0.1900622547919158</v>
      </c>
      <c r="AO263" s="90">
        <f t="shared" si="125"/>
        <v>0.1900622547919158</v>
      </c>
      <c r="AQ263" s="459"/>
      <c r="AR263" s="459"/>
      <c r="AS263" s="459"/>
      <c r="AT263" s="459"/>
      <c r="AU263" s="459"/>
    </row>
    <row r="264" spans="1:47" s="418" customFormat="1" ht="11.4" x14ac:dyDescent="0.4">
      <c r="A264" s="205" t="s">
        <v>263</v>
      </c>
      <c r="B264" s="90">
        <f t="shared" si="124"/>
        <v>0.28000000000000003</v>
      </c>
      <c r="C264" s="90">
        <f t="shared" si="124"/>
        <v>0.28000000000000003</v>
      </c>
      <c r="D264" s="90">
        <f t="shared" si="124"/>
        <v>0.28999999999999998</v>
      </c>
      <c r="E264" s="144">
        <f t="shared" si="124"/>
        <v>0.31</v>
      </c>
      <c r="F264" s="90">
        <f t="shared" si="124"/>
        <v>0.28999999999999998</v>
      </c>
      <c r="G264" s="90">
        <f t="shared" si="124"/>
        <v>0.29000000000000004</v>
      </c>
      <c r="H264" s="90">
        <f t="shared" si="124"/>
        <v>0.28999999999999998</v>
      </c>
      <c r="I264" s="144">
        <f t="shared" si="124"/>
        <v>0.28999999999999998</v>
      </c>
      <c r="J264" s="90">
        <f t="shared" si="124"/>
        <v>0.25</v>
      </c>
      <c r="K264" s="90">
        <f t="shared" si="124"/>
        <v>0.25</v>
      </c>
      <c r="L264" s="90">
        <f t="shared" si="124"/>
        <v>0.25</v>
      </c>
      <c r="M264" s="144">
        <f t="shared" si="124"/>
        <v>0.25</v>
      </c>
      <c r="N264" s="90">
        <f t="shared" si="124"/>
        <v>0.20999999999999996</v>
      </c>
      <c r="O264" s="90">
        <f t="shared" si="124"/>
        <v>0.21</v>
      </c>
      <c r="P264" s="90">
        <f t="shared" si="124"/>
        <v>0.21</v>
      </c>
      <c r="Q264" s="144">
        <f t="shared" si="124"/>
        <v>0.21</v>
      </c>
      <c r="R264" s="90">
        <f t="shared" si="124"/>
        <v>0.17</v>
      </c>
      <c r="S264" s="90">
        <f t="shared" si="124"/>
        <v>0.17</v>
      </c>
      <c r="T264" s="90">
        <f t="shared" si="124"/>
        <v>0.17</v>
      </c>
      <c r="U264" s="144">
        <f t="shared" si="124"/>
        <v>0.17</v>
      </c>
      <c r="V264" s="90">
        <f t="shared" si="124"/>
        <v>0.13</v>
      </c>
      <c r="W264" s="90">
        <f t="shared" si="124"/>
        <v>0.13</v>
      </c>
      <c r="X264" s="90">
        <f t="shared" si="124"/>
        <v>0.13</v>
      </c>
      <c r="Y264" s="144">
        <f t="shared" si="124"/>
        <v>0.13</v>
      </c>
      <c r="Z264" s="483"/>
      <c r="AA264" s="483"/>
      <c r="AB264" s="72"/>
      <c r="AC264" s="72"/>
      <c r="AD264" s="72"/>
      <c r="AE264" s="72"/>
      <c r="AF264" s="90">
        <f t="shared" si="125"/>
        <v>0.28160000000000002</v>
      </c>
      <c r="AG264" s="90">
        <f t="shared" si="125"/>
        <v>0.25659999999999999</v>
      </c>
      <c r="AH264" s="90">
        <f t="shared" si="125"/>
        <v>0.2797</v>
      </c>
      <c r="AI264" s="90">
        <f t="shared" si="125"/>
        <v>0.3075</v>
      </c>
      <c r="AJ264" s="90">
        <f t="shared" si="125"/>
        <v>0.28833333333333333</v>
      </c>
      <c r="AK264" s="90">
        <f t="shared" si="125"/>
        <v>0.29000000000000004</v>
      </c>
      <c r="AL264" s="90">
        <f t="shared" si="125"/>
        <v>0.25</v>
      </c>
      <c r="AM264" s="90">
        <f t="shared" si="125"/>
        <v>0.20999999999999994</v>
      </c>
      <c r="AN264" s="90">
        <f t="shared" si="125"/>
        <v>0.17</v>
      </c>
      <c r="AO264" s="90">
        <f t="shared" si="125"/>
        <v>0.13</v>
      </c>
      <c r="AQ264" s="459"/>
      <c r="AR264" s="459"/>
      <c r="AS264" s="459"/>
      <c r="AT264" s="459"/>
      <c r="AU264" s="459"/>
    </row>
    <row r="265" spans="1:47" s="418" customFormat="1" ht="11.4" x14ac:dyDescent="0.4">
      <c r="A265" s="205" t="s">
        <v>264</v>
      </c>
      <c r="B265" s="90">
        <f t="shared" si="124"/>
        <v>0.27999999999999997</v>
      </c>
      <c r="C265" s="90">
        <f t="shared" si="124"/>
        <v>0.27999999999999997</v>
      </c>
      <c r="D265" s="90">
        <f t="shared" si="124"/>
        <v>0.3</v>
      </c>
      <c r="E265" s="144">
        <f t="shared" si="124"/>
        <v>0.31999999999999995</v>
      </c>
      <c r="F265" s="90">
        <f t="shared" si="124"/>
        <v>0.32000000000000006</v>
      </c>
      <c r="G265" s="90">
        <f t="shared" si="124"/>
        <v>0.33</v>
      </c>
      <c r="H265" s="90">
        <f t="shared" si="124"/>
        <v>0.33</v>
      </c>
      <c r="I265" s="144">
        <f t="shared" si="124"/>
        <v>0.33</v>
      </c>
      <c r="J265" s="90">
        <f t="shared" si="124"/>
        <v>0.26</v>
      </c>
      <c r="K265" s="90">
        <f t="shared" si="124"/>
        <v>0.26</v>
      </c>
      <c r="L265" s="90">
        <f t="shared" si="124"/>
        <v>0.26</v>
      </c>
      <c r="M265" s="144">
        <f t="shared" si="124"/>
        <v>0.26</v>
      </c>
      <c r="N265" s="90">
        <f t="shared" si="124"/>
        <v>0.21999999999999997</v>
      </c>
      <c r="O265" s="90">
        <f t="shared" si="124"/>
        <v>0.22</v>
      </c>
      <c r="P265" s="90">
        <f t="shared" si="124"/>
        <v>0.22</v>
      </c>
      <c r="Q265" s="144">
        <f t="shared" si="124"/>
        <v>0.22</v>
      </c>
      <c r="R265" s="90">
        <f t="shared" si="124"/>
        <v>0.18</v>
      </c>
      <c r="S265" s="90">
        <f t="shared" si="124"/>
        <v>0.18</v>
      </c>
      <c r="T265" s="90">
        <f t="shared" si="124"/>
        <v>0.18</v>
      </c>
      <c r="U265" s="144">
        <f t="shared" si="124"/>
        <v>0.18</v>
      </c>
      <c r="V265" s="90">
        <f t="shared" si="124"/>
        <v>0.13</v>
      </c>
      <c r="W265" s="90">
        <f t="shared" si="124"/>
        <v>0.13</v>
      </c>
      <c r="X265" s="90">
        <f t="shared" si="124"/>
        <v>0.13</v>
      </c>
      <c r="Y265" s="144">
        <f t="shared" si="124"/>
        <v>0.13</v>
      </c>
      <c r="Z265" s="483"/>
      <c r="AA265" s="483"/>
      <c r="AB265" s="72"/>
      <c r="AC265" s="72"/>
      <c r="AD265" s="72"/>
      <c r="AE265" s="72"/>
      <c r="AF265" s="90"/>
      <c r="AG265" s="90"/>
      <c r="AH265" s="90">
        <f t="shared" si="125"/>
        <v>0.2797</v>
      </c>
      <c r="AI265" s="90">
        <f t="shared" si="125"/>
        <v>0.3075</v>
      </c>
      <c r="AJ265" s="90">
        <f t="shared" si="125"/>
        <v>0.29781818181818182</v>
      </c>
      <c r="AK265" s="90">
        <f t="shared" si="125"/>
        <v>0.3250943396226415</v>
      </c>
      <c r="AL265" s="90">
        <f t="shared" si="125"/>
        <v>0.26</v>
      </c>
      <c r="AM265" s="90">
        <f t="shared" si="125"/>
        <v>0.21999999999999997</v>
      </c>
      <c r="AN265" s="90">
        <f t="shared" si="125"/>
        <v>0.18</v>
      </c>
      <c r="AO265" s="90">
        <f t="shared" si="125"/>
        <v>0.13</v>
      </c>
      <c r="AQ265" s="459"/>
      <c r="AR265" s="459"/>
      <c r="AS265" s="459"/>
      <c r="AT265" s="459"/>
      <c r="AU265" s="459"/>
    </row>
    <row r="266" spans="1:47" s="418" customFormat="1" ht="11.4" x14ac:dyDescent="0.4">
      <c r="A266" s="205" t="s">
        <v>265</v>
      </c>
      <c r="B266" s="90">
        <f t="shared" si="124"/>
        <v>0.33076923076923076</v>
      </c>
      <c r="C266" s="90">
        <f t="shared" si="124"/>
        <v>0.33076923076923076</v>
      </c>
      <c r="D266" s="90">
        <f t="shared" si="124"/>
        <v>0.35084615384615386</v>
      </c>
      <c r="E266" s="144">
        <f t="shared" si="124"/>
        <v>0.37032076923076923</v>
      </c>
      <c r="F266" s="90">
        <f t="shared" si="124"/>
        <v>0.31394948571428577</v>
      </c>
      <c r="G266" s="90">
        <f t="shared" si="124"/>
        <v>0.33453100114285717</v>
      </c>
      <c r="H266" s="90">
        <f t="shared" si="124"/>
        <v>0.33453100114285722</v>
      </c>
      <c r="I266" s="144">
        <f t="shared" si="124"/>
        <v>0.34118569113142871</v>
      </c>
      <c r="J266" s="90">
        <f t="shared" si="124"/>
        <v>0.28563860234447075</v>
      </c>
      <c r="K266" s="90">
        <f t="shared" si="124"/>
        <v>0.29278221632102602</v>
      </c>
      <c r="L266" s="90">
        <f t="shared" si="124"/>
        <v>0.28500282070055732</v>
      </c>
      <c r="M266" s="144">
        <f t="shared" si="124"/>
        <v>0.28142783480406025</v>
      </c>
      <c r="N266" s="90">
        <f t="shared" si="124"/>
        <v>0.29739610514174775</v>
      </c>
      <c r="O266" s="487">
        <f t="shared" si="124"/>
        <v>0.35360441673040788</v>
      </c>
      <c r="P266" s="487">
        <f t="shared" si="124"/>
        <v>0.35360441673040793</v>
      </c>
      <c r="Q266" s="488">
        <f t="shared" si="124"/>
        <v>0.35360441673040793</v>
      </c>
      <c r="R266" s="487">
        <f t="shared" si="124"/>
        <v>0.29614703155088867</v>
      </c>
      <c r="S266" s="487">
        <f t="shared" si="124"/>
        <v>0.29614703155088867</v>
      </c>
      <c r="T266" s="487">
        <f t="shared" si="124"/>
        <v>0.29614703155088867</v>
      </c>
      <c r="U266" s="488">
        <f t="shared" si="124"/>
        <v>0.29614703155088867</v>
      </c>
      <c r="V266" s="487">
        <f t="shared" si="124"/>
        <v>0.24140291178262455</v>
      </c>
      <c r="W266" s="487">
        <f t="shared" si="124"/>
        <v>0.24140291178262455</v>
      </c>
      <c r="X266" s="487">
        <f t="shared" si="124"/>
        <v>0.24140291178262455</v>
      </c>
      <c r="Y266" s="488">
        <f t="shared" si="124"/>
        <v>0.24140291178262455</v>
      </c>
      <c r="Z266" s="483"/>
      <c r="AA266" s="483"/>
      <c r="AB266" s="72"/>
      <c r="AC266" s="72"/>
      <c r="AD266" s="72"/>
      <c r="AE266" s="72"/>
      <c r="AF266" s="90"/>
      <c r="AG266" s="90"/>
      <c r="AH266" s="90">
        <f t="shared" si="125"/>
        <v>0.2797</v>
      </c>
      <c r="AI266" s="90">
        <f t="shared" si="125"/>
        <v>0.3075</v>
      </c>
      <c r="AJ266" s="90">
        <f t="shared" si="125"/>
        <v>0.35456996099964072</v>
      </c>
      <c r="AK266" s="90">
        <f t="shared" si="125"/>
        <v>0.33202201640489809</v>
      </c>
      <c r="AL266" s="90">
        <f t="shared" si="125"/>
        <v>0.28607458140270831</v>
      </c>
      <c r="AM266" s="90">
        <f t="shared" si="125"/>
        <v>0.33121374315800206</v>
      </c>
      <c r="AN266" s="90">
        <f t="shared" si="125"/>
        <v>0.29614703155088862</v>
      </c>
      <c r="AO266" s="90">
        <f t="shared" si="125"/>
        <v>0.24140291178262455</v>
      </c>
      <c r="AQ266" s="459"/>
      <c r="AR266" s="459"/>
      <c r="AS266" s="459"/>
      <c r="AT266" s="459"/>
      <c r="AU266" s="459"/>
    </row>
    <row r="267" spans="1:47" s="418" customFormat="1" ht="11.4" x14ac:dyDescent="0.4">
      <c r="A267" s="205" t="s">
        <v>275</v>
      </c>
      <c r="B267" s="90" t="e">
        <f t="shared" si="124"/>
        <v>#DIV/0!</v>
      </c>
      <c r="C267" s="90" t="e">
        <f t="shared" si="124"/>
        <v>#DIV/0!</v>
      </c>
      <c r="D267" s="90" t="e">
        <f t="shared" si="124"/>
        <v>#DIV/0!</v>
      </c>
      <c r="E267" s="144" t="e">
        <f t="shared" si="124"/>
        <v>#DIV/0!</v>
      </c>
      <c r="F267" s="90" t="e">
        <f t="shared" si="124"/>
        <v>#DIV/0!</v>
      </c>
      <c r="G267" s="90">
        <f t="shared" si="124"/>
        <v>0.35227272727272724</v>
      </c>
      <c r="H267" s="90">
        <f t="shared" si="124"/>
        <v>0.36393181818181813</v>
      </c>
      <c r="I267" s="144">
        <f t="shared" si="124"/>
        <v>0.38046959090909088</v>
      </c>
      <c r="J267" s="90">
        <f t="shared" si="124"/>
        <v>0.35482855539033464</v>
      </c>
      <c r="K267" s="90">
        <f t="shared" si="124"/>
        <v>0.37521597303999998</v>
      </c>
      <c r="L267" s="90">
        <f t="shared" si="124"/>
        <v>0.36896813277039997</v>
      </c>
      <c r="M267" s="144">
        <f t="shared" si="124"/>
        <v>0.38158877011499198</v>
      </c>
      <c r="N267" s="90">
        <f t="shared" si="124"/>
        <v>0.39460795390204484</v>
      </c>
      <c r="O267" s="487">
        <f t="shared" si="124"/>
        <v>0.39104682421911563</v>
      </c>
      <c r="P267" s="487">
        <f t="shared" si="124"/>
        <v>0.39104682421911569</v>
      </c>
      <c r="Q267" s="488">
        <f t="shared" si="124"/>
        <v>0.39104682421911563</v>
      </c>
      <c r="R267" s="487">
        <f t="shared" si="124"/>
        <v>0.39104682421911569</v>
      </c>
      <c r="S267" s="487">
        <f t="shared" si="124"/>
        <v>0.36067080698016346</v>
      </c>
      <c r="T267" s="487">
        <f t="shared" si="124"/>
        <v>0.36067080698016346</v>
      </c>
      <c r="U267" s="488">
        <f t="shared" si="124"/>
        <v>0.36067080698016346</v>
      </c>
      <c r="V267" s="487">
        <f t="shared" si="124"/>
        <v>0.36719457425587598</v>
      </c>
      <c r="W267" s="487">
        <f t="shared" si="124"/>
        <v>0.28500431660628622</v>
      </c>
      <c r="X267" s="487">
        <f t="shared" si="124"/>
        <v>0.29930423027416053</v>
      </c>
      <c r="Y267" s="488">
        <f t="shared" si="124"/>
        <v>0.31331814566867738</v>
      </c>
      <c r="Z267" s="483"/>
      <c r="AA267" s="483"/>
      <c r="AB267" s="72"/>
      <c r="AC267" s="72"/>
      <c r="AD267" s="72"/>
      <c r="AE267" s="72"/>
      <c r="AF267" s="90"/>
      <c r="AG267" s="90"/>
      <c r="AH267" s="90"/>
      <c r="AI267" s="90"/>
      <c r="AJ267" s="90"/>
      <c r="AK267" s="90">
        <f>+AK253/AK49</f>
        <v>0.37133075284090911</v>
      </c>
      <c r="AL267" s="90">
        <f>+AL253/AL49</f>
        <v>0.37191865400238555</v>
      </c>
      <c r="AM267" s="90">
        <f>+AM253/AM49</f>
        <v>0.39194998473627229</v>
      </c>
      <c r="AN267" s="90">
        <f>+AN253/AN49</f>
        <v>0.36904147082157934</v>
      </c>
      <c r="AO267" s="90">
        <f>+AO253/AO49</f>
        <v>0.32156427265709969</v>
      </c>
      <c r="AQ267" s="459"/>
      <c r="AR267" s="459"/>
      <c r="AS267" s="459"/>
      <c r="AT267" s="459"/>
      <c r="AU267" s="459"/>
    </row>
    <row r="268" spans="1:47" s="418" customFormat="1" ht="11.4" x14ac:dyDescent="0.4">
      <c r="A268" s="205" t="s">
        <v>276</v>
      </c>
      <c r="B268" s="90" t="e">
        <f t="shared" si="124"/>
        <v>#DIV/0!</v>
      </c>
      <c r="C268" s="90" t="e">
        <f t="shared" si="124"/>
        <v>#DIV/0!</v>
      </c>
      <c r="D268" s="90" t="e">
        <f t="shared" si="124"/>
        <v>#DIV/0!</v>
      </c>
      <c r="E268" s="144" t="e">
        <f t="shared" si="124"/>
        <v>#DIV/0!</v>
      </c>
      <c r="F268" s="90" t="e">
        <f t="shared" si="124"/>
        <v>#DIV/0!</v>
      </c>
      <c r="G268" s="90" t="e">
        <f t="shared" si="124"/>
        <v>#DIV/0!</v>
      </c>
      <c r="H268" s="90" t="e">
        <f t="shared" si="124"/>
        <v>#DIV/0!</v>
      </c>
      <c r="I268" s="144" t="e">
        <f t="shared" si="124"/>
        <v>#DIV/0!</v>
      </c>
      <c r="J268" s="90" t="e">
        <f t="shared" si="124"/>
        <v>#DIV/0!</v>
      </c>
      <c r="K268" s="90" t="e">
        <f t="shared" si="124"/>
        <v>#DIV/0!</v>
      </c>
      <c r="L268" s="90" t="e">
        <f t="shared" si="124"/>
        <v>#DIV/0!</v>
      </c>
      <c r="M268" s="144" t="e">
        <f t="shared" si="124"/>
        <v>#DIV/0!</v>
      </c>
      <c r="N268" s="90">
        <f t="shared" si="124"/>
        <v>0.46930526315789473</v>
      </c>
      <c r="O268" s="487">
        <f t="shared" si="124"/>
        <v>0.49583999999999995</v>
      </c>
      <c r="P268" s="487">
        <f t="shared" si="124"/>
        <v>0.49584</v>
      </c>
      <c r="Q268" s="488">
        <f t="shared" si="124"/>
        <v>0.49584</v>
      </c>
      <c r="R268" s="487">
        <f t="shared" si="124"/>
        <v>0.49583999999999995</v>
      </c>
      <c r="S268" s="487">
        <f t="shared" si="124"/>
        <v>0.49287435294117649</v>
      </c>
      <c r="T268" s="487">
        <f t="shared" si="124"/>
        <v>0.49287435294117649</v>
      </c>
      <c r="U268" s="488">
        <f t="shared" si="124"/>
        <v>0.49287435294117643</v>
      </c>
      <c r="V268" s="487">
        <f t="shared" si="124"/>
        <v>0.48219802352941182</v>
      </c>
      <c r="W268" s="487">
        <f t="shared" si="124"/>
        <v>0.4675777324290657</v>
      </c>
      <c r="X268" s="487">
        <f t="shared" si="124"/>
        <v>0.47290195510477506</v>
      </c>
      <c r="Y268" s="488">
        <f t="shared" si="124"/>
        <v>0.4781729355537272</v>
      </c>
      <c r="Z268" s="483"/>
      <c r="AA268" s="483"/>
      <c r="AB268" s="72"/>
      <c r="AC268" s="72"/>
      <c r="AD268" s="72"/>
      <c r="AE268" s="72"/>
      <c r="AF268" s="90"/>
      <c r="AG268" s="90"/>
      <c r="AH268" s="90"/>
      <c r="AI268" s="90"/>
      <c r="AJ268" s="90"/>
      <c r="AK268" s="90"/>
      <c r="AL268" s="90"/>
      <c r="AM268" s="90">
        <f t="shared" ref="AM268:AO269" si="126">+AM254/AM50</f>
        <v>0.49484177490332865</v>
      </c>
      <c r="AN268" s="90">
        <f t="shared" si="126"/>
        <v>0.49348925396825388</v>
      </c>
      <c r="AO268" s="90">
        <f t="shared" si="126"/>
        <v>0.47602551052298853</v>
      </c>
      <c r="AQ268" s="459"/>
      <c r="AR268" s="459"/>
      <c r="AS268" s="459"/>
      <c r="AT268" s="459"/>
      <c r="AU268" s="459"/>
    </row>
    <row r="269" spans="1:47" s="418" customFormat="1" ht="11.4" x14ac:dyDescent="0.4">
      <c r="A269" s="205" t="s">
        <v>277</v>
      </c>
      <c r="B269" s="90" t="e">
        <f t="shared" si="124"/>
        <v>#DIV/0!</v>
      </c>
      <c r="C269" s="90" t="e">
        <f t="shared" si="124"/>
        <v>#DIV/0!</v>
      </c>
      <c r="D269" s="90" t="e">
        <f t="shared" si="124"/>
        <v>#DIV/0!</v>
      </c>
      <c r="E269" s="144" t="e">
        <f t="shared" si="124"/>
        <v>#DIV/0!</v>
      </c>
      <c r="F269" s="90" t="e">
        <f t="shared" si="124"/>
        <v>#DIV/0!</v>
      </c>
      <c r="G269" s="90">
        <f t="shared" si="124"/>
        <v>0.35158730158730161</v>
      </c>
      <c r="H269" s="90">
        <f t="shared" si="124"/>
        <v>0.36325873015873011</v>
      </c>
      <c r="I269" s="144">
        <f t="shared" si="124"/>
        <v>0.37981400317460318</v>
      </c>
      <c r="J269" s="90">
        <f t="shared" si="124"/>
        <v>0.35443788064013843</v>
      </c>
      <c r="K269" s="90">
        <f t="shared" si="124"/>
        <v>0.37810849168333338</v>
      </c>
      <c r="L269" s="90">
        <f t="shared" si="124"/>
        <v>0.37188957660016664</v>
      </c>
      <c r="M269" s="144">
        <f t="shared" si="124"/>
        <v>0.38445178506816335</v>
      </c>
      <c r="N269" s="90">
        <f t="shared" si="124"/>
        <v>0.37149287528012465</v>
      </c>
      <c r="O269" s="487">
        <f t="shared" si="124"/>
        <v>0.33267331757683821</v>
      </c>
      <c r="P269" s="487">
        <f t="shared" si="124"/>
        <v>0.33267331757683821</v>
      </c>
      <c r="Q269" s="488">
        <f t="shared" si="124"/>
        <v>0.33267331757683821</v>
      </c>
      <c r="R269" s="487">
        <f t="shared" si="124"/>
        <v>0.31203434801735902</v>
      </c>
      <c r="S269" s="487">
        <f t="shared" si="124"/>
        <v>0.21490978538451561</v>
      </c>
      <c r="T269" s="487">
        <f t="shared" si="124"/>
        <v>0.21490978538451561</v>
      </c>
      <c r="U269" s="488">
        <f t="shared" si="124"/>
        <v>0.21490978538451561</v>
      </c>
      <c r="V269" s="487">
        <f t="shared" si="124"/>
        <v>0.22292091002344919</v>
      </c>
      <c r="W269" s="487">
        <f t="shared" si="124"/>
        <v>0.12199204939590658</v>
      </c>
      <c r="X269" s="487">
        <f t="shared" si="124"/>
        <v>0.13955220840798846</v>
      </c>
      <c r="Y269" s="488">
        <f t="shared" si="124"/>
        <v>0.15676116423982864</v>
      </c>
      <c r="Z269" s="483"/>
      <c r="AA269" s="483"/>
      <c r="AB269" s="72"/>
      <c r="AC269" s="72"/>
      <c r="AD269" s="72"/>
      <c r="AE269" s="72"/>
      <c r="AF269" s="90"/>
      <c r="AG269" s="90"/>
      <c r="AH269" s="90"/>
      <c r="AI269" s="90"/>
      <c r="AJ269" s="90"/>
      <c r="AK269" s="90">
        <f>+AK255/AK51</f>
        <v>0.37007743809523808</v>
      </c>
      <c r="AL269" s="90">
        <f>+AL255/AL51</f>
        <v>0.36990605635710649</v>
      </c>
      <c r="AM269" s="90">
        <f t="shared" si="126"/>
        <v>0.35070241444744321</v>
      </c>
      <c r="AN269" s="90">
        <f t="shared" si="126"/>
        <v>0.24167422451913442</v>
      </c>
      <c r="AO269" s="90">
        <f t="shared" si="126"/>
        <v>0.16261249307652842</v>
      </c>
      <c r="AQ269" s="459"/>
      <c r="AR269" s="459"/>
      <c r="AS269" s="459"/>
      <c r="AT269" s="459"/>
      <c r="AU269" s="459"/>
    </row>
    <row r="270" spans="1:47" s="418" customFormat="1" ht="11.4" x14ac:dyDescent="0.4">
      <c r="A270" s="205" t="s">
        <v>288</v>
      </c>
      <c r="B270" s="90" t="e">
        <f t="shared" si="124"/>
        <v>#DIV/0!</v>
      </c>
      <c r="C270" s="90" t="e">
        <f t="shared" si="124"/>
        <v>#DIV/0!</v>
      </c>
      <c r="D270" s="90" t="e">
        <f t="shared" si="124"/>
        <v>#DIV/0!</v>
      </c>
      <c r="E270" s="144" t="e">
        <f t="shared" si="124"/>
        <v>#DIV/0!</v>
      </c>
      <c r="F270" s="90" t="e">
        <f t="shared" si="124"/>
        <v>#DIV/0!</v>
      </c>
      <c r="G270" s="90" t="e">
        <f t="shared" si="124"/>
        <v>#DIV/0!</v>
      </c>
      <c r="H270" s="90" t="e">
        <f t="shared" si="124"/>
        <v>#DIV/0!</v>
      </c>
      <c r="I270" s="144" t="e">
        <f t="shared" si="124"/>
        <v>#DIV/0!</v>
      </c>
      <c r="J270" s="90" t="e">
        <f t="shared" si="124"/>
        <v>#DIV/0!</v>
      </c>
      <c r="K270" s="90" t="e">
        <f t="shared" si="124"/>
        <v>#DIV/0!</v>
      </c>
      <c r="L270" s="90" t="e">
        <f t="shared" si="124"/>
        <v>#DIV/0!</v>
      </c>
      <c r="M270" s="144" t="e">
        <f t="shared" si="124"/>
        <v>#DIV/0!</v>
      </c>
      <c r="N270" s="90" t="e">
        <f t="shared" si="124"/>
        <v>#DIV/0!</v>
      </c>
      <c r="O270" s="487" t="e">
        <f t="shared" si="124"/>
        <v>#DIV/0!</v>
      </c>
      <c r="P270" s="487" t="e">
        <f t="shared" si="124"/>
        <v>#DIV/0!</v>
      </c>
      <c r="Q270" s="488" t="e">
        <f t="shared" si="124"/>
        <v>#DIV/0!</v>
      </c>
      <c r="R270" s="487" t="e">
        <f t="shared" si="124"/>
        <v>#DIV/0!</v>
      </c>
      <c r="S270" s="487">
        <f t="shared" si="124"/>
        <v>0.40039981617647058</v>
      </c>
      <c r="T270" s="487">
        <f t="shared" si="124"/>
        <v>0.40039981617647058</v>
      </c>
      <c r="U270" s="488">
        <f t="shared" si="124"/>
        <v>0.40039981617647058</v>
      </c>
      <c r="V270" s="487">
        <f t="shared" si="124"/>
        <v>0.38707536764705885</v>
      </c>
      <c r="W270" s="487">
        <f t="shared" si="124"/>
        <v>0.40293929930795847</v>
      </c>
      <c r="X270" s="487">
        <f t="shared" si="124"/>
        <v>0.40592460281141862</v>
      </c>
      <c r="Y270" s="488">
        <f t="shared" si="124"/>
        <v>0.40592460281141862</v>
      </c>
      <c r="Z270" s="483"/>
      <c r="AA270" s="483"/>
      <c r="AB270" s="72"/>
      <c r="AC270" s="72"/>
      <c r="AD270" s="72"/>
      <c r="AE270" s="72"/>
      <c r="AF270" s="90"/>
      <c r="AG270" s="90"/>
      <c r="AH270" s="90"/>
      <c r="AI270" s="90"/>
      <c r="AJ270" s="90"/>
      <c r="AK270" s="90"/>
      <c r="AL270" s="90"/>
      <c r="AM270" s="90"/>
      <c r="AN270" s="90">
        <f>+AN256/AN52</f>
        <v>0.40039981617647058</v>
      </c>
      <c r="AO270" s="90">
        <f>+AO256/AO52</f>
        <v>0.40321207018325789</v>
      </c>
      <c r="AQ270" s="459"/>
      <c r="AR270" s="459"/>
      <c r="AS270" s="459"/>
      <c r="AT270" s="459"/>
      <c r="AU270" s="459"/>
    </row>
    <row r="271" spans="1:47" s="418" customFormat="1" ht="11.4" x14ac:dyDescent="0.4">
      <c r="A271" s="205" t="s">
        <v>279</v>
      </c>
      <c r="B271" s="90" t="e">
        <f t="shared" si="124"/>
        <v>#DIV/0!</v>
      </c>
      <c r="C271" s="90" t="e">
        <f t="shared" si="124"/>
        <v>#DIV/0!</v>
      </c>
      <c r="D271" s="90" t="e">
        <f t="shared" si="124"/>
        <v>#DIV/0!</v>
      </c>
      <c r="E271" s="144" t="e">
        <f t="shared" si="124"/>
        <v>#DIV/0!</v>
      </c>
      <c r="F271" s="90" t="e">
        <f t="shared" si="124"/>
        <v>#DIV/0!</v>
      </c>
      <c r="G271" s="90" t="e">
        <f t="shared" si="124"/>
        <v>#DIV/0!</v>
      </c>
      <c r="H271" s="90" t="e">
        <f t="shared" si="124"/>
        <v>#DIV/0!</v>
      </c>
      <c r="I271" s="144" t="e">
        <f t="shared" si="124"/>
        <v>#DIV/0!</v>
      </c>
      <c r="J271" s="90" t="e">
        <f t="shared" si="124"/>
        <v>#DIV/0!</v>
      </c>
      <c r="K271" s="90" t="e">
        <f t="shared" si="124"/>
        <v>#DIV/0!</v>
      </c>
      <c r="L271" s="90" t="e">
        <f t="shared" si="124"/>
        <v>#DIV/0!</v>
      </c>
      <c r="M271" s="144">
        <f t="shared" si="124"/>
        <v>0.47894736842105257</v>
      </c>
      <c r="N271" s="90">
        <f t="shared" si="124"/>
        <v>0.47894736842105262</v>
      </c>
      <c r="O271" s="487">
        <f t="shared" si="124"/>
        <v>0.47894736842105268</v>
      </c>
      <c r="P271" s="487">
        <f t="shared" si="124"/>
        <v>0.47894736842105262</v>
      </c>
      <c r="Q271" s="488">
        <f t="shared" si="124"/>
        <v>0.47894736842105268</v>
      </c>
      <c r="R271" s="487">
        <f t="shared" si="124"/>
        <v>0.51777777777777778</v>
      </c>
      <c r="S271" s="487">
        <f t="shared" si="124"/>
        <v>0.54047058823529404</v>
      </c>
      <c r="T271" s="487">
        <f t="shared" si="124"/>
        <v>0.54047058823529415</v>
      </c>
      <c r="U271" s="488">
        <f t="shared" si="124"/>
        <v>0.54047058823529415</v>
      </c>
      <c r="V271" s="487">
        <f t="shared" si="124"/>
        <v>0.53025882352941178</v>
      </c>
      <c r="W271" s="487">
        <f t="shared" si="124"/>
        <v>0.54241683044982691</v>
      </c>
      <c r="X271" s="487">
        <f t="shared" si="124"/>
        <v>0.54241683044982691</v>
      </c>
      <c r="Y271" s="488">
        <f>+Y257/Y53</f>
        <v>0.54241683044982691</v>
      </c>
      <c r="Z271" s="483"/>
      <c r="AA271" s="483"/>
      <c r="AB271" s="72"/>
      <c r="AC271" s="72"/>
      <c r="AD271" s="72"/>
      <c r="AE271" s="72"/>
      <c r="AF271" s="90"/>
      <c r="AG271" s="90"/>
      <c r="AH271" s="90"/>
      <c r="AI271" s="90"/>
      <c r="AJ271" s="90"/>
      <c r="AK271" s="90"/>
      <c r="AL271" s="90">
        <f>+AL257/AL53</f>
        <v>0.47894736842105257</v>
      </c>
      <c r="AM271" s="90">
        <f>+AM257/AM53</f>
        <v>0.47894736842105268</v>
      </c>
      <c r="AN271" s="90">
        <f>+AN257/AN53</f>
        <v>0.5362739726027399</v>
      </c>
      <c r="AO271" s="90">
        <f>+AO257/AO53</f>
        <v>0.54029213021130784</v>
      </c>
      <c r="AQ271" s="459"/>
      <c r="AR271" s="459"/>
      <c r="AS271" s="459"/>
      <c r="AT271" s="459"/>
      <c r="AU271" s="459"/>
    </row>
    <row r="272" spans="1:47" s="418" customFormat="1" ht="11.4" x14ac:dyDescent="0.4">
      <c r="A272" s="205" t="s">
        <v>268</v>
      </c>
      <c r="B272" s="90"/>
      <c r="C272" s="90"/>
      <c r="D272" s="90"/>
      <c r="E272" s="144"/>
      <c r="F272" s="90"/>
      <c r="G272" s="90"/>
      <c r="H272" s="90"/>
      <c r="I272" s="144"/>
      <c r="J272" s="90"/>
      <c r="K272" s="90"/>
      <c r="L272" s="90"/>
      <c r="M272" s="144"/>
      <c r="N272" s="90"/>
      <c r="O272" s="487"/>
      <c r="P272" s="487"/>
      <c r="Q272" s="488"/>
      <c r="R272" s="487"/>
      <c r="S272" s="487"/>
      <c r="T272" s="487"/>
      <c r="U272" s="488"/>
      <c r="V272" s="487"/>
      <c r="W272" s="487"/>
      <c r="X272" s="487">
        <f t="shared" si="124"/>
        <v>0.53125</v>
      </c>
      <c r="Y272" s="488">
        <f>+Y258/Y54</f>
        <v>0.53125</v>
      </c>
      <c r="Z272" s="483"/>
      <c r="AA272" s="483"/>
      <c r="AB272" s="72"/>
      <c r="AC272" s="72"/>
      <c r="AD272" s="72"/>
      <c r="AE272" s="72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Q272" s="459"/>
      <c r="AR272" s="459"/>
      <c r="AS272" s="459"/>
      <c r="AT272" s="459"/>
      <c r="AU272" s="459"/>
    </row>
    <row r="273" spans="1:49" s="418" customFormat="1" ht="11.4" x14ac:dyDescent="0.4">
      <c r="A273" s="205" t="s">
        <v>271</v>
      </c>
      <c r="B273" s="90">
        <f t="shared" ref="B273:Y273" si="127">+B259/B20</f>
        <v>9.2899999999999996E-2</v>
      </c>
      <c r="C273" s="90">
        <f t="shared" si="127"/>
        <v>9.2899999999999996E-2</v>
      </c>
      <c r="D273" s="90">
        <f t="shared" si="127"/>
        <v>9.2899999999999996E-2</v>
      </c>
      <c r="E273" s="144">
        <f t="shared" si="127"/>
        <v>9.2899999999999983E-2</v>
      </c>
      <c r="F273" s="90">
        <f t="shared" si="127"/>
        <v>0.1</v>
      </c>
      <c r="G273" s="90">
        <f t="shared" si="127"/>
        <v>0.1</v>
      </c>
      <c r="H273" s="90">
        <f t="shared" si="127"/>
        <v>0.1</v>
      </c>
      <c r="I273" s="144">
        <f t="shared" si="127"/>
        <v>0.10000000000000002</v>
      </c>
      <c r="J273" s="90">
        <f t="shared" si="127"/>
        <v>0.1</v>
      </c>
      <c r="K273" s="90">
        <f t="shared" si="127"/>
        <v>0.1</v>
      </c>
      <c r="L273" s="90">
        <f t="shared" si="127"/>
        <v>0.1</v>
      </c>
      <c r="M273" s="144">
        <f t="shared" si="127"/>
        <v>0.1</v>
      </c>
      <c r="N273" s="90">
        <f t="shared" si="127"/>
        <v>0.2</v>
      </c>
      <c r="O273" s="90">
        <f t="shared" si="127"/>
        <v>0.2</v>
      </c>
      <c r="P273" s="90">
        <f t="shared" si="127"/>
        <v>0.1</v>
      </c>
      <c r="Q273" s="144">
        <f t="shared" si="127"/>
        <v>0.1</v>
      </c>
      <c r="R273" s="90">
        <f t="shared" si="127"/>
        <v>0.1</v>
      </c>
      <c r="S273" s="90">
        <f t="shared" si="127"/>
        <v>0.1</v>
      </c>
      <c r="T273" s="90">
        <f t="shared" si="127"/>
        <v>0.1</v>
      </c>
      <c r="U273" s="144">
        <f t="shared" si="127"/>
        <v>0.1</v>
      </c>
      <c r="V273" s="90">
        <f t="shared" si="127"/>
        <v>0.1</v>
      </c>
      <c r="W273" s="90">
        <f t="shared" si="127"/>
        <v>0.1</v>
      </c>
      <c r="X273" s="90">
        <f t="shared" si="127"/>
        <v>0.1</v>
      </c>
      <c r="Y273" s="144">
        <f t="shared" si="127"/>
        <v>0.1</v>
      </c>
      <c r="Z273" s="483"/>
      <c r="AA273" s="483"/>
      <c r="AB273" s="72"/>
      <c r="AC273" s="72"/>
      <c r="AD273" s="72"/>
      <c r="AE273" s="72"/>
      <c r="AF273" s="90">
        <f t="shared" ref="AF273:AO273" si="128">+AF259/AF20</f>
        <v>0.11000000000000001</v>
      </c>
      <c r="AG273" s="90">
        <f t="shared" si="128"/>
        <v>0.11</v>
      </c>
      <c r="AH273" s="90">
        <f t="shared" si="128"/>
        <v>0.11</v>
      </c>
      <c r="AI273" s="90">
        <f t="shared" si="128"/>
        <v>0.1239</v>
      </c>
      <c r="AJ273" s="90">
        <f t="shared" si="128"/>
        <v>9.2298422409436948E-2</v>
      </c>
      <c r="AK273" s="90">
        <f t="shared" si="128"/>
        <v>0.1</v>
      </c>
      <c r="AL273" s="90">
        <f t="shared" si="128"/>
        <v>9.9999999999999992E-2</v>
      </c>
      <c r="AM273" s="90">
        <f t="shared" si="128"/>
        <v>0.15973866186962632</v>
      </c>
      <c r="AN273" s="90">
        <f t="shared" si="128"/>
        <v>0.1</v>
      </c>
      <c r="AO273" s="90">
        <f t="shared" si="128"/>
        <v>0.1</v>
      </c>
      <c r="AQ273" s="459"/>
      <c r="AR273" s="459"/>
      <c r="AS273" s="459"/>
      <c r="AT273" s="459"/>
      <c r="AU273" s="459"/>
    </row>
    <row r="274" spans="1:49" s="418" customFormat="1" ht="11.4" x14ac:dyDescent="0.4">
      <c r="A274" s="346" t="s">
        <v>318</v>
      </c>
      <c r="B274" s="90">
        <f t="shared" ref="B274:Y274" si="129">+B260/B12</f>
        <v>0.27280442696855706</v>
      </c>
      <c r="C274" s="90">
        <f t="shared" si="129"/>
        <v>0.27441984051400431</v>
      </c>
      <c r="D274" s="90">
        <f t="shared" si="129"/>
        <v>0.29771640463432247</v>
      </c>
      <c r="E274" s="144">
        <f t="shared" si="129"/>
        <v>0.32881311834882421</v>
      </c>
      <c r="F274" s="90">
        <f t="shared" si="129"/>
        <v>0.28774531550623411</v>
      </c>
      <c r="G274" s="90">
        <f t="shared" si="129"/>
        <v>0.30441705046625317</v>
      </c>
      <c r="H274" s="90">
        <f t="shared" si="129"/>
        <v>0.33511422901564569</v>
      </c>
      <c r="I274" s="144">
        <f t="shared" si="129"/>
        <v>0.35398327165573801</v>
      </c>
      <c r="J274" s="90">
        <f t="shared" si="129"/>
        <v>0.32827515213775987</v>
      </c>
      <c r="K274" s="90">
        <f t="shared" si="129"/>
        <v>0.34152603318826086</v>
      </c>
      <c r="L274" s="90">
        <f t="shared" si="129"/>
        <v>0.3356883396283214</v>
      </c>
      <c r="M274" s="144">
        <f t="shared" si="129"/>
        <v>0.34803203031536062</v>
      </c>
      <c r="N274" s="90">
        <f t="shared" si="129"/>
        <v>0.36368167326282258</v>
      </c>
      <c r="O274" s="125">
        <f t="shared" si="129"/>
        <v>0.41399140174269838</v>
      </c>
      <c r="P274" s="90">
        <f t="shared" si="129"/>
        <v>0.4286071191840829</v>
      </c>
      <c r="Q274" s="144">
        <f t="shared" si="129"/>
        <v>0.43639831649761757</v>
      </c>
      <c r="R274" s="90">
        <f t="shared" si="129"/>
        <v>0.44338738821455753</v>
      </c>
      <c r="S274" s="90">
        <f t="shared" si="129"/>
        <v>0.44521225909968509</v>
      </c>
      <c r="T274" s="90">
        <f t="shared" si="129"/>
        <v>0.45507067370003268</v>
      </c>
      <c r="U274" s="144">
        <f t="shared" si="129"/>
        <v>0.46008562356410765</v>
      </c>
      <c r="V274" s="90">
        <f t="shared" si="129"/>
        <v>0.44712499373273334</v>
      </c>
      <c r="W274" s="90">
        <f t="shared" si="129"/>
        <v>0.44921029409774121</v>
      </c>
      <c r="X274" s="90">
        <f t="shared" si="129"/>
        <v>0.45722439007023674</v>
      </c>
      <c r="Y274" s="144">
        <f t="shared" si="129"/>
        <v>0.46602934491315939</v>
      </c>
      <c r="Z274" s="483"/>
      <c r="AA274" s="483"/>
      <c r="AB274" s="72"/>
      <c r="AC274" s="72"/>
      <c r="AD274" s="72"/>
      <c r="AE274" s="72"/>
      <c r="AF274" s="90">
        <f t="shared" ref="AF274:AO274" si="130">+AF260/AF12</f>
        <v>0.26712491156553575</v>
      </c>
      <c r="AG274" s="90">
        <f t="shared" si="130"/>
        <v>0.26040669002057426</v>
      </c>
      <c r="AH274" s="90">
        <f t="shared" si="130"/>
        <v>0.26485172141532093</v>
      </c>
      <c r="AI274" s="90">
        <f t="shared" si="130"/>
        <v>0.27777103748975923</v>
      </c>
      <c r="AJ274" s="90">
        <f t="shared" si="130"/>
        <v>0.29609915223071487</v>
      </c>
      <c r="AK274" s="90">
        <f t="shared" si="130"/>
        <v>0.32728100548354239</v>
      </c>
      <c r="AL274" s="90">
        <f t="shared" si="130"/>
        <v>0.33902905096432351</v>
      </c>
      <c r="AM274" s="90">
        <f t="shared" si="130"/>
        <v>0.41523739764843132</v>
      </c>
      <c r="AN274" s="90">
        <f t="shared" si="130"/>
        <v>0.45165218847869626</v>
      </c>
      <c r="AO274" s="90">
        <f t="shared" si="130"/>
        <v>0.45545176496733919</v>
      </c>
      <c r="AQ274" s="459"/>
      <c r="AR274" s="459"/>
      <c r="AS274" s="459"/>
      <c r="AT274" s="459"/>
      <c r="AU274" s="459"/>
    </row>
    <row r="275" spans="1:49" s="418" customFormat="1" ht="11.4" x14ac:dyDescent="0.4">
      <c r="A275" s="335"/>
      <c r="B275" s="486"/>
      <c r="C275" s="324"/>
      <c r="D275" s="324"/>
      <c r="E275" s="325"/>
      <c r="F275" s="324"/>
      <c r="G275" s="324"/>
      <c r="H275" s="324"/>
      <c r="I275" s="325"/>
      <c r="J275" s="324"/>
      <c r="K275" s="324"/>
      <c r="L275" s="324"/>
      <c r="M275" s="325"/>
      <c r="N275" s="324"/>
      <c r="O275" s="324"/>
      <c r="P275" s="324"/>
      <c r="Q275" s="325"/>
      <c r="R275" s="324"/>
      <c r="S275" s="324"/>
      <c r="T275" s="324"/>
      <c r="U275" s="325"/>
      <c r="V275" s="324"/>
      <c r="W275" s="324"/>
      <c r="X275" s="324"/>
      <c r="Y275" s="325"/>
      <c r="Z275" s="483"/>
      <c r="AA275" s="483"/>
      <c r="AB275" s="72"/>
      <c r="AC275" s="72"/>
      <c r="AD275" s="72"/>
      <c r="AE275" s="72"/>
      <c r="AF275" s="72"/>
      <c r="AG275" s="72"/>
      <c r="AH275" s="73"/>
      <c r="AI275" s="73"/>
      <c r="AJ275" s="73"/>
      <c r="AK275" s="73"/>
      <c r="AL275" s="73"/>
      <c r="AM275" s="73"/>
      <c r="AN275" s="73"/>
      <c r="AO275" s="73"/>
      <c r="AQ275" s="459"/>
      <c r="AR275" s="459"/>
      <c r="AS275" s="459"/>
      <c r="AT275" s="459"/>
      <c r="AU275" s="459"/>
    </row>
    <row r="276" spans="1:49" s="418" customFormat="1" ht="11.4" x14ac:dyDescent="0.4">
      <c r="A276" s="335"/>
      <c r="B276" s="486"/>
      <c r="C276" s="324"/>
      <c r="D276" s="324"/>
      <c r="E276" s="325"/>
      <c r="F276" s="324"/>
      <c r="G276" s="324"/>
      <c r="H276" s="324"/>
      <c r="I276" s="325"/>
      <c r="J276" s="324"/>
      <c r="K276" s="324"/>
      <c r="L276" s="324"/>
      <c r="M276" s="325"/>
      <c r="N276" s="324"/>
      <c r="O276" s="324"/>
      <c r="P276" s="324"/>
      <c r="Q276" s="325"/>
      <c r="R276" s="324"/>
      <c r="S276" s="324"/>
      <c r="T276" s="324"/>
      <c r="U276" s="325"/>
      <c r="V276" s="324"/>
      <c r="W276" s="324"/>
      <c r="X276" s="324"/>
      <c r="Y276" s="325"/>
      <c r="Z276" s="483"/>
      <c r="AA276" s="483"/>
      <c r="AB276" s="72"/>
      <c r="AC276" s="72"/>
      <c r="AD276" s="72"/>
      <c r="AE276" s="72"/>
      <c r="AF276" s="72"/>
      <c r="AG276" s="72"/>
      <c r="AH276" s="73"/>
      <c r="AI276" s="73"/>
      <c r="AJ276" s="73"/>
      <c r="AK276" s="73"/>
      <c r="AL276" s="73"/>
      <c r="AM276" s="73"/>
      <c r="AN276" s="73"/>
      <c r="AO276" s="73"/>
      <c r="AQ276" s="459"/>
      <c r="AR276" s="459"/>
      <c r="AS276" s="459"/>
      <c r="AT276" s="459"/>
      <c r="AU276" s="459"/>
    </row>
    <row r="277" spans="1:49" s="430" customFormat="1" ht="11.4" x14ac:dyDescent="0.4">
      <c r="A277" s="427" t="s">
        <v>320</v>
      </c>
      <c r="B277" s="428"/>
      <c r="C277" s="428"/>
      <c r="D277" s="428"/>
      <c r="E277" s="429"/>
      <c r="F277" s="428"/>
      <c r="G277" s="428"/>
      <c r="H277" s="428"/>
      <c r="I277" s="429"/>
      <c r="J277" s="428"/>
      <c r="K277" s="428"/>
      <c r="L277" s="428"/>
      <c r="M277" s="429"/>
      <c r="N277" s="428"/>
      <c r="O277" s="428"/>
      <c r="P277" s="428"/>
      <c r="Q277" s="429"/>
      <c r="R277" s="428"/>
      <c r="S277" s="428"/>
      <c r="T277" s="428"/>
      <c r="U277" s="429"/>
      <c r="V277" s="428"/>
      <c r="W277" s="428"/>
      <c r="X277" s="428"/>
      <c r="Y277" s="429"/>
      <c r="Z277" s="428"/>
      <c r="AA277" s="428"/>
      <c r="AB277" s="428"/>
      <c r="AC277" s="428"/>
      <c r="AD277" s="429"/>
      <c r="AE277" s="428"/>
      <c r="AF277" s="428"/>
      <c r="AG277" s="428"/>
      <c r="AH277" s="428"/>
      <c r="AI277" s="428"/>
      <c r="AJ277" s="428"/>
      <c r="AQ277" s="428"/>
      <c r="AR277" s="428"/>
      <c r="AS277" s="428"/>
      <c r="AT277" s="428"/>
      <c r="AU277" s="428"/>
      <c r="AV277" s="428"/>
      <c r="AW277" s="428"/>
    </row>
    <row r="278" spans="1:49" s="490" customFormat="1" x14ac:dyDescent="0.4">
      <c r="A278" s="367" t="s">
        <v>321</v>
      </c>
      <c r="B278" s="287">
        <f>Model!BC17</f>
        <v>18.569296250000001</v>
      </c>
      <c r="C278" s="287">
        <f>Model!BD17</f>
        <v>20.622353159999999</v>
      </c>
      <c r="D278" s="287">
        <f>Model!BE17</f>
        <v>30.167125840000001</v>
      </c>
      <c r="E278" s="489">
        <f>Model!BF17</f>
        <v>21.370879899999998</v>
      </c>
      <c r="F278" s="287">
        <f>Model!BG17</f>
        <v>22.253674409999999</v>
      </c>
      <c r="G278" s="287">
        <f>Model!BH17</f>
        <v>21.415118020000001</v>
      </c>
      <c r="H278" s="287">
        <f>Model!BI17</f>
        <v>36.879482630000005</v>
      </c>
      <c r="I278" s="489">
        <f>Model!BJ17</f>
        <v>44.291597170000003</v>
      </c>
      <c r="J278" s="287">
        <f>Model!BK17</f>
        <v>44.826387359999998</v>
      </c>
      <c r="K278" s="287">
        <f>Model!BL17</f>
        <v>44.347235900000001</v>
      </c>
      <c r="L278" s="287">
        <f>Model!BM17</f>
        <v>45.975534469999999</v>
      </c>
      <c r="M278" s="489">
        <f>Model!BN17</f>
        <v>64.118962490000001</v>
      </c>
      <c r="N278" s="287">
        <f>Model!BO17</f>
        <v>50.101677639999998</v>
      </c>
      <c r="O278" s="287">
        <f>Model!BP17</f>
        <v>50.986105299999998</v>
      </c>
      <c r="P278" s="287">
        <f t="shared" ref="P278:Y278" si="131">+P288</f>
        <v>63.45</v>
      </c>
      <c r="Q278" s="489">
        <f t="shared" si="131"/>
        <v>70.5</v>
      </c>
      <c r="R278" s="287">
        <f t="shared" si="131"/>
        <v>60.72</v>
      </c>
      <c r="S278" s="287">
        <f t="shared" si="131"/>
        <v>63.480000000000004</v>
      </c>
      <c r="T278" s="287">
        <f t="shared" si="131"/>
        <v>69</v>
      </c>
      <c r="U278" s="489">
        <f t="shared" si="131"/>
        <v>82.8</v>
      </c>
      <c r="V278" s="287">
        <f t="shared" si="131"/>
        <v>71.94</v>
      </c>
      <c r="W278" s="287">
        <f t="shared" si="131"/>
        <v>75.210000000000008</v>
      </c>
      <c r="X278" s="287">
        <f t="shared" si="131"/>
        <v>81.75</v>
      </c>
      <c r="Y278" s="489">
        <f t="shared" si="131"/>
        <v>98.1</v>
      </c>
      <c r="AB278" s="491">
        <f>Model!H17</f>
        <v>4.60130237</v>
      </c>
      <c r="AC278" s="491">
        <f>Model!I17</f>
        <v>3.8401569500000003</v>
      </c>
      <c r="AD278" s="491">
        <f>Model!J17</f>
        <v>3.69714944</v>
      </c>
      <c r="AE278" s="491">
        <f>Model!K17</f>
        <v>32.022265959999999</v>
      </c>
      <c r="AF278" s="491">
        <f>Model!L17</f>
        <v>60.23308926</v>
      </c>
      <c r="AG278" s="491">
        <f>Model!M17</f>
        <v>54.840090320000002</v>
      </c>
      <c r="AH278" s="491">
        <f>Model!N17</f>
        <v>106.7135151</v>
      </c>
      <c r="AI278" s="491">
        <f>Model!O17</f>
        <v>73.036515340000008</v>
      </c>
      <c r="AJ278" s="491">
        <f>Model!P17</f>
        <v>90.729655149999985</v>
      </c>
      <c r="AK278" s="491">
        <f>Model!Q17</f>
        <v>124.83987223000001</v>
      </c>
      <c r="AL278" s="491">
        <f>Model!R17</f>
        <v>199.26812022000001</v>
      </c>
      <c r="AM278" s="491">
        <f>Model!S17</f>
        <v>235.03778294</v>
      </c>
      <c r="AN278" s="491">
        <f>Model!T17</f>
        <v>276</v>
      </c>
      <c r="AO278" s="491">
        <f>Model!U17</f>
        <v>327</v>
      </c>
    </row>
    <row r="279" spans="1:49" s="490" customFormat="1" x14ac:dyDescent="0.4">
      <c r="A279" s="367" t="s">
        <v>322</v>
      </c>
      <c r="B279" s="287">
        <f>Model!BC18</f>
        <v>136.72007761</v>
      </c>
      <c r="C279" s="287">
        <f>Model!BD18</f>
        <v>106.51917539</v>
      </c>
      <c r="D279" s="287">
        <f>Model!BE18</f>
        <v>136.89125497999999</v>
      </c>
      <c r="E279" s="489">
        <f>Model!BF18</f>
        <v>126.67262968999999</v>
      </c>
      <c r="F279" s="287">
        <f>Model!BG18</f>
        <v>90.762640279999999</v>
      </c>
      <c r="G279" s="287">
        <f>Model!BH18</f>
        <v>96.312496240000002</v>
      </c>
      <c r="H279" s="287">
        <f>Model!BI18</f>
        <v>102.30281327</v>
      </c>
      <c r="I279" s="489">
        <f>Model!BJ18</f>
        <v>144.21450172999999</v>
      </c>
      <c r="J279" s="287">
        <f>Model!BK18</f>
        <v>129.26852976000001</v>
      </c>
      <c r="K279" s="287">
        <f>Model!BL18</f>
        <v>177.20631039</v>
      </c>
      <c r="L279" s="287">
        <f>Model!BM18</f>
        <v>165.2793805</v>
      </c>
      <c r="M279" s="489">
        <f>Model!BN18</f>
        <v>207.78223356000001</v>
      </c>
      <c r="N279" s="287">
        <f>Model!BO18</f>
        <v>148.38784899000001</v>
      </c>
      <c r="O279" s="287">
        <f>Model!BP18</f>
        <v>142.24200093000002</v>
      </c>
      <c r="P279" s="287">
        <f t="shared" ref="P279:Y279" si="132">+P303</f>
        <v>195.26000000000002</v>
      </c>
      <c r="Q279" s="489">
        <f t="shared" si="132"/>
        <v>240.32</v>
      </c>
      <c r="R279" s="287">
        <f t="shared" si="132"/>
        <v>177.54</v>
      </c>
      <c r="S279" s="287">
        <f t="shared" si="132"/>
        <v>185.61</v>
      </c>
      <c r="T279" s="287">
        <f t="shared" si="132"/>
        <v>201.75</v>
      </c>
      <c r="U279" s="489">
        <f t="shared" si="132"/>
        <v>242.1</v>
      </c>
      <c r="V279" s="287">
        <f t="shared" si="132"/>
        <v>190.3</v>
      </c>
      <c r="W279" s="287">
        <f t="shared" si="132"/>
        <v>198.95000000000002</v>
      </c>
      <c r="X279" s="287">
        <f t="shared" si="132"/>
        <v>216.25</v>
      </c>
      <c r="Y279" s="489">
        <f t="shared" si="132"/>
        <v>259.5</v>
      </c>
      <c r="AB279" s="491">
        <f>Model!H18</f>
        <v>28.164790420000003</v>
      </c>
      <c r="AC279" s="491">
        <f>Model!I18</f>
        <v>25.248877989999997</v>
      </c>
      <c r="AD279" s="491">
        <f>Model!J18</f>
        <v>34.069813689999997</v>
      </c>
      <c r="AE279" s="491">
        <f>Model!K18</f>
        <v>116.58222441750002</v>
      </c>
      <c r="AF279" s="491">
        <f>Model!L18</f>
        <v>253.34741205</v>
      </c>
      <c r="AG279" s="491">
        <f>Model!M18</f>
        <v>274.58427076999999</v>
      </c>
      <c r="AH279" s="491">
        <f>Model!N18</f>
        <v>370.13664064</v>
      </c>
      <c r="AI279" s="491">
        <f>Model!O18</f>
        <v>434.16554494999997</v>
      </c>
      <c r="AJ279" s="491">
        <f>Model!P18</f>
        <v>506.80313767000001</v>
      </c>
      <c r="AK279" s="491">
        <f>Model!Q18</f>
        <v>433.59245152</v>
      </c>
      <c r="AL279" s="491">
        <f>Model!R18</f>
        <v>679.53645420999999</v>
      </c>
      <c r="AM279" s="491">
        <f>Model!S18</f>
        <v>726.20984992000012</v>
      </c>
      <c r="AN279" s="491">
        <f>Model!T18</f>
        <v>807</v>
      </c>
      <c r="AO279" s="491">
        <f>Model!U18</f>
        <v>865</v>
      </c>
    </row>
    <row r="280" spans="1:49" s="490" customFormat="1" x14ac:dyDescent="0.4">
      <c r="A280" s="367" t="s">
        <v>69</v>
      </c>
      <c r="B280" s="287">
        <f>Model!BC19</f>
        <v>154.44993828</v>
      </c>
      <c r="C280" s="287">
        <f>Model!BD19</f>
        <v>194.57905375000001</v>
      </c>
      <c r="D280" s="287">
        <f>Model!BE19</f>
        <v>211.55509444999998</v>
      </c>
      <c r="E280" s="489">
        <f>Model!BF19</f>
        <v>206.43487733000001</v>
      </c>
      <c r="F280" s="287">
        <f>Model!BG19</f>
        <v>156.38524411</v>
      </c>
      <c r="G280" s="287">
        <f>Model!BH19</f>
        <v>166.11043881999998</v>
      </c>
      <c r="H280" s="287">
        <f>Model!BI19</f>
        <v>148.86797912</v>
      </c>
      <c r="I280" s="489">
        <f>Model!BJ19</f>
        <v>268.00392034999999</v>
      </c>
      <c r="J280" s="287">
        <f>Model!BK19</f>
        <v>257.38557766000002</v>
      </c>
      <c r="K280" s="287">
        <f>Model!BL19</f>
        <v>267.32642558000003</v>
      </c>
      <c r="L280" s="287">
        <f>Model!BM19</f>
        <v>217.26563829</v>
      </c>
      <c r="M280" s="489">
        <f>Model!BN19</f>
        <v>502.04920876</v>
      </c>
      <c r="N280" s="287">
        <f>Model!BO19</f>
        <v>290.34105018999998</v>
      </c>
      <c r="O280" s="287">
        <f>Model!BP19</f>
        <v>295.2759484</v>
      </c>
      <c r="P280" s="287">
        <f t="shared" ref="P280:Y280" si="133">+P327</f>
        <v>386.92727646197358</v>
      </c>
      <c r="Q280" s="489">
        <f t="shared" si="133"/>
        <v>620.99439432168606</v>
      </c>
      <c r="R280" s="287">
        <f t="shared" si="133"/>
        <v>366.44713247069564</v>
      </c>
      <c r="S280" s="287">
        <f t="shared" si="133"/>
        <v>385.73382365336386</v>
      </c>
      <c r="T280" s="287">
        <f t="shared" si="133"/>
        <v>424.30720601870024</v>
      </c>
      <c r="U280" s="489">
        <f t="shared" si="133"/>
        <v>752.18095612405955</v>
      </c>
      <c r="V280" s="287">
        <f t="shared" si="133"/>
        <v>435.29054586922678</v>
      </c>
      <c r="W280" s="287">
        <f t="shared" si="133"/>
        <v>458.2005745991861</v>
      </c>
      <c r="X280" s="287">
        <f t="shared" si="133"/>
        <v>504.02063205910468</v>
      </c>
      <c r="Y280" s="489">
        <f t="shared" si="133"/>
        <v>893.49112046841287</v>
      </c>
      <c r="AB280" s="491">
        <f>Model!H19</f>
        <v>7.3206228600000003</v>
      </c>
      <c r="AC280" s="491">
        <f>Model!I19</f>
        <v>6.4976790900000001</v>
      </c>
      <c r="AD280" s="491">
        <f>Model!J19</f>
        <v>6.7491872000000006</v>
      </c>
      <c r="AE280" s="491">
        <f>Model!K19</f>
        <v>129.3262563525</v>
      </c>
      <c r="AF280" s="491">
        <f>Model!L19</f>
        <v>309.47280318000003</v>
      </c>
      <c r="AG280" s="491">
        <f>Model!M19</f>
        <v>362.35313714999995</v>
      </c>
      <c r="AH280" s="491">
        <f>Model!N19</f>
        <v>506.42898150999997</v>
      </c>
      <c r="AI280" s="491">
        <f>Model!O19</f>
        <v>541.09930992</v>
      </c>
      <c r="AJ280" s="491">
        <f>Model!P19</f>
        <v>767.01896381000006</v>
      </c>
      <c r="AK280" s="491">
        <f>Model!Q19</f>
        <v>739.36758239999995</v>
      </c>
      <c r="AL280" s="491">
        <f>Model!R19</f>
        <v>1244.0268502900001</v>
      </c>
      <c r="AM280" s="491">
        <f>Model!S19</f>
        <v>1593.5386693736596</v>
      </c>
      <c r="AN280" s="491">
        <f>Model!T19</f>
        <v>1928.6691182668194</v>
      </c>
      <c r="AO280" s="491">
        <f>Model!U19</f>
        <v>2291.0028729959304</v>
      </c>
    </row>
    <row r="281" spans="1:49" s="490" customFormat="1" ht="12.6" x14ac:dyDescent="0.45">
      <c r="A281" s="367"/>
      <c r="E281" s="492"/>
      <c r="H281" s="493"/>
      <c r="I281" s="492"/>
      <c r="L281" s="493"/>
      <c r="M281" s="492"/>
      <c r="Q281" s="492"/>
      <c r="U281" s="492"/>
      <c r="Y281" s="492"/>
      <c r="AB281" s="494"/>
      <c r="AC281" s="494"/>
      <c r="AD281" s="494"/>
    </row>
    <row r="282" spans="1:49" ht="12.6" x14ac:dyDescent="0.45">
      <c r="A282" s="367" t="s">
        <v>323</v>
      </c>
      <c r="E282" s="152"/>
      <c r="I282" s="152"/>
      <c r="M282" s="152"/>
      <c r="Q282" s="152"/>
      <c r="U282" s="152"/>
      <c r="Y282" s="152"/>
      <c r="AB282" s="495"/>
      <c r="AC282" s="495"/>
      <c r="AD282" s="495"/>
      <c r="AJ282" s="496"/>
      <c r="AK282" s="496"/>
      <c r="AL282" s="496"/>
      <c r="AM282" s="496"/>
      <c r="AN282" s="496"/>
      <c r="AO282" s="496"/>
    </row>
    <row r="283" spans="1:49" x14ac:dyDescent="0.4">
      <c r="A283" s="367" t="s">
        <v>321</v>
      </c>
      <c r="B283" s="338">
        <f t="shared" ref="B283:Y285" si="134">B278/B$12</f>
        <v>8.8906898764546625E-3</v>
      </c>
      <c r="C283" s="338">
        <f t="shared" si="134"/>
        <v>9.6257231526673398E-3</v>
      </c>
      <c r="D283" s="338">
        <f t="shared" si="134"/>
        <v>1.145321278746397E-2</v>
      </c>
      <c r="E283" s="497">
        <f t="shared" si="134"/>
        <v>7.6962077592727914E-3</v>
      </c>
      <c r="F283" s="338">
        <f t="shared" si="134"/>
        <v>1.2113063344523552E-2</v>
      </c>
      <c r="G283" s="338">
        <f t="shared" si="134"/>
        <v>9.8832101913971602E-3</v>
      </c>
      <c r="H283" s="498">
        <f t="shared" si="134"/>
        <v>1.2186290652675277E-2</v>
      </c>
      <c r="I283" s="497">
        <f t="shared" si="134"/>
        <v>1.2010648382371541E-2</v>
      </c>
      <c r="J283" s="338">
        <f t="shared" si="134"/>
        <v>9.2567791415108947E-3</v>
      </c>
      <c r="K283" s="338">
        <f t="shared" si="134"/>
        <v>7.4457494967362734E-3</v>
      </c>
      <c r="L283" s="498">
        <f t="shared" si="134"/>
        <v>7.057949122934175E-3</v>
      </c>
      <c r="M283" s="497">
        <f t="shared" si="134"/>
        <v>9.7898153265626627E-3</v>
      </c>
      <c r="N283" s="338">
        <f t="shared" si="134"/>
        <v>7.5067954429826333E-3</v>
      </c>
      <c r="O283" s="338">
        <f t="shared" si="134"/>
        <v>6.2830245182823119E-3</v>
      </c>
      <c r="P283" s="338">
        <f t="shared" si="134"/>
        <v>6.6475062361674468E-3</v>
      </c>
      <c r="Q283" s="497">
        <f t="shared" si="134"/>
        <v>6.5838938677195338E-3</v>
      </c>
      <c r="R283" s="338">
        <f t="shared" si="134"/>
        <v>5.6128577582066509E-3</v>
      </c>
      <c r="S283" s="338">
        <f t="shared" si="134"/>
        <v>5.2643220286822416E-3</v>
      </c>
      <c r="T283" s="338">
        <f t="shared" si="134"/>
        <v>5.1962617009862185E-3</v>
      </c>
      <c r="U283" s="497">
        <f t="shared" si="134"/>
        <v>5.7391260641600451E-3</v>
      </c>
      <c r="V283" s="338">
        <f t="shared" si="134"/>
        <v>5.3762242606272149E-3</v>
      </c>
      <c r="W283" s="338">
        <f t="shared" si="134"/>
        <v>4.972360359297278E-3</v>
      </c>
      <c r="X283" s="338">
        <f t="shared" si="134"/>
        <v>5.0618321509145669E-3</v>
      </c>
      <c r="Y283" s="497">
        <f t="shared" si="134"/>
        <v>5.8558934936488605E-3</v>
      </c>
      <c r="AB283" s="338">
        <f t="shared" ref="AB283:AO285" si="135">AB278/AB$12</f>
        <v>3.8749047139774603E-2</v>
      </c>
      <c r="AC283" s="338">
        <f t="shared" si="135"/>
        <v>3.1629675727021668E-2</v>
      </c>
      <c r="AD283" s="338">
        <f t="shared" si="135"/>
        <v>2.808948965259488E-2</v>
      </c>
      <c r="AE283" s="338">
        <f t="shared" si="135"/>
        <v>1.3585546020764278E-2</v>
      </c>
      <c r="AF283" s="338">
        <f t="shared" si="135"/>
        <v>1.1681423291449387E-2</v>
      </c>
      <c r="AG283" s="338">
        <f t="shared" si="135"/>
        <v>1.1526652618673496E-2</v>
      </c>
      <c r="AH283" s="338">
        <f t="shared" si="135"/>
        <v>1.5137548878891662E-2</v>
      </c>
      <c r="AI283" s="499">
        <f t="shared" si="135"/>
        <v>9.4909257127054128E-3</v>
      </c>
      <c r="AJ283" s="499">
        <f t="shared" si="135"/>
        <v>9.4100380013468522E-3</v>
      </c>
      <c r="AK283" s="499">
        <f t="shared" si="135"/>
        <v>1.1647700420488001E-2</v>
      </c>
      <c r="AL283" s="499">
        <f t="shared" si="135"/>
        <v>8.3507998607343075E-3</v>
      </c>
      <c r="AM283" s="499">
        <f t="shared" si="135"/>
        <v>6.7073247489115697E-3</v>
      </c>
      <c r="AN283" s="499">
        <f t="shared" si="135"/>
        <v>5.4564204640182128E-3</v>
      </c>
      <c r="AO283" s="499">
        <f t="shared" si="135"/>
        <v>5.3249190617597163E-3</v>
      </c>
    </row>
    <row r="284" spans="1:49" x14ac:dyDescent="0.4">
      <c r="A284" s="367" t="s">
        <v>322</v>
      </c>
      <c r="B284" s="338">
        <f t="shared" si="134"/>
        <v>6.5459444103344658E-2</v>
      </c>
      <c r="C284" s="338">
        <f t="shared" si="134"/>
        <v>4.9719063813887091E-2</v>
      </c>
      <c r="D284" s="338">
        <f t="shared" si="134"/>
        <v>5.1971960482561058E-2</v>
      </c>
      <c r="E284" s="497">
        <f t="shared" si="134"/>
        <v>4.5618097152268729E-2</v>
      </c>
      <c r="F284" s="338">
        <f t="shared" si="134"/>
        <v>4.9403689061515529E-2</v>
      </c>
      <c r="G284" s="338">
        <f t="shared" si="134"/>
        <v>4.4448816182525462E-2</v>
      </c>
      <c r="H284" s="498">
        <f t="shared" si="134"/>
        <v>3.3804482280899752E-2</v>
      </c>
      <c r="I284" s="497">
        <f t="shared" si="134"/>
        <v>3.9106958940084258E-2</v>
      </c>
      <c r="J284" s="338">
        <f t="shared" si="134"/>
        <v>2.669432672158456E-2</v>
      </c>
      <c r="K284" s="338">
        <f t="shared" si="134"/>
        <v>2.9752334494534623E-2</v>
      </c>
      <c r="L284" s="498">
        <f t="shared" si="134"/>
        <v>2.5372917837426477E-2</v>
      </c>
      <c r="M284" s="497">
        <f t="shared" si="134"/>
        <v>3.1724619608596398E-2</v>
      </c>
      <c r="N284" s="338">
        <f t="shared" si="134"/>
        <v>2.2233132323353621E-2</v>
      </c>
      <c r="O284" s="338">
        <f t="shared" si="134"/>
        <v>1.7528500639815012E-2</v>
      </c>
      <c r="P284" s="338">
        <f t="shared" si="134"/>
        <v>2.0456927780520971E-2</v>
      </c>
      <c r="Q284" s="497">
        <f t="shared" si="134"/>
        <v>2.2443140060856147E-2</v>
      </c>
      <c r="R284" s="338">
        <f t="shared" si="134"/>
        <v>1.6411508010408575E-2</v>
      </c>
      <c r="S284" s="338">
        <f t="shared" si="134"/>
        <v>1.5392419844733947E-2</v>
      </c>
      <c r="T284" s="338">
        <f t="shared" si="134"/>
        <v>1.519341736484014E-2</v>
      </c>
      <c r="U284" s="497">
        <f t="shared" si="134"/>
        <v>1.678070555716361E-2</v>
      </c>
      <c r="V284" s="338">
        <f t="shared" si="134"/>
        <v>1.4221510658845693E-2</v>
      </c>
      <c r="W284" s="338">
        <f t="shared" si="134"/>
        <v>1.3153185659914819E-2</v>
      </c>
      <c r="X284" s="338">
        <f t="shared" si="134"/>
        <v>1.3389861805936086E-2</v>
      </c>
      <c r="Y284" s="497">
        <f t="shared" si="134"/>
        <v>1.5490360464850961E-2</v>
      </c>
      <c r="AB284" s="338">
        <f t="shared" si="135"/>
        <v>0.23718475855488111</v>
      </c>
      <c r="AC284" s="338">
        <f t="shared" si="135"/>
        <v>0.20796384983557364</v>
      </c>
      <c r="AD284" s="338">
        <f t="shared" si="135"/>
        <v>0.2588490659201188</v>
      </c>
      <c r="AE284" s="338">
        <f t="shared" si="135"/>
        <v>4.9460371636580319E-2</v>
      </c>
      <c r="AF284" s="338">
        <f t="shared" si="135"/>
        <v>4.913343141299964E-2</v>
      </c>
      <c r="AG284" s="338">
        <f t="shared" si="135"/>
        <v>5.7713936743158382E-2</v>
      </c>
      <c r="AH284" s="338">
        <f t="shared" si="135"/>
        <v>5.2504703685435604E-2</v>
      </c>
      <c r="AI284" s="338">
        <f t="shared" si="135"/>
        <v>5.6418805236727376E-2</v>
      </c>
      <c r="AJ284" s="499">
        <f t="shared" si="135"/>
        <v>5.2563153434145082E-2</v>
      </c>
      <c r="AK284" s="499">
        <f t="shared" si="135"/>
        <v>4.0454663159101553E-2</v>
      </c>
      <c r="AL284" s="499">
        <f t="shared" si="135"/>
        <v>2.8477575444158784E-2</v>
      </c>
      <c r="AM284" s="499">
        <f t="shared" si="135"/>
        <v>2.0724009724492738E-2</v>
      </c>
      <c r="AN284" s="499">
        <f t="shared" si="135"/>
        <v>1.5954098965444558E-2</v>
      </c>
      <c r="AO284" s="499">
        <f t="shared" si="135"/>
        <v>1.4085795071627384E-2</v>
      </c>
    </row>
    <row r="285" spans="1:49" x14ac:dyDescent="0.4">
      <c r="A285" s="367" t="s">
        <v>69</v>
      </c>
      <c r="B285" s="338">
        <f t="shared" si="134"/>
        <v>7.3948225296100997E-2</v>
      </c>
      <c r="C285" s="338">
        <f t="shared" si="134"/>
        <v>9.0822036077743029E-2</v>
      </c>
      <c r="D285" s="338">
        <f t="shared" si="134"/>
        <v>8.031873920833181E-2</v>
      </c>
      <c r="E285" s="497">
        <f t="shared" si="134"/>
        <v>7.4342549868134961E-2</v>
      </c>
      <c r="F285" s="338">
        <f t="shared" si="134"/>
        <v>8.5123217548378288E-2</v>
      </c>
      <c r="G285" s="338">
        <f t="shared" si="134"/>
        <v>7.6661000901795562E-2</v>
      </c>
      <c r="H285" s="498">
        <f t="shared" si="134"/>
        <v>4.9191266608414302E-2</v>
      </c>
      <c r="I285" s="497">
        <f t="shared" si="134"/>
        <v>7.2675203833047014E-2</v>
      </c>
      <c r="J285" s="338">
        <f t="shared" si="134"/>
        <v>5.3150869095796367E-2</v>
      </c>
      <c r="K285" s="338">
        <f t="shared" si="134"/>
        <v>4.4883194145739123E-2</v>
      </c>
      <c r="L285" s="498">
        <f t="shared" si="134"/>
        <v>3.3353605105194535E-2</v>
      </c>
      <c r="M285" s="497">
        <f t="shared" si="134"/>
        <v>7.6653907794809448E-2</v>
      </c>
      <c r="N285" s="338">
        <f t="shared" si="134"/>
        <v>4.3502153523438065E-2</v>
      </c>
      <c r="O285" s="338">
        <f t="shared" si="134"/>
        <v>3.6386894283063874E-2</v>
      </c>
      <c r="P285" s="338">
        <f t="shared" si="134"/>
        <v>4.0537454424338142E-2</v>
      </c>
      <c r="Q285" s="497">
        <f t="shared" si="134"/>
        <v>5.7993775668975248E-2</v>
      </c>
      <c r="R285" s="338">
        <f t="shared" si="134"/>
        <v>3.3873775205216144E-2</v>
      </c>
      <c r="S285" s="338">
        <f t="shared" si="134"/>
        <v>3.1988454081068596E-2</v>
      </c>
      <c r="T285" s="338">
        <f t="shared" si="134"/>
        <v>3.1953786725904945E-2</v>
      </c>
      <c r="U285" s="497">
        <f t="shared" si="134"/>
        <v>5.2136006404062962E-2</v>
      </c>
      <c r="V285" s="338">
        <f t="shared" si="134"/>
        <v>3.2530158369805405E-2</v>
      </c>
      <c r="W285" s="338">
        <f t="shared" si="134"/>
        <v>3.0293024514615449E-2</v>
      </c>
      <c r="X285" s="338">
        <f t="shared" si="134"/>
        <v>3.1208169297627611E-2</v>
      </c>
      <c r="Y285" s="497">
        <f t="shared" si="134"/>
        <v>5.3335258297492451E-2</v>
      </c>
      <c r="AB285" s="338">
        <f t="shared" si="135"/>
        <v>6.1649319580502071E-2</v>
      </c>
      <c r="AC285" s="338">
        <f t="shared" si="135"/>
        <v>5.3518511162662041E-2</v>
      </c>
      <c r="AD285" s="338">
        <f t="shared" si="135"/>
        <v>5.1277674082285903E-2</v>
      </c>
      <c r="AE285" s="338">
        <f t="shared" si="135"/>
        <v>5.4867066857939725E-2</v>
      </c>
      <c r="AF285" s="338">
        <f t="shared" si="135"/>
        <v>6.0018220143619849E-2</v>
      </c>
      <c r="AG285" s="338">
        <f t="shared" si="135"/>
        <v>7.6161777138637712E-2</v>
      </c>
      <c r="AH285" s="338">
        <f t="shared" si="135"/>
        <v>7.1838074625422466E-2</v>
      </c>
      <c r="AI285" s="338">
        <f t="shared" si="135"/>
        <v>7.0314599892121327E-2</v>
      </c>
      <c r="AJ285" s="338">
        <f t="shared" si="135"/>
        <v>7.9551471735157225E-2</v>
      </c>
      <c r="AK285" s="338">
        <f t="shared" si="135"/>
        <v>6.8983826613899402E-2</v>
      </c>
      <c r="AL285" s="338">
        <f t="shared" si="135"/>
        <v>5.2133874885164862E-2</v>
      </c>
      <c r="AM285" s="338">
        <f t="shared" si="135"/>
        <v>4.5475162425975012E-2</v>
      </c>
      <c r="AN285" s="338">
        <f t="shared" si="135"/>
        <v>3.8129092917503757E-2</v>
      </c>
      <c r="AO285" s="338">
        <f t="shared" si="135"/>
        <v>3.7307048528936709E-2</v>
      </c>
    </row>
    <row r="286" spans="1:49" ht="12.6" x14ac:dyDescent="0.45">
      <c r="E286" s="152"/>
      <c r="I286" s="152"/>
      <c r="M286" s="152"/>
      <c r="Q286" s="152"/>
      <c r="U286" s="152"/>
      <c r="Y286" s="152"/>
      <c r="AB286" s="495"/>
      <c r="AC286" s="495"/>
      <c r="AD286" s="495"/>
    </row>
    <row r="287" spans="1:49" ht="12.6" x14ac:dyDescent="0.45">
      <c r="A287" s="500" t="s">
        <v>324</v>
      </c>
      <c r="B287" s="338">
        <f>+B278/SUM($B$278:$E$278)</f>
        <v>0.20466622758898476</v>
      </c>
      <c r="C287" s="338">
        <f>+C278/SUM($B$278:$E$278)</f>
        <v>0.22729451716647467</v>
      </c>
      <c r="D287" s="338">
        <f>+D278/SUM($B$278:$E$278)</f>
        <v>0.33249465998879646</v>
      </c>
      <c r="E287" s="497">
        <f>+E278/SUM($B$278:$E$278)</f>
        <v>0.23554459525574425</v>
      </c>
      <c r="F287" s="376">
        <f>+F288/AK288</f>
        <v>0.20416215055045869</v>
      </c>
      <c r="G287" s="376">
        <f>+G288/AK288</f>
        <v>0.19646897266055047</v>
      </c>
      <c r="H287" s="376">
        <v>0.28000000000000003</v>
      </c>
      <c r="I287" s="501">
        <v>0.32</v>
      </c>
      <c r="J287" s="376">
        <v>0.22</v>
      </c>
      <c r="K287" s="376">
        <v>0.23</v>
      </c>
      <c r="L287" s="376">
        <v>0.25</v>
      </c>
      <c r="M287" s="501">
        <v>0.3</v>
      </c>
      <c r="N287" s="376">
        <v>0.22</v>
      </c>
      <c r="O287" s="376">
        <v>0.23</v>
      </c>
      <c r="P287" s="376">
        <v>0.27</v>
      </c>
      <c r="Q287" s="501">
        <v>0.3</v>
      </c>
      <c r="R287" s="376">
        <v>0.22</v>
      </c>
      <c r="S287" s="376">
        <v>0.23</v>
      </c>
      <c r="T287" s="376">
        <v>0.25</v>
      </c>
      <c r="U287" s="501">
        <v>0.3</v>
      </c>
      <c r="V287" s="376">
        <v>0.22</v>
      </c>
      <c r="W287" s="376">
        <v>0.23</v>
      </c>
      <c r="X287" s="376">
        <v>0.25</v>
      </c>
      <c r="Y287" s="501">
        <v>0.3</v>
      </c>
      <c r="AB287" s="495"/>
      <c r="AC287" s="495"/>
      <c r="AD287" s="495"/>
    </row>
    <row r="288" spans="1:49" x14ac:dyDescent="0.4">
      <c r="A288" s="346" t="s">
        <v>325</v>
      </c>
      <c r="B288" s="502">
        <f t="shared" ref="B288:G288" si="136">B278</f>
        <v>18.569296250000001</v>
      </c>
      <c r="C288" s="502">
        <f t="shared" si="136"/>
        <v>20.622353159999999</v>
      </c>
      <c r="D288" s="502">
        <f t="shared" si="136"/>
        <v>30.167125840000001</v>
      </c>
      <c r="E288" s="503">
        <f t="shared" si="136"/>
        <v>21.370879899999998</v>
      </c>
      <c r="F288" s="502">
        <f t="shared" si="136"/>
        <v>22.253674409999999</v>
      </c>
      <c r="G288" s="502">
        <f t="shared" si="136"/>
        <v>21.415118020000001</v>
      </c>
      <c r="H288" s="504">
        <f>+H287*AK288</f>
        <v>30.520000000000003</v>
      </c>
      <c r="I288" s="505">
        <f>+I287*AK288</f>
        <v>34.880000000000003</v>
      </c>
      <c r="J288" s="502">
        <f t="shared" ref="J288:O288" si="137">J278</f>
        <v>44.826387359999998</v>
      </c>
      <c r="K288" s="502">
        <f t="shared" si="137"/>
        <v>44.347235900000001</v>
      </c>
      <c r="L288" s="502">
        <f t="shared" si="137"/>
        <v>45.975534469999999</v>
      </c>
      <c r="M288" s="503">
        <f t="shared" si="137"/>
        <v>64.118962490000001</v>
      </c>
      <c r="N288" s="502">
        <f t="shared" si="137"/>
        <v>50.101677639999998</v>
      </c>
      <c r="O288" s="502">
        <f t="shared" si="137"/>
        <v>50.986105299999998</v>
      </c>
      <c r="P288" s="506">
        <f>+P287*$AM288</f>
        <v>63.45</v>
      </c>
      <c r="Q288" s="505">
        <f>+Q287*$AM288</f>
        <v>70.5</v>
      </c>
      <c r="R288" s="506">
        <f>+R287*$AN288</f>
        <v>60.72</v>
      </c>
      <c r="S288" s="506">
        <f>+S287*$AN288</f>
        <v>63.480000000000004</v>
      </c>
      <c r="T288" s="506">
        <f>+T287*$AN288</f>
        <v>69</v>
      </c>
      <c r="U288" s="505">
        <f>+U287*$AN288</f>
        <v>82.8</v>
      </c>
      <c r="V288" s="506">
        <f>+V287*$AO288</f>
        <v>71.94</v>
      </c>
      <c r="W288" s="506">
        <f>+W287*$AO288</f>
        <v>75.210000000000008</v>
      </c>
      <c r="X288" s="506">
        <f>+X287*$AO288</f>
        <v>81.75</v>
      </c>
      <c r="Y288" s="505">
        <f>+Y287*$AO288</f>
        <v>98.1</v>
      </c>
      <c r="AB288" s="502">
        <f t="shared" ref="AB288:AJ288" si="138">AB278</f>
        <v>4.60130237</v>
      </c>
      <c r="AC288" s="502">
        <f t="shared" si="138"/>
        <v>3.8401569500000003</v>
      </c>
      <c r="AD288" s="502">
        <f t="shared" si="138"/>
        <v>3.69714944</v>
      </c>
      <c r="AE288" s="502">
        <f t="shared" si="138"/>
        <v>32.022265959999999</v>
      </c>
      <c r="AF288" s="502">
        <f t="shared" si="138"/>
        <v>60.23308926</v>
      </c>
      <c r="AG288" s="502">
        <f t="shared" si="138"/>
        <v>54.840090320000002</v>
      </c>
      <c r="AH288" s="502">
        <f t="shared" si="138"/>
        <v>106.7135151</v>
      </c>
      <c r="AI288" s="502">
        <f t="shared" si="138"/>
        <v>73.036515340000008</v>
      </c>
      <c r="AJ288" s="502">
        <f t="shared" si="138"/>
        <v>90.729655149999985</v>
      </c>
      <c r="AK288" s="502">
        <f>SUM(AK289:AK293)</f>
        <v>109</v>
      </c>
      <c r="AL288" s="502">
        <f>SUM(AL289:AL293)</f>
        <v>214</v>
      </c>
      <c r="AM288" s="502">
        <f>SUM(AM289:AM293)</f>
        <v>235</v>
      </c>
      <c r="AN288" s="502">
        <f>SUM(AN289:AN293)</f>
        <v>276</v>
      </c>
      <c r="AO288" s="502">
        <f>SUM(AO289:AO293)</f>
        <v>327</v>
      </c>
    </row>
    <row r="289" spans="1:51" x14ac:dyDescent="0.4">
      <c r="A289" s="367" t="s">
        <v>326</v>
      </c>
      <c r="E289" s="152"/>
      <c r="I289" s="152"/>
      <c r="M289" s="152"/>
      <c r="Q289" s="152"/>
      <c r="U289" s="152"/>
      <c r="Y289" s="152"/>
      <c r="AB289" s="507">
        <v>0.89</v>
      </c>
      <c r="AC289" s="507">
        <v>0.94</v>
      </c>
      <c r="AD289" s="507">
        <v>1.1499999999999999</v>
      </c>
      <c r="AE289" s="507">
        <v>10.24</v>
      </c>
      <c r="AF289" s="507">
        <v>26.63</v>
      </c>
      <c r="AG289" s="507">
        <v>25.07</v>
      </c>
      <c r="AH289" s="507">
        <v>41.2</v>
      </c>
      <c r="AI289" s="507">
        <v>42.94</v>
      </c>
      <c r="AJ289" s="507">
        <v>60.34</v>
      </c>
      <c r="AK289" s="287">
        <v>80</v>
      </c>
      <c r="AL289" s="287">
        <v>180</v>
      </c>
      <c r="AM289" s="287">
        <v>200</v>
      </c>
      <c r="AN289" s="287">
        <v>240</v>
      </c>
      <c r="AO289" s="287">
        <v>290</v>
      </c>
    </row>
    <row r="290" spans="1:51" x14ac:dyDescent="0.4">
      <c r="A290" s="367" t="s">
        <v>327</v>
      </c>
      <c r="E290" s="152"/>
      <c r="I290" s="152"/>
      <c r="M290" s="152"/>
      <c r="Q290" s="152"/>
      <c r="U290" s="152"/>
      <c r="Y290" s="152"/>
      <c r="AB290" s="507"/>
      <c r="AC290" s="507"/>
      <c r="AD290" s="507"/>
      <c r="AE290" s="507">
        <v>0.08</v>
      </c>
      <c r="AF290" s="507">
        <v>0.49</v>
      </c>
      <c r="AG290" s="507">
        <v>1.0900000000000001</v>
      </c>
      <c r="AH290" s="507">
        <v>0.53</v>
      </c>
      <c r="AI290" s="507">
        <v>1.48</v>
      </c>
      <c r="AJ290" s="507">
        <v>1.54</v>
      </c>
      <c r="AK290" s="287">
        <v>2</v>
      </c>
      <c r="AL290" s="287">
        <v>2</v>
      </c>
      <c r="AM290" s="287">
        <v>2</v>
      </c>
      <c r="AN290" s="287">
        <v>2</v>
      </c>
      <c r="AO290" s="287">
        <v>2</v>
      </c>
    </row>
    <row r="291" spans="1:51" x14ac:dyDescent="0.4">
      <c r="A291" s="367" t="s">
        <v>328</v>
      </c>
      <c r="E291" s="152"/>
      <c r="I291" s="152"/>
      <c r="M291" s="152"/>
      <c r="Q291" s="152"/>
      <c r="U291" s="152"/>
      <c r="Y291" s="152"/>
      <c r="AB291" s="507">
        <v>1.36</v>
      </c>
      <c r="AC291" s="507">
        <v>1.5</v>
      </c>
      <c r="AD291" s="507">
        <v>1.26</v>
      </c>
      <c r="AE291" s="507">
        <v>3.33</v>
      </c>
      <c r="AF291" s="507">
        <v>3.89</v>
      </c>
      <c r="AG291" s="507">
        <v>1.49</v>
      </c>
      <c r="AH291" s="507">
        <v>1.06</v>
      </c>
      <c r="AI291" s="507"/>
      <c r="AJ291" s="507"/>
      <c r="AK291" s="287">
        <v>0</v>
      </c>
      <c r="AL291" s="287">
        <v>0</v>
      </c>
      <c r="AM291" s="287">
        <v>0</v>
      </c>
      <c r="AN291" s="287">
        <v>0</v>
      </c>
      <c r="AO291" s="287">
        <v>0</v>
      </c>
    </row>
    <row r="292" spans="1:51" x14ac:dyDescent="0.4">
      <c r="A292" s="367" t="s">
        <v>329</v>
      </c>
      <c r="E292" s="152"/>
      <c r="I292" s="152"/>
      <c r="M292" s="152"/>
      <c r="Q292" s="152"/>
      <c r="U292" s="152"/>
      <c r="Y292" s="152"/>
      <c r="AB292" s="507">
        <v>0.28000000000000003</v>
      </c>
      <c r="AC292" s="507">
        <v>0.34</v>
      </c>
      <c r="AD292" s="507">
        <v>0.28999999999999998</v>
      </c>
      <c r="AE292" s="507">
        <v>1.51</v>
      </c>
      <c r="AF292" s="507">
        <v>3.34</v>
      </c>
      <c r="AG292" s="507">
        <v>6.02</v>
      </c>
      <c r="AH292" s="507">
        <v>1.74</v>
      </c>
      <c r="AI292" s="507">
        <v>3.27</v>
      </c>
      <c r="AJ292" s="507">
        <v>5.63</v>
      </c>
      <c r="AK292" s="287">
        <v>7</v>
      </c>
      <c r="AL292" s="287">
        <v>7</v>
      </c>
      <c r="AM292" s="287">
        <v>8</v>
      </c>
      <c r="AN292" s="287">
        <v>9</v>
      </c>
      <c r="AO292" s="287">
        <v>10</v>
      </c>
    </row>
    <row r="293" spans="1:51" x14ac:dyDescent="0.4">
      <c r="A293" s="367" t="s">
        <v>61</v>
      </c>
      <c r="E293" s="152"/>
      <c r="I293" s="152"/>
      <c r="M293" s="152"/>
      <c r="Q293" s="152"/>
      <c r="U293" s="152"/>
      <c r="Y293" s="152"/>
      <c r="AB293" s="507">
        <v>2.0699999999999998</v>
      </c>
      <c r="AC293" s="507">
        <v>1.06</v>
      </c>
      <c r="AD293" s="507">
        <v>1</v>
      </c>
      <c r="AE293" s="507">
        <v>16.36</v>
      </c>
      <c r="AF293" s="507">
        <v>25.89</v>
      </c>
      <c r="AG293" s="507">
        <v>21.18</v>
      </c>
      <c r="AH293" s="507">
        <v>62.19</v>
      </c>
      <c r="AI293" s="507">
        <v>25.35</v>
      </c>
      <c r="AJ293" s="507">
        <v>23.23</v>
      </c>
      <c r="AK293" s="287">
        <v>20</v>
      </c>
      <c r="AL293" s="287">
        <v>25</v>
      </c>
      <c r="AM293" s="251">
        <v>25</v>
      </c>
      <c r="AN293" s="251">
        <v>25</v>
      </c>
      <c r="AO293" s="251">
        <v>25</v>
      </c>
      <c r="AP293" s="251"/>
    </row>
    <row r="294" spans="1:51" ht="12.6" x14ac:dyDescent="0.45">
      <c r="A294" s="508"/>
      <c r="E294" s="152"/>
      <c r="I294" s="152"/>
      <c r="M294" s="152"/>
      <c r="Q294" s="152"/>
      <c r="U294" s="152"/>
      <c r="Y294" s="152"/>
      <c r="AB294" s="509"/>
      <c r="AC294" s="509"/>
      <c r="AD294" s="509"/>
      <c r="AE294" s="507"/>
      <c r="AF294" s="507"/>
      <c r="AG294" s="507"/>
      <c r="AH294" s="507"/>
      <c r="AI294" s="507"/>
      <c r="AJ294" s="507"/>
      <c r="AM294" s="251"/>
      <c r="AN294" s="251"/>
      <c r="AO294" s="251"/>
      <c r="AP294" s="251"/>
    </row>
    <row r="295" spans="1:51" ht="12.6" x14ac:dyDescent="0.45">
      <c r="A295" s="510" t="s">
        <v>257</v>
      </c>
      <c r="E295" s="152"/>
      <c r="I295" s="152"/>
      <c r="M295" s="152"/>
      <c r="Q295" s="152"/>
      <c r="U295" s="152"/>
      <c r="Y295" s="152"/>
      <c r="AB295" s="495"/>
      <c r="AC295" s="338">
        <f t="shared" ref="AC295:AO300" si="139">AC288/AB288-1</f>
        <v>-0.165419561418651</v>
      </c>
      <c r="AD295" s="338">
        <f t="shared" si="139"/>
        <v>-3.7240016973785539E-2</v>
      </c>
      <c r="AE295" s="338">
        <f t="shared" si="139"/>
        <v>7.6613393587898901</v>
      </c>
      <c r="AF295" s="338">
        <f t="shared" si="139"/>
        <v>0.88097523564506686</v>
      </c>
      <c r="AG295" s="338">
        <f t="shared" si="139"/>
        <v>-8.9535486329129998E-2</v>
      </c>
      <c r="AH295" s="338">
        <f t="shared" si="139"/>
        <v>0.94590334328975256</v>
      </c>
      <c r="AI295" s="338">
        <f t="shared" si="139"/>
        <v>-0.31558326729694608</v>
      </c>
      <c r="AJ295" s="338">
        <f t="shared" si="139"/>
        <v>0.24225060201236004</v>
      </c>
      <c r="AK295" s="338">
        <f t="shared" si="139"/>
        <v>0.20137125860110827</v>
      </c>
      <c r="AL295" s="338">
        <f t="shared" si="139"/>
        <v>0.96330275229357798</v>
      </c>
      <c r="AM295" s="338">
        <f t="shared" si="139"/>
        <v>9.8130841121495394E-2</v>
      </c>
      <c r="AN295" s="338">
        <f t="shared" si="139"/>
        <v>0.1744680851063829</v>
      </c>
      <c r="AO295" s="338">
        <f t="shared" si="139"/>
        <v>0.18478260869565211</v>
      </c>
    </row>
    <row r="296" spans="1:51" ht="12.6" x14ac:dyDescent="0.45">
      <c r="A296" s="367" t="str">
        <f>A289</f>
        <v>Salary</v>
      </c>
      <c r="E296" s="152"/>
      <c r="I296" s="152"/>
      <c r="M296" s="152"/>
      <c r="Q296" s="152"/>
      <c r="U296" s="152"/>
      <c r="Y296" s="152"/>
      <c r="AB296" s="495"/>
      <c r="AC296" s="338">
        <f t="shared" si="139"/>
        <v>5.6179775280898792E-2</v>
      </c>
      <c r="AD296" s="338">
        <f t="shared" si="139"/>
        <v>0.22340425531914887</v>
      </c>
      <c r="AE296" s="338">
        <f t="shared" si="139"/>
        <v>7.9043478260869566</v>
      </c>
      <c r="AF296" s="338">
        <f t="shared" si="139"/>
        <v>1.6005859375</v>
      </c>
      <c r="AG296" s="338">
        <f t="shared" si="139"/>
        <v>-5.8580548253848952E-2</v>
      </c>
      <c r="AH296" s="338">
        <f t="shared" si="139"/>
        <v>0.6433984842441165</v>
      </c>
      <c r="AI296" s="338">
        <f t="shared" si="139"/>
        <v>4.2233009708737779E-2</v>
      </c>
      <c r="AJ296" s="338">
        <f t="shared" si="139"/>
        <v>0.40521658127619942</v>
      </c>
      <c r="AK296" s="338">
        <f t="shared" si="139"/>
        <v>0.32582035134239296</v>
      </c>
      <c r="AL296" s="338">
        <f t="shared" si="139"/>
        <v>1.25</v>
      </c>
      <c r="AM296" s="338">
        <f t="shared" si="139"/>
        <v>0.11111111111111116</v>
      </c>
      <c r="AN296" s="338">
        <f t="shared" si="139"/>
        <v>0.19999999999999996</v>
      </c>
      <c r="AO296" s="338">
        <f t="shared" si="139"/>
        <v>0.20833333333333326</v>
      </c>
    </row>
    <row r="297" spans="1:51" ht="12.6" x14ac:dyDescent="0.45">
      <c r="A297" s="367" t="str">
        <f>A290</f>
        <v>D&amp;A</v>
      </c>
      <c r="E297" s="152"/>
      <c r="I297" s="152"/>
      <c r="M297" s="152"/>
      <c r="Q297" s="152"/>
      <c r="U297" s="152"/>
      <c r="Y297" s="152"/>
      <c r="AB297" s="495"/>
      <c r="AC297" s="338" t="e">
        <f t="shared" si="139"/>
        <v>#DIV/0!</v>
      </c>
      <c r="AD297" s="338" t="e">
        <f t="shared" si="139"/>
        <v>#DIV/0!</v>
      </c>
      <c r="AE297" s="338" t="e">
        <f t="shared" si="139"/>
        <v>#DIV/0!</v>
      </c>
      <c r="AF297" s="338">
        <f t="shared" si="139"/>
        <v>5.125</v>
      </c>
      <c r="AG297" s="338">
        <f t="shared" si="139"/>
        <v>1.2244897959183674</v>
      </c>
      <c r="AH297" s="338">
        <f t="shared" si="139"/>
        <v>-0.51376146788990829</v>
      </c>
      <c r="AI297" s="338">
        <f t="shared" si="139"/>
        <v>1.7924528301886791</v>
      </c>
      <c r="AJ297" s="338">
        <f t="shared" si="139"/>
        <v>4.0540540540540571E-2</v>
      </c>
      <c r="AK297" s="338">
        <f t="shared" si="139"/>
        <v>0.29870129870129869</v>
      </c>
      <c r="AL297" s="338">
        <f t="shared" si="139"/>
        <v>0</v>
      </c>
      <c r="AM297" s="338">
        <f t="shared" si="139"/>
        <v>0</v>
      </c>
      <c r="AN297" s="338">
        <f t="shared" si="139"/>
        <v>0</v>
      </c>
      <c r="AO297" s="338">
        <f t="shared" si="139"/>
        <v>0</v>
      </c>
    </row>
    <row r="298" spans="1:51" x14ac:dyDescent="0.4">
      <c r="A298" s="367" t="str">
        <f>A291</f>
        <v>Transportation</v>
      </c>
      <c r="E298" s="152"/>
      <c r="I298" s="152"/>
      <c r="M298" s="152"/>
      <c r="Q298" s="152"/>
      <c r="U298" s="152"/>
      <c r="Y298" s="152"/>
      <c r="AC298" s="338">
        <f t="shared" si="139"/>
        <v>0.10294117647058809</v>
      </c>
      <c r="AD298" s="338">
        <f t="shared" si="139"/>
        <v>-0.16000000000000003</v>
      </c>
      <c r="AE298" s="338">
        <f t="shared" si="139"/>
        <v>1.6428571428571428</v>
      </c>
      <c r="AF298" s="338">
        <f t="shared" si="139"/>
        <v>0.16816816816816815</v>
      </c>
      <c r="AG298" s="338">
        <f t="shared" si="139"/>
        <v>-0.61696658097686374</v>
      </c>
      <c r="AH298" s="338">
        <f t="shared" si="139"/>
        <v>-0.28859060402684555</v>
      </c>
      <c r="AI298" s="338"/>
      <c r="AJ298" s="338"/>
      <c r="AK298" s="338"/>
      <c r="AL298" s="338"/>
      <c r="AM298" s="338"/>
      <c r="AN298" s="338"/>
      <c r="AO298" s="338"/>
    </row>
    <row r="299" spans="1:51" x14ac:dyDescent="0.4">
      <c r="A299" s="367" t="str">
        <f>A292</f>
        <v>Advertising</v>
      </c>
      <c r="E299" s="152"/>
      <c r="I299" s="152"/>
      <c r="M299" s="152"/>
      <c r="Q299" s="152"/>
      <c r="U299" s="152"/>
      <c r="Y299" s="152"/>
      <c r="AC299" s="338">
        <f t="shared" si="139"/>
        <v>0.21428571428571419</v>
      </c>
      <c r="AD299" s="338">
        <f t="shared" si="139"/>
        <v>-0.14705882352941191</v>
      </c>
      <c r="AE299" s="338">
        <f t="shared" si="139"/>
        <v>4.2068965517241379</v>
      </c>
      <c r="AF299" s="338">
        <f t="shared" si="139"/>
        <v>1.2119205298013243</v>
      </c>
      <c r="AG299" s="338">
        <f t="shared" si="139"/>
        <v>0.80239520958083821</v>
      </c>
      <c r="AH299" s="338">
        <f t="shared" si="139"/>
        <v>-0.71096345514950166</v>
      </c>
      <c r="AI299" s="338">
        <f t="shared" si="139"/>
        <v>0.8793103448275863</v>
      </c>
      <c r="AJ299" s="338">
        <f t="shared" si="139"/>
        <v>0.72171253822629966</v>
      </c>
      <c r="AK299" s="338">
        <f t="shared" si="139"/>
        <v>0.24333925399644762</v>
      </c>
      <c r="AL299" s="338">
        <f t="shared" si="139"/>
        <v>0</v>
      </c>
      <c r="AM299" s="338">
        <f t="shared" si="139"/>
        <v>0.14285714285714279</v>
      </c>
      <c r="AN299" s="338">
        <f t="shared" si="139"/>
        <v>0.125</v>
      </c>
      <c r="AO299" s="338">
        <f t="shared" si="139"/>
        <v>0.11111111111111116</v>
      </c>
    </row>
    <row r="300" spans="1:51" x14ac:dyDescent="0.4">
      <c r="A300" s="367" t="str">
        <f>A293</f>
        <v>Others</v>
      </c>
      <c r="E300" s="152"/>
      <c r="I300" s="152"/>
      <c r="M300" s="152"/>
      <c r="Q300" s="152"/>
      <c r="U300" s="152"/>
      <c r="Y300" s="152"/>
      <c r="AC300" s="338">
        <f t="shared" si="139"/>
        <v>-0.48792270531400961</v>
      </c>
      <c r="AD300" s="338">
        <f t="shared" si="139"/>
        <v>-5.6603773584905759E-2</v>
      </c>
      <c r="AE300" s="338">
        <f t="shared" si="139"/>
        <v>15.36</v>
      </c>
      <c r="AF300" s="338">
        <f t="shared" si="139"/>
        <v>0.58251833740831316</v>
      </c>
      <c r="AG300" s="338">
        <f t="shared" si="139"/>
        <v>-0.18192352259559674</v>
      </c>
      <c r="AH300" s="338">
        <f t="shared" si="139"/>
        <v>1.9362606232294617</v>
      </c>
      <c r="AI300" s="338">
        <f t="shared" si="139"/>
        <v>-0.59237819585142304</v>
      </c>
      <c r="AJ300" s="338">
        <f t="shared" si="139"/>
        <v>-8.3629191321499041E-2</v>
      </c>
      <c r="AK300" s="338">
        <f t="shared" si="139"/>
        <v>-0.13904433921653037</v>
      </c>
      <c r="AL300" s="338">
        <f t="shared" si="139"/>
        <v>0.25</v>
      </c>
      <c r="AM300" s="338">
        <f t="shared" si="139"/>
        <v>0</v>
      </c>
      <c r="AN300" s="338">
        <f t="shared" si="139"/>
        <v>0</v>
      </c>
      <c r="AO300" s="338">
        <f t="shared" si="139"/>
        <v>0</v>
      </c>
    </row>
    <row r="301" spans="1:51" x14ac:dyDescent="0.4">
      <c r="E301" s="152"/>
      <c r="I301" s="152"/>
      <c r="M301" s="152"/>
      <c r="Q301" s="152"/>
      <c r="U301" s="152"/>
      <c r="Y301" s="152"/>
    </row>
    <row r="302" spans="1:51" x14ac:dyDescent="0.4">
      <c r="B302" s="338">
        <f>+B303/SUM($B$303:$E$303)</f>
        <v>0.26976959582090032</v>
      </c>
      <c r="C302" s="338">
        <f>+C303/SUM($B$303:$E$303)</f>
        <v>0.21017860283919343</v>
      </c>
      <c r="D302" s="338">
        <f>+D303/SUM($B$303:$E$303)</f>
        <v>0.27010735491763155</v>
      </c>
      <c r="E302" s="497">
        <f>+E303/SUM($B$303:$E$303)</f>
        <v>0.24994444642227465</v>
      </c>
      <c r="F302" s="376">
        <f>+F303/AK303</f>
        <v>0.22634074882793018</v>
      </c>
      <c r="G302" s="376">
        <f>+G303/AK303</f>
        <v>0.24018078862842893</v>
      </c>
      <c r="H302" s="376">
        <f>+H303/AK303</f>
        <v>0.25511923508728179</v>
      </c>
      <c r="I302" s="501">
        <v>0.35</v>
      </c>
      <c r="J302" s="376">
        <v>0.16</v>
      </c>
      <c r="K302" s="376">
        <v>0.23</v>
      </c>
      <c r="L302" s="376">
        <v>0.26</v>
      </c>
      <c r="M302" s="501">
        <v>0.3</v>
      </c>
      <c r="N302" s="376">
        <v>0.2</v>
      </c>
      <c r="O302" s="376">
        <v>0.22</v>
      </c>
      <c r="P302" s="376">
        <v>0.26</v>
      </c>
      <c r="Q302" s="501">
        <v>0.32</v>
      </c>
      <c r="R302" s="376">
        <v>0.22</v>
      </c>
      <c r="S302" s="376">
        <v>0.23</v>
      </c>
      <c r="T302" s="376">
        <v>0.25</v>
      </c>
      <c r="U302" s="501">
        <v>0.3</v>
      </c>
      <c r="V302" s="376">
        <v>0.22</v>
      </c>
      <c r="W302" s="376">
        <v>0.23</v>
      </c>
      <c r="X302" s="376">
        <v>0.25</v>
      </c>
      <c r="Y302" s="501">
        <v>0.3</v>
      </c>
    </row>
    <row r="303" spans="1:51" x14ac:dyDescent="0.4">
      <c r="A303" s="346" t="s">
        <v>330</v>
      </c>
      <c r="B303" s="502">
        <f t="shared" ref="B303:K303" si="140">+B279</f>
        <v>136.72007761</v>
      </c>
      <c r="C303" s="502">
        <f t="shared" si="140"/>
        <v>106.51917539</v>
      </c>
      <c r="D303" s="502">
        <f t="shared" si="140"/>
        <v>136.89125497999999</v>
      </c>
      <c r="E303" s="503">
        <f t="shared" si="140"/>
        <v>126.67262968999999</v>
      </c>
      <c r="F303" s="502">
        <f t="shared" si="140"/>
        <v>90.762640279999999</v>
      </c>
      <c r="G303" s="502">
        <f t="shared" si="140"/>
        <v>96.312496240000002</v>
      </c>
      <c r="H303" s="502">
        <f t="shared" si="140"/>
        <v>102.30281327</v>
      </c>
      <c r="I303" s="505">
        <f>AK303-SUM(F303:H303)</f>
        <v>111.62205021</v>
      </c>
      <c r="J303" s="502">
        <f t="shared" si="140"/>
        <v>129.26852976000001</v>
      </c>
      <c r="K303" s="502">
        <f t="shared" si="140"/>
        <v>177.20631039</v>
      </c>
      <c r="L303" s="502">
        <f>+L279</f>
        <v>165.2793805</v>
      </c>
      <c r="M303" s="503">
        <f>+M279</f>
        <v>207.78223356000001</v>
      </c>
      <c r="N303" s="502">
        <f>+N279</f>
        <v>148.38784899000001</v>
      </c>
      <c r="O303" s="502">
        <f>+O279</f>
        <v>142.24200093000002</v>
      </c>
      <c r="P303" s="506">
        <f>+P302*$AM303</f>
        <v>195.26000000000002</v>
      </c>
      <c r="Q303" s="505">
        <f>+Q302*$AM303</f>
        <v>240.32</v>
      </c>
      <c r="R303" s="506">
        <f>+R302*$AN303</f>
        <v>177.54</v>
      </c>
      <c r="S303" s="506">
        <f>+S302*$AN303</f>
        <v>185.61</v>
      </c>
      <c r="T303" s="506">
        <f>+T302*$AN303</f>
        <v>201.75</v>
      </c>
      <c r="U303" s="505">
        <f>+U302*$AN303</f>
        <v>242.1</v>
      </c>
      <c r="V303" s="506">
        <f>+V302*$AO303</f>
        <v>190.3</v>
      </c>
      <c r="W303" s="506">
        <f>+W302*$AO303</f>
        <v>198.95000000000002</v>
      </c>
      <c r="X303" s="506">
        <f>+X302*$AO303</f>
        <v>216.25</v>
      </c>
      <c r="Y303" s="505">
        <f>+Y302*$AO303</f>
        <v>259.5</v>
      </c>
      <c r="AB303" s="506">
        <f t="shared" ref="AB303:AJ303" si="141">AB279</f>
        <v>28.164790420000003</v>
      </c>
      <c r="AC303" s="506">
        <f t="shared" si="141"/>
        <v>25.248877989999997</v>
      </c>
      <c r="AD303" s="506">
        <f t="shared" si="141"/>
        <v>34.069813689999997</v>
      </c>
      <c r="AE303" s="506">
        <f t="shared" si="141"/>
        <v>116.58222441750002</v>
      </c>
      <c r="AF303" s="506">
        <f t="shared" si="141"/>
        <v>253.34741205</v>
      </c>
      <c r="AG303" s="506">
        <f t="shared" si="141"/>
        <v>274.58427076999999</v>
      </c>
      <c r="AH303" s="506">
        <f t="shared" si="141"/>
        <v>370.13664064</v>
      </c>
      <c r="AI303" s="506">
        <f t="shared" si="141"/>
        <v>434.16554494999997</v>
      </c>
      <c r="AJ303" s="506">
        <f t="shared" si="141"/>
        <v>506.80313767000001</v>
      </c>
      <c r="AK303" s="506">
        <f>SUM(AK304:AK312)</f>
        <v>401</v>
      </c>
      <c r="AL303" s="506">
        <f>SUM(AL304:AL312)</f>
        <v>676</v>
      </c>
      <c r="AM303" s="506">
        <f>SUM(AM304:AM312)</f>
        <v>751</v>
      </c>
      <c r="AN303" s="506">
        <f>SUM(AN304:AN312)</f>
        <v>807</v>
      </c>
      <c r="AO303" s="506">
        <f>SUM(AO304:AO312)</f>
        <v>865</v>
      </c>
    </row>
    <row r="304" spans="1:51" x14ac:dyDescent="0.4">
      <c r="A304" s="367" t="s">
        <v>327</v>
      </c>
      <c r="E304" s="152"/>
      <c r="I304" s="152"/>
      <c r="M304" s="152"/>
      <c r="Q304" s="152"/>
      <c r="U304" s="152"/>
      <c r="Y304" s="152"/>
      <c r="AE304" s="287">
        <v>44.452654689999996</v>
      </c>
      <c r="AF304" s="287">
        <v>71.975147859999993</v>
      </c>
      <c r="AG304" s="287">
        <v>78.868127770000001</v>
      </c>
      <c r="AH304" s="287">
        <v>78.51948247</v>
      </c>
      <c r="AI304" s="287">
        <v>98.596999060000002</v>
      </c>
      <c r="AJ304" s="287">
        <v>86.827797510000011</v>
      </c>
      <c r="AK304" s="287">
        <v>80</v>
      </c>
      <c r="AL304" s="287">
        <v>100</v>
      </c>
      <c r="AM304" s="287">
        <v>105</v>
      </c>
      <c r="AN304" s="287">
        <v>130</v>
      </c>
      <c r="AO304" s="287">
        <v>150</v>
      </c>
      <c r="AU304" s="251"/>
      <c r="AV304" s="251"/>
      <c r="AX304" s="287"/>
      <c r="AY304" s="287"/>
    </row>
    <row r="305" spans="1:53" x14ac:dyDescent="0.4">
      <c r="A305" s="367" t="s">
        <v>326</v>
      </c>
      <c r="E305" s="152"/>
      <c r="I305" s="152"/>
      <c r="M305" s="152"/>
      <c r="Q305" s="152"/>
      <c r="U305" s="152"/>
      <c r="Y305" s="152"/>
      <c r="AE305" s="287">
        <v>19.88315025</v>
      </c>
      <c r="AF305" s="287">
        <v>45.319607770000005</v>
      </c>
      <c r="AG305" s="287">
        <v>66.400310930000003</v>
      </c>
      <c r="AH305" s="287">
        <v>89.447757559999999</v>
      </c>
      <c r="AI305" s="287">
        <v>108.74787415</v>
      </c>
      <c r="AJ305" s="287">
        <v>151.66674406999999</v>
      </c>
      <c r="AK305" s="287">
        <v>130</v>
      </c>
      <c r="AL305" s="287">
        <v>270</v>
      </c>
      <c r="AM305" s="287">
        <v>350</v>
      </c>
      <c r="AN305" s="287">
        <v>400</v>
      </c>
      <c r="AO305" s="287">
        <v>450</v>
      </c>
      <c r="AX305" s="251"/>
      <c r="AY305" s="251"/>
    </row>
    <row r="306" spans="1:53" x14ac:dyDescent="0.4">
      <c r="A306" s="367" t="s">
        <v>331</v>
      </c>
      <c r="E306" s="152"/>
      <c r="I306" s="152"/>
      <c r="M306" s="152"/>
      <c r="Q306" s="152"/>
      <c r="U306" s="152"/>
      <c r="Y306" s="152"/>
      <c r="AE306" s="287">
        <v>5.3556358899999994</v>
      </c>
      <c r="AF306" s="287">
        <v>39.895103420000005</v>
      </c>
      <c r="AG306" s="287">
        <v>32.43885178</v>
      </c>
      <c r="AH306" s="287">
        <v>62.459860149999997</v>
      </c>
      <c r="AI306" s="287">
        <v>59.022560140000003</v>
      </c>
      <c r="AJ306" s="287">
        <v>113.09389887</v>
      </c>
      <c r="AK306" s="287">
        <v>50</v>
      </c>
      <c r="AL306" s="287">
        <v>100</v>
      </c>
      <c r="AM306" s="287">
        <v>100</v>
      </c>
      <c r="AN306" s="287">
        <v>100</v>
      </c>
      <c r="AO306" s="287">
        <v>100</v>
      </c>
      <c r="AU306" s="251"/>
      <c r="AV306" s="251"/>
      <c r="AX306" s="287"/>
      <c r="AY306" s="287"/>
    </row>
    <row r="307" spans="1:53" x14ac:dyDescent="0.4">
      <c r="A307" s="367" t="s">
        <v>332</v>
      </c>
      <c r="E307" s="152"/>
      <c r="I307" s="152"/>
      <c r="M307" s="152"/>
      <c r="Q307" s="152"/>
      <c r="U307" s="152"/>
      <c r="Y307" s="152"/>
      <c r="AE307" s="287">
        <v>16.610465519999998</v>
      </c>
      <c r="AF307" s="287">
        <v>31.116238249999999</v>
      </c>
      <c r="AG307" s="287">
        <v>16.13286548</v>
      </c>
      <c r="AH307" s="287">
        <v>19.554029270000001</v>
      </c>
      <c r="AI307" s="287">
        <v>54.941023979999997</v>
      </c>
      <c r="AJ307" s="287">
        <v>37.629211869999999</v>
      </c>
      <c r="AK307" s="287">
        <v>20</v>
      </c>
      <c r="AL307" s="287">
        <v>80</v>
      </c>
      <c r="AM307" s="287">
        <v>64</v>
      </c>
      <c r="AN307" s="287">
        <v>39</v>
      </c>
      <c r="AO307" s="287">
        <v>21</v>
      </c>
      <c r="AQ307" s="338"/>
      <c r="AR307" s="338"/>
      <c r="AS307" s="338"/>
      <c r="AT307" s="338"/>
      <c r="AU307" s="338"/>
      <c r="AV307" s="338"/>
      <c r="AX307" s="287"/>
      <c r="AY307" s="287"/>
      <c r="AZ307" s="287"/>
      <c r="BA307" s="287"/>
    </row>
    <row r="308" spans="1:53" x14ac:dyDescent="0.4">
      <c r="A308" s="367" t="s">
        <v>333</v>
      </c>
      <c r="E308" s="152"/>
      <c r="I308" s="152"/>
      <c r="M308" s="152"/>
      <c r="Q308" s="152"/>
      <c r="U308" s="152"/>
      <c r="Y308" s="152"/>
      <c r="AE308" s="287">
        <v>7.6738978700000002</v>
      </c>
      <c r="AF308" s="287">
        <v>26.975497789999999</v>
      </c>
      <c r="AG308" s="287">
        <v>26.854796690000001</v>
      </c>
      <c r="AH308" s="287">
        <v>38.577529499999997</v>
      </c>
      <c r="AI308" s="287">
        <v>29.750802850000003</v>
      </c>
      <c r="AJ308" s="287">
        <v>33.074721440000005</v>
      </c>
      <c r="AK308" s="287">
        <v>35</v>
      </c>
      <c r="AL308" s="287">
        <v>36</v>
      </c>
      <c r="AM308" s="287">
        <v>37</v>
      </c>
      <c r="AN308" s="287">
        <v>38</v>
      </c>
      <c r="AO308" s="287">
        <v>39</v>
      </c>
      <c r="AU308" s="251"/>
      <c r="AV308" s="251"/>
      <c r="AX308" s="287"/>
      <c r="AY308" s="287"/>
    </row>
    <row r="309" spans="1:53" x14ac:dyDescent="0.4">
      <c r="A309" s="367" t="s">
        <v>334</v>
      </c>
      <c r="E309" s="152"/>
      <c r="I309" s="152"/>
      <c r="M309" s="152"/>
      <c r="Q309" s="152"/>
      <c r="U309" s="152"/>
      <c r="Y309" s="152"/>
      <c r="AE309" s="287">
        <v>3.4213127299999999</v>
      </c>
      <c r="AF309" s="287">
        <v>8.5536163300000005</v>
      </c>
      <c r="AG309" s="287">
        <v>11.66599965</v>
      </c>
      <c r="AH309" s="287">
        <v>18.638378280000001</v>
      </c>
      <c r="AI309" s="287">
        <v>12.49074104</v>
      </c>
      <c r="AJ309" s="287">
        <v>17.11669814</v>
      </c>
      <c r="AK309" s="287">
        <v>19</v>
      </c>
      <c r="AL309" s="287">
        <v>20</v>
      </c>
      <c r="AM309" s="287">
        <v>22</v>
      </c>
      <c r="AN309" s="287">
        <v>24</v>
      </c>
      <c r="AO309" s="287">
        <v>26</v>
      </c>
      <c r="AU309" s="251"/>
      <c r="AV309" s="251"/>
      <c r="AX309" s="490"/>
      <c r="AY309" s="490"/>
      <c r="AZ309" s="490"/>
      <c r="BA309" s="490"/>
    </row>
    <row r="310" spans="1:53" x14ac:dyDescent="0.4">
      <c r="A310" s="367" t="s">
        <v>335</v>
      </c>
      <c r="E310" s="152"/>
      <c r="I310" s="152"/>
      <c r="M310" s="152"/>
      <c r="Q310" s="152"/>
      <c r="U310" s="152"/>
      <c r="Y310" s="152"/>
      <c r="AE310" s="287">
        <v>1.58050297</v>
      </c>
      <c r="AF310" s="287">
        <v>5.4027566299999998</v>
      </c>
      <c r="AG310" s="287">
        <v>7.2993913200000007</v>
      </c>
      <c r="AH310" s="287">
        <v>7.3916794900000005</v>
      </c>
      <c r="AI310" s="287">
        <v>7.9189224899999999</v>
      </c>
      <c r="AJ310" s="287">
        <v>11.7884099</v>
      </c>
      <c r="AK310" s="287">
        <v>14</v>
      </c>
      <c r="AL310" s="287">
        <v>16</v>
      </c>
      <c r="AM310" s="287">
        <v>18</v>
      </c>
      <c r="AN310" s="287">
        <v>20</v>
      </c>
      <c r="AO310" s="287">
        <v>22</v>
      </c>
      <c r="AU310" s="251"/>
      <c r="AV310" s="251"/>
      <c r="AX310" s="287"/>
      <c r="AY310" s="287"/>
    </row>
    <row r="311" spans="1:53" x14ac:dyDescent="0.4">
      <c r="A311" s="367" t="s">
        <v>336</v>
      </c>
      <c r="E311" s="152"/>
      <c r="I311" s="152"/>
      <c r="M311" s="152"/>
      <c r="Q311" s="152"/>
      <c r="U311" s="152"/>
      <c r="Y311" s="152"/>
      <c r="AE311" s="287">
        <v>1.3784736100000001</v>
      </c>
      <c r="AF311" s="287">
        <v>4.3179879000000003</v>
      </c>
      <c r="AG311" s="287">
        <v>4.1719460399999999</v>
      </c>
      <c r="AH311" s="287">
        <v>2.1452689300000003</v>
      </c>
      <c r="AI311" s="287">
        <v>2.8238334199999997</v>
      </c>
      <c r="AJ311" s="287">
        <v>2.4859803500000002</v>
      </c>
      <c r="AK311" s="287">
        <v>3</v>
      </c>
      <c r="AL311" s="287">
        <v>4</v>
      </c>
      <c r="AM311" s="287">
        <v>5</v>
      </c>
      <c r="AN311" s="287">
        <v>6</v>
      </c>
      <c r="AO311" s="287">
        <v>7</v>
      </c>
      <c r="AU311" s="251"/>
      <c r="AV311" s="251"/>
      <c r="AX311" s="287"/>
      <c r="AY311" s="287"/>
    </row>
    <row r="312" spans="1:53" x14ac:dyDescent="0.4">
      <c r="A312" s="367" t="s">
        <v>61</v>
      </c>
      <c r="E312" s="152"/>
      <c r="I312" s="152"/>
      <c r="M312" s="152"/>
      <c r="Q312" s="152"/>
      <c r="U312" s="152"/>
      <c r="Y312" s="152"/>
      <c r="AE312" s="287">
        <f t="shared" ref="AE312:AJ312" si="142">+AE303-SUM(AE304:AE311)</f>
        <v>16.22613088750002</v>
      </c>
      <c r="AF312" s="287">
        <f t="shared" si="142"/>
        <v>19.791456100000005</v>
      </c>
      <c r="AG312" s="287">
        <f t="shared" si="142"/>
        <v>30.751981110000003</v>
      </c>
      <c r="AH312" s="287">
        <f t="shared" si="142"/>
        <v>53.40265499000003</v>
      </c>
      <c r="AI312" s="287">
        <f t="shared" si="142"/>
        <v>59.872787819999928</v>
      </c>
      <c r="AJ312" s="287">
        <f t="shared" si="142"/>
        <v>53.119675520000044</v>
      </c>
      <c r="AK312" s="287">
        <v>50</v>
      </c>
      <c r="AL312" s="287">
        <v>50</v>
      </c>
      <c r="AM312" s="287">
        <v>50</v>
      </c>
      <c r="AN312" s="287">
        <v>50</v>
      </c>
      <c r="AO312" s="287">
        <v>50</v>
      </c>
      <c r="AU312" s="251"/>
      <c r="AV312" s="251"/>
      <c r="AX312" s="287"/>
      <c r="AY312" s="287"/>
    </row>
    <row r="313" spans="1:53" x14ac:dyDescent="0.4">
      <c r="A313" s="367"/>
      <c r="E313" s="152"/>
      <c r="I313" s="152"/>
      <c r="M313" s="152"/>
      <c r="Q313" s="152"/>
      <c r="U313" s="152"/>
      <c r="Y313" s="152"/>
      <c r="AE313" s="287"/>
      <c r="AF313" s="287"/>
      <c r="AG313" s="287"/>
      <c r="AH313" s="287"/>
      <c r="AI313" s="287"/>
      <c r="AJ313" s="287"/>
      <c r="AK313" s="287"/>
      <c r="AL313" s="287"/>
      <c r="AM313" s="287"/>
      <c r="AN313" s="287"/>
      <c r="AO313" s="287"/>
      <c r="AU313" s="251"/>
      <c r="AV313" s="251"/>
      <c r="AX313" s="287"/>
      <c r="AY313" s="287"/>
    </row>
    <row r="314" spans="1:53" x14ac:dyDescent="0.4">
      <c r="A314" s="510" t="s">
        <v>257</v>
      </c>
      <c r="E314" s="152"/>
      <c r="I314" s="152"/>
      <c r="M314" s="152"/>
      <c r="Q314" s="152"/>
      <c r="U314" s="152"/>
      <c r="Y314" s="152"/>
      <c r="AB314" s="338"/>
      <c r="AC314" s="338">
        <f>AC303/AB303-1</f>
        <v>-0.10353041462468671</v>
      </c>
      <c r="AD314" s="338">
        <f>AD303/AC303-1</f>
        <v>0.34935951227193529</v>
      </c>
      <c r="AE314" s="338">
        <f>AE303/AD303-1</f>
        <v>2.4218626928305937</v>
      </c>
      <c r="AF314" s="338"/>
      <c r="AG314" s="338">
        <f t="shared" ref="AG314:AO323" si="143">AG303/AF303-1</f>
        <v>8.3825046990449348E-2</v>
      </c>
      <c r="AH314" s="338">
        <f t="shared" si="143"/>
        <v>0.34798923333098553</v>
      </c>
      <c r="AI314" s="338">
        <f t="shared" si="143"/>
        <v>0.17298720872186046</v>
      </c>
      <c r="AJ314" s="338">
        <f t="shared" si="143"/>
        <v>0.16730390876218704</v>
      </c>
      <c r="AK314" s="338">
        <f>AK303/AJ303-1</f>
        <v>-0.20876575104965645</v>
      </c>
      <c r="AL314" s="338">
        <f>AL303/AK303-1</f>
        <v>0.68578553615960103</v>
      </c>
      <c r="AM314" s="338">
        <f>AM303/AL303-1</f>
        <v>0.11094674556213024</v>
      </c>
      <c r="AN314" s="338">
        <f>AN303/AM303-1</f>
        <v>7.4567243675099926E-2</v>
      </c>
      <c r="AO314" s="338">
        <f>AO303/AN303-1</f>
        <v>7.1871127633209353E-2</v>
      </c>
      <c r="AU314" s="251"/>
      <c r="AV314" s="251"/>
      <c r="AX314" s="287"/>
      <c r="AY314" s="287"/>
    </row>
    <row r="315" spans="1:53" x14ac:dyDescent="0.4">
      <c r="A315" s="367" t="str">
        <f t="shared" ref="A315:A323" si="144">A304</f>
        <v>D&amp;A</v>
      </c>
      <c r="E315" s="152"/>
      <c r="I315" s="152"/>
      <c r="M315" s="152"/>
      <c r="Q315" s="152"/>
      <c r="U315" s="152"/>
      <c r="Y315" s="152"/>
      <c r="AB315" s="338"/>
      <c r="AC315" s="338"/>
      <c r="AD315" s="338"/>
      <c r="AE315" s="338"/>
      <c r="AF315" s="338"/>
      <c r="AG315" s="338">
        <f t="shared" si="143"/>
        <v>9.576888849756382E-2</v>
      </c>
      <c r="AH315" s="338">
        <f t="shared" si="143"/>
        <v>-4.4206108330191451E-3</v>
      </c>
      <c r="AI315" s="338">
        <f t="shared" si="143"/>
        <v>0.25570108154585758</v>
      </c>
      <c r="AJ315" s="338">
        <f t="shared" si="143"/>
        <v>-0.11936673187018587</v>
      </c>
      <c r="AK315" s="338">
        <f t="shared" si="143"/>
        <v>-7.8636078603901538E-2</v>
      </c>
      <c r="AL315" s="338">
        <f t="shared" si="143"/>
        <v>0.25</v>
      </c>
      <c r="AM315" s="338">
        <f t="shared" si="143"/>
        <v>5.0000000000000044E-2</v>
      </c>
      <c r="AN315" s="338">
        <f t="shared" si="143"/>
        <v>0.23809523809523814</v>
      </c>
      <c r="AO315" s="338">
        <f t="shared" si="143"/>
        <v>0.15384615384615374</v>
      </c>
      <c r="AU315" s="251"/>
      <c r="AV315" s="251"/>
      <c r="AX315" s="287"/>
      <c r="AY315" s="287"/>
    </row>
    <row r="316" spans="1:53" x14ac:dyDescent="0.4">
      <c r="A316" s="367" t="str">
        <f t="shared" si="144"/>
        <v>Salary</v>
      </c>
      <c r="E316" s="152"/>
      <c r="I316" s="152"/>
      <c r="M316" s="152"/>
      <c r="Q316" s="152"/>
      <c r="U316" s="152"/>
      <c r="Y316" s="152"/>
      <c r="AB316" s="338"/>
      <c r="AC316" s="338"/>
      <c r="AD316" s="338"/>
      <c r="AE316" s="338"/>
      <c r="AF316" s="338"/>
      <c r="AG316" s="338">
        <f t="shared" si="143"/>
        <v>0.46515634616667367</v>
      </c>
      <c r="AH316" s="338">
        <f t="shared" si="143"/>
        <v>0.34709847449806208</v>
      </c>
      <c r="AI316" s="338">
        <f t="shared" si="143"/>
        <v>0.21576970867105105</v>
      </c>
      <c r="AJ316" s="338">
        <f t="shared" si="143"/>
        <v>0.3946639900362594</v>
      </c>
      <c r="AK316" s="338">
        <f t="shared" si="143"/>
        <v>-0.14285758030118956</v>
      </c>
      <c r="AL316" s="338">
        <f t="shared" si="143"/>
        <v>1.0769230769230771</v>
      </c>
      <c r="AM316" s="338">
        <f t="shared" si="143"/>
        <v>0.29629629629629628</v>
      </c>
      <c r="AN316" s="338">
        <f>AN305/AM305-1</f>
        <v>0.14285714285714279</v>
      </c>
      <c r="AO316" s="338">
        <f t="shared" si="143"/>
        <v>0.125</v>
      </c>
      <c r="AU316" s="251"/>
      <c r="AV316" s="251"/>
      <c r="AX316" s="287"/>
      <c r="AY316" s="287"/>
    </row>
    <row r="317" spans="1:53" x14ac:dyDescent="0.4">
      <c r="A317" s="367" t="str">
        <f t="shared" si="144"/>
        <v>Consulting</v>
      </c>
      <c r="E317" s="152"/>
      <c r="I317" s="152"/>
      <c r="M317" s="152"/>
      <c r="Q317" s="152"/>
      <c r="U317" s="152"/>
      <c r="Y317" s="152"/>
      <c r="AB317" s="338"/>
      <c r="AC317" s="338"/>
      <c r="AD317" s="338"/>
      <c r="AE317" s="338"/>
      <c r="AF317" s="338"/>
      <c r="AG317" s="338">
        <f t="shared" si="143"/>
        <v>-0.1868964108578316</v>
      </c>
      <c r="AH317" s="338">
        <f t="shared" si="143"/>
        <v>0.92546458097845763</v>
      </c>
      <c r="AI317" s="338">
        <f t="shared" si="143"/>
        <v>-5.503214387200317E-2</v>
      </c>
      <c r="AJ317" s="338">
        <f t="shared" si="143"/>
        <v>0.91611306933728676</v>
      </c>
      <c r="AK317" s="338">
        <f t="shared" si="143"/>
        <v>-0.5578895015594576</v>
      </c>
      <c r="AL317" s="338">
        <f t="shared" si="143"/>
        <v>1</v>
      </c>
      <c r="AM317" s="338">
        <f t="shared" si="143"/>
        <v>0</v>
      </c>
      <c r="AN317" s="338">
        <f t="shared" si="143"/>
        <v>0</v>
      </c>
      <c r="AO317" s="338">
        <f t="shared" si="143"/>
        <v>0</v>
      </c>
      <c r="AU317" s="251"/>
      <c r="AV317" s="251"/>
      <c r="AX317" s="287"/>
      <c r="AY317" s="287"/>
    </row>
    <row r="318" spans="1:53" x14ac:dyDescent="0.4">
      <c r="A318" s="367" t="str">
        <f t="shared" si="144"/>
        <v>Stock compensation</v>
      </c>
      <c r="E318" s="152"/>
      <c r="I318" s="152"/>
      <c r="M318" s="152"/>
      <c r="Q318" s="152"/>
      <c r="U318" s="152"/>
      <c r="Y318" s="152"/>
      <c r="AB318" s="338"/>
      <c r="AC318" s="338"/>
      <c r="AD318" s="338"/>
      <c r="AE318" s="338"/>
      <c r="AF318" s="338"/>
      <c r="AG318" s="338">
        <f t="shared" si="143"/>
        <v>-0.48152905404624224</v>
      </c>
      <c r="AH318" s="338">
        <f t="shared" si="143"/>
        <v>0.21206175643386094</v>
      </c>
      <c r="AI318" s="338">
        <f t="shared" si="143"/>
        <v>1.8097034744798659</v>
      </c>
      <c r="AJ318" s="338">
        <f t="shared" si="143"/>
        <v>-0.31509809712141446</v>
      </c>
      <c r="AK318" s="338">
        <f t="shared" si="143"/>
        <v>-0.46849803633689546</v>
      </c>
      <c r="AL318" s="338">
        <f t="shared" si="143"/>
        <v>3</v>
      </c>
      <c r="AM318" s="338">
        <f t="shared" si="143"/>
        <v>-0.19999999999999996</v>
      </c>
      <c r="AN318" s="338">
        <f t="shared" si="143"/>
        <v>-0.390625</v>
      </c>
      <c r="AO318" s="338">
        <f t="shared" si="143"/>
        <v>-0.46153846153846156</v>
      </c>
      <c r="AU318" s="251"/>
      <c r="AV318" s="251"/>
      <c r="AX318" s="287"/>
      <c r="AY318" s="287"/>
    </row>
    <row r="319" spans="1:53" x14ac:dyDescent="0.4">
      <c r="A319" s="367" t="str">
        <f t="shared" si="144"/>
        <v>Rents</v>
      </c>
      <c r="E319" s="152"/>
      <c r="I319" s="152"/>
      <c r="M319" s="152"/>
      <c r="Q319" s="152"/>
      <c r="U319" s="152"/>
      <c r="Y319" s="152"/>
      <c r="AB319" s="338"/>
      <c r="AC319" s="338"/>
      <c r="AD319" s="338"/>
      <c r="AE319" s="338"/>
      <c r="AF319" s="338"/>
      <c r="AG319" s="338">
        <f t="shared" si="143"/>
        <v>-4.4744716460707323E-3</v>
      </c>
      <c r="AH319" s="338">
        <f t="shared" si="143"/>
        <v>0.43652286574060062</v>
      </c>
      <c r="AI319" s="338">
        <f t="shared" si="143"/>
        <v>-0.22880487072143885</v>
      </c>
      <c r="AJ319" s="338">
        <f t="shared" si="143"/>
        <v>0.11172534088437214</v>
      </c>
      <c r="AK319" s="338">
        <f t="shared" si="143"/>
        <v>5.8209970520616272E-2</v>
      </c>
      <c r="AL319" s="338">
        <f t="shared" si="143"/>
        <v>2.857142857142847E-2</v>
      </c>
      <c r="AM319" s="338">
        <f t="shared" si="143"/>
        <v>2.7777777777777679E-2</v>
      </c>
      <c r="AN319" s="338">
        <f t="shared" si="143"/>
        <v>2.7027027027026973E-2</v>
      </c>
      <c r="AO319" s="338">
        <f t="shared" si="143"/>
        <v>2.6315789473684292E-2</v>
      </c>
      <c r="AU319" s="251"/>
      <c r="AV319" s="251"/>
      <c r="AX319" s="287"/>
      <c r="AY319" s="287"/>
    </row>
    <row r="320" spans="1:53" x14ac:dyDescent="0.4">
      <c r="A320" s="367" t="str">
        <f t="shared" si="144"/>
        <v>Office expense</v>
      </c>
      <c r="E320" s="152"/>
      <c r="I320" s="152"/>
      <c r="M320" s="152"/>
      <c r="Q320" s="152"/>
      <c r="U320" s="152"/>
      <c r="Y320" s="152"/>
      <c r="AB320" s="338"/>
      <c r="AC320" s="338"/>
      <c r="AD320" s="338"/>
      <c r="AE320" s="338"/>
      <c r="AF320" s="338"/>
      <c r="AG320" s="338">
        <f t="shared" si="143"/>
        <v>0.36386753858528498</v>
      </c>
      <c r="AH320" s="338">
        <f t="shared" si="143"/>
        <v>0.59766662430853068</v>
      </c>
      <c r="AI320" s="338">
        <f t="shared" si="143"/>
        <v>-0.32983756138251319</v>
      </c>
      <c r="AJ320" s="338">
        <f t="shared" si="143"/>
        <v>0.37035089312843539</v>
      </c>
      <c r="AK320" s="338">
        <f t="shared" si="143"/>
        <v>0.1100271702285216</v>
      </c>
      <c r="AL320" s="338">
        <f t="shared" si="143"/>
        <v>5.2631578947368363E-2</v>
      </c>
      <c r="AM320" s="338">
        <f t="shared" si="143"/>
        <v>0.10000000000000009</v>
      </c>
      <c r="AN320" s="338">
        <f t="shared" si="143"/>
        <v>9.0909090909090828E-2</v>
      </c>
      <c r="AO320" s="338">
        <f t="shared" si="143"/>
        <v>8.3333333333333259E-2</v>
      </c>
    </row>
    <row r="321" spans="1:51" x14ac:dyDescent="0.4">
      <c r="A321" s="367" t="str">
        <f t="shared" si="144"/>
        <v>Utilities</v>
      </c>
      <c r="E321" s="152"/>
      <c r="I321" s="152"/>
      <c r="M321" s="152"/>
      <c r="Q321" s="152"/>
      <c r="U321" s="152"/>
      <c r="Y321" s="152"/>
      <c r="AB321" s="338"/>
      <c r="AC321" s="338"/>
      <c r="AD321" s="338"/>
      <c r="AE321" s="338"/>
      <c r="AF321" s="338"/>
      <c r="AG321" s="338">
        <f t="shared" si="143"/>
        <v>0.3510494401077624</v>
      </c>
      <c r="AH321" s="338">
        <f t="shared" si="143"/>
        <v>1.264326927467696E-2</v>
      </c>
      <c r="AI321" s="338">
        <f t="shared" si="143"/>
        <v>7.1329256187756984E-2</v>
      </c>
      <c r="AJ321" s="338">
        <f t="shared" si="143"/>
        <v>0.48863812152302044</v>
      </c>
      <c r="AK321" s="338">
        <f t="shared" si="143"/>
        <v>0.18760715980872034</v>
      </c>
      <c r="AL321" s="338">
        <f t="shared" si="143"/>
        <v>0.14285714285714279</v>
      </c>
      <c r="AM321" s="338">
        <f t="shared" si="143"/>
        <v>0.125</v>
      </c>
      <c r="AN321" s="338">
        <f t="shared" si="143"/>
        <v>0.11111111111111116</v>
      </c>
      <c r="AO321" s="338">
        <f t="shared" si="143"/>
        <v>0.10000000000000009</v>
      </c>
    </row>
    <row r="322" spans="1:51" x14ac:dyDescent="0.4">
      <c r="A322" s="367" t="str">
        <f t="shared" si="144"/>
        <v>Travel</v>
      </c>
      <c r="E322" s="152"/>
      <c r="I322" s="152"/>
      <c r="M322" s="152"/>
      <c r="Q322" s="152"/>
      <c r="U322" s="152"/>
      <c r="Y322" s="152"/>
      <c r="AB322" s="338"/>
      <c r="AC322" s="338"/>
      <c r="AD322" s="338"/>
      <c r="AE322" s="338"/>
      <c r="AF322" s="338"/>
      <c r="AG322" s="338">
        <f t="shared" si="143"/>
        <v>-3.3821739055822864E-2</v>
      </c>
      <c r="AH322" s="338">
        <f t="shared" si="143"/>
        <v>-0.48578699018839655</v>
      </c>
      <c r="AI322" s="338">
        <f t="shared" si="143"/>
        <v>0.31630742444957671</v>
      </c>
      <c r="AJ322" s="338">
        <f t="shared" si="143"/>
        <v>-0.11964341366850162</v>
      </c>
      <c r="AK322" s="338">
        <f t="shared" si="143"/>
        <v>0.2067673825338161</v>
      </c>
      <c r="AL322" s="338">
        <f t="shared" si="143"/>
        <v>0.33333333333333326</v>
      </c>
      <c r="AM322" s="338">
        <f t="shared" si="143"/>
        <v>0.25</v>
      </c>
      <c r="AN322" s="338">
        <f t="shared" si="143"/>
        <v>0.19999999999999996</v>
      </c>
      <c r="AO322" s="338">
        <f t="shared" si="143"/>
        <v>0.16666666666666674</v>
      </c>
    </row>
    <row r="323" spans="1:51" x14ac:dyDescent="0.4">
      <c r="A323" s="367" t="str">
        <f t="shared" si="144"/>
        <v>Others</v>
      </c>
      <c r="E323" s="152"/>
      <c r="I323" s="152"/>
      <c r="M323" s="152"/>
      <c r="Q323" s="152"/>
      <c r="U323" s="152"/>
      <c r="Y323" s="152"/>
      <c r="AB323" s="338"/>
      <c r="AC323" s="338"/>
      <c r="AD323" s="338"/>
      <c r="AE323" s="338"/>
      <c r="AF323" s="338"/>
      <c r="AG323" s="338">
        <f t="shared" si="143"/>
        <v>0.55380083984826145</v>
      </c>
      <c r="AH323" s="338">
        <f t="shared" si="143"/>
        <v>0.73655982679549803</v>
      </c>
      <c r="AI323" s="338">
        <f t="shared" si="143"/>
        <v>0.12115751232240179</v>
      </c>
      <c r="AJ323" s="338">
        <f t="shared" si="143"/>
        <v>-0.11279101150763637</v>
      </c>
      <c r="AK323" s="338">
        <f t="shared" si="143"/>
        <v>-5.8729190068667836E-2</v>
      </c>
      <c r="AL323" s="338">
        <f t="shared" si="143"/>
        <v>0</v>
      </c>
      <c r="AM323" s="338">
        <f t="shared" si="143"/>
        <v>0</v>
      </c>
      <c r="AN323" s="338">
        <f t="shared" si="143"/>
        <v>0</v>
      </c>
      <c r="AO323" s="338">
        <f t="shared" si="143"/>
        <v>0</v>
      </c>
    </row>
    <row r="324" spans="1:51" x14ac:dyDescent="0.4">
      <c r="A324" s="367"/>
      <c r="E324" s="152"/>
      <c r="I324" s="152"/>
      <c r="M324" s="152"/>
      <c r="Q324" s="152"/>
      <c r="U324" s="152"/>
      <c r="Y324" s="152"/>
      <c r="AB324" s="338"/>
      <c r="AC324" s="338"/>
      <c r="AD324" s="338"/>
      <c r="AE324" s="338"/>
      <c r="AF324" s="338"/>
      <c r="AG324" s="338"/>
      <c r="AH324" s="338"/>
      <c r="AI324" s="376"/>
      <c r="AJ324" s="376"/>
      <c r="AK324" s="376"/>
      <c r="AL324" s="376"/>
      <c r="AM324" s="376"/>
      <c r="AN324" s="376"/>
      <c r="AO324" s="376"/>
    </row>
    <row r="325" spans="1:51" x14ac:dyDescent="0.4">
      <c r="A325" s="367"/>
      <c r="E325" s="152"/>
      <c r="I325" s="152"/>
      <c r="M325" s="152"/>
      <c r="Q325" s="152"/>
      <c r="U325" s="152"/>
      <c r="Y325" s="152"/>
      <c r="AB325" s="338"/>
      <c r="AC325" s="338"/>
      <c r="AD325" s="338"/>
      <c r="AE325" s="338"/>
      <c r="AF325" s="338"/>
      <c r="AG325" s="338"/>
      <c r="AH325" s="338"/>
      <c r="AI325" s="338"/>
      <c r="AJ325" s="338"/>
      <c r="AK325" s="338"/>
      <c r="AL325" s="338"/>
      <c r="AM325" s="338"/>
      <c r="AN325" s="338"/>
      <c r="AO325" s="338"/>
    </row>
    <row r="326" spans="1:51" x14ac:dyDescent="0.4">
      <c r="B326" s="338">
        <f>+B327/SUM($B$327:$E$327)</f>
        <v>0.2013639108905515</v>
      </c>
      <c r="C326" s="338">
        <f>+C327/SUM($B$327:$E$327)</f>
        <v>0.25368219422303567</v>
      </c>
      <c r="D326" s="338">
        <f>+D327/SUM($B$327:$E$327)</f>
        <v>0.2758146857271247</v>
      </c>
      <c r="E326" s="497">
        <f>+E327/SUM($B$327:$E$327)</f>
        <v>0.26913920915928807</v>
      </c>
      <c r="F326" s="376">
        <f>+F327/AK327</f>
        <v>0.26015265527865389</v>
      </c>
      <c r="G326" s="376">
        <f>+G327/AK327</f>
        <v>0.2763308774715918</v>
      </c>
      <c r="H326" s="376">
        <f>+H327/AK327</f>
        <v>0.24764740608643351</v>
      </c>
      <c r="I326" s="501">
        <v>0.33</v>
      </c>
      <c r="J326" s="376">
        <v>0.16</v>
      </c>
      <c r="K326" s="376">
        <v>0.25</v>
      </c>
      <c r="L326" s="376">
        <v>0.27</v>
      </c>
      <c r="M326" s="501">
        <v>0.3</v>
      </c>
      <c r="N326" s="496">
        <v>0.19</v>
      </c>
      <c r="O326" s="496">
        <v>0.2</v>
      </c>
      <c r="P326" s="496">
        <v>0.24299999999999999</v>
      </c>
      <c r="Q326" s="511">
        <v>0.39</v>
      </c>
      <c r="R326" s="496">
        <v>0.19</v>
      </c>
      <c r="S326" s="496">
        <v>0.2</v>
      </c>
      <c r="T326" s="496">
        <v>0.22</v>
      </c>
      <c r="U326" s="511">
        <v>0.39</v>
      </c>
      <c r="V326" s="496">
        <v>0.19</v>
      </c>
      <c r="W326" s="496">
        <v>0.2</v>
      </c>
      <c r="X326" s="496">
        <v>0.22</v>
      </c>
      <c r="Y326" s="511">
        <v>0.39</v>
      </c>
    </row>
    <row r="327" spans="1:51" s="375" customFormat="1" x14ac:dyDescent="0.4">
      <c r="A327" s="30" t="s">
        <v>337</v>
      </c>
      <c r="B327" s="512">
        <f t="shared" ref="B327:O327" si="145">+B280</f>
        <v>154.44993828</v>
      </c>
      <c r="C327" s="512">
        <f t="shared" si="145"/>
        <v>194.57905375000001</v>
      </c>
      <c r="D327" s="512">
        <f t="shared" si="145"/>
        <v>211.55509444999998</v>
      </c>
      <c r="E327" s="513">
        <f t="shared" si="145"/>
        <v>206.43487733000001</v>
      </c>
      <c r="F327" s="512">
        <f t="shared" si="145"/>
        <v>156.38524411</v>
      </c>
      <c r="G327" s="512">
        <f t="shared" si="145"/>
        <v>166.11043881999998</v>
      </c>
      <c r="H327" s="512">
        <f t="shared" si="145"/>
        <v>148.86797912</v>
      </c>
      <c r="I327" s="513">
        <f t="shared" si="145"/>
        <v>268.00392034999999</v>
      </c>
      <c r="J327" s="512">
        <f t="shared" si="145"/>
        <v>257.38557766000002</v>
      </c>
      <c r="K327" s="512">
        <f t="shared" si="145"/>
        <v>267.32642558000003</v>
      </c>
      <c r="L327" s="512">
        <f t="shared" si="145"/>
        <v>217.26563829</v>
      </c>
      <c r="M327" s="512">
        <f t="shared" si="145"/>
        <v>502.04920876</v>
      </c>
      <c r="N327" s="512">
        <f t="shared" si="145"/>
        <v>290.34105018999998</v>
      </c>
      <c r="O327" s="512">
        <f t="shared" si="145"/>
        <v>295.2759484</v>
      </c>
      <c r="P327" s="504">
        <f>+P326*$AM327</f>
        <v>386.92727646197358</v>
      </c>
      <c r="Q327" s="505">
        <f>+Q326*$AM327</f>
        <v>620.99439432168606</v>
      </c>
      <c r="R327" s="506">
        <f>+R326*$AN327</f>
        <v>366.44713247069564</v>
      </c>
      <c r="S327" s="506">
        <f>+S326*$AN327</f>
        <v>385.73382365336386</v>
      </c>
      <c r="T327" s="506">
        <f>+T326*$AN327</f>
        <v>424.30720601870024</v>
      </c>
      <c r="U327" s="505">
        <f>+U326*$AN327</f>
        <v>752.18095612405955</v>
      </c>
      <c r="V327" s="506">
        <f>+V326*$AO327</f>
        <v>435.29054586922678</v>
      </c>
      <c r="W327" s="506">
        <f>+W326*$AO327</f>
        <v>458.2005745991861</v>
      </c>
      <c r="X327" s="506">
        <f>+X326*$AO327</f>
        <v>504.02063205910468</v>
      </c>
      <c r="Y327" s="505">
        <f>+Y326*$AO327</f>
        <v>893.49112046841287</v>
      </c>
      <c r="AE327" s="514">
        <f t="shared" ref="AE327:AJ327" si="146">AE280</f>
        <v>129.3262563525</v>
      </c>
      <c r="AF327" s="514">
        <f t="shared" si="146"/>
        <v>309.47280318000003</v>
      </c>
      <c r="AG327" s="514">
        <f t="shared" si="146"/>
        <v>362.35313714999995</v>
      </c>
      <c r="AH327" s="514">
        <f t="shared" si="146"/>
        <v>506.42898150999997</v>
      </c>
      <c r="AI327" s="514">
        <f t="shared" si="146"/>
        <v>541.09930992</v>
      </c>
      <c r="AJ327" s="514">
        <f t="shared" si="146"/>
        <v>767.01896381000006</v>
      </c>
      <c r="AK327" s="514">
        <f>SUM(AK328:AK338)</f>
        <v>601.12876396549996</v>
      </c>
      <c r="AL327" s="514">
        <f>SUM(AL328:AL338)</f>
        <v>1058.8020301648749</v>
      </c>
      <c r="AM327" s="514">
        <f>SUM(AM328:AM338)</f>
        <v>1592.2933187735539</v>
      </c>
      <c r="AN327" s="514">
        <f>SUM(AN328:AN338)</f>
        <v>1928.6691182668192</v>
      </c>
      <c r="AO327" s="514">
        <f>SUM(AO328:AO338)</f>
        <v>2291.0028729959304</v>
      </c>
    </row>
    <row r="328" spans="1:51" x14ac:dyDescent="0.4">
      <c r="A328" s="367" t="s">
        <v>326</v>
      </c>
      <c r="E328" s="152"/>
      <c r="I328" s="152"/>
      <c r="M328" s="152"/>
      <c r="Q328" s="152"/>
      <c r="U328" s="152"/>
      <c r="Y328" s="152"/>
      <c r="AE328" s="287">
        <v>41.655951479999999</v>
      </c>
      <c r="AF328" s="287">
        <v>121.46507492000001</v>
      </c>
      <c r="AG328" s="287">
        <v>139.14782076</v>
      </c>
      <c r="AH328" s="287">
        <v>250.87686403999999</v>
      </c>
      <c r="AI328" s="287">
        <v>290.19839263</v>
      </c>
      <c r="AJ328" s="287">
        <v>353.34929746</v>
      </c>
      <c r="AK328" s="287">
        <v>250</v>
      </c>
      <c r="AL328" s="287">
        <v>440</v>
      </c>
      <c r="AM328" s="287">
        <v>600</v>
      </c>
      <c r="AN328" s="287">
        <f t="shared" ref="AN328:AO331" si="147">+AM328*(1+AN341)</f>
        <v>780</v>
      </c>
      <c r="AO328" s="287">
        <f t="shared" si="147"/>
        <v>1014</v>
      </c>
    </row>
    <row r="329" spans="1:51" x14ac:dyDescent="0.4">
      <c r="A329" s="367" t="s">
        <v>338</v>
      </c>
      <c r="E329" s="152"/>
      <c r="I329" s="152"/>
      <c r="M329" s="152"/>
      <c r="Q329" s="152"/>
      <c r="U329" s="152"/>
      <c r="Y329" s="152"/>
      <c r="AE329" s="287">
        <v>55.428742319999998</v>
      </c>
      <c r="AF329" s="287">
        <v>101.77394231999999</v>
      </c>
      <c r="AG329" s="287">
        <v>117.09179104</v>
      </c>
      <c r="AH329" s="287">
        <v>111.51722466</v>
      </c>
      <c r="AI329" s="287">
        <v>59.440882280000004</v>
      </c>
      <c r="AJ329" s="287">
        <v>168.99831412</v>
      </c>
      <c r="AK329" s="287">
        <v>100</v>
      </c>
      <c r="AL329" s="287">
        <v>300</v>
      </c>
      <c r="AM329" s="287">
        <v>500</v>
      </c>
      <c r="AN329" s="287">
        <f t="shared" si="147"/>
        <v>650</v>
      </c>
      <c r="AO329" s="287">
        <f t="shared" si="147"/>
        <v>845</v>
      </c>
      <c r="AU329" s="251"/>
      <c r="AV329" s="251"/>
      <c r="AX329" s="287"/>
      <c r="AY329" s="287"/>
    </row>
    <row r="330" spans="1:51" x14ac:dyDescent="0.4">
      <c r="A330" s="367" t="s">
        <v>327</v>
      </c>
      <c r="E330" s="152"/>
      <c r="I330" s="152"/>
      <c r="M330" s="152"/>
      <c r="Q330" s="152"/>
      <c r="U330" s="152"/>
      <c r="Y330" s="152"/>
      <c r="AE330" s="287">
        <v>12.132590859999999</v>
      </c>
      <c r="AF330" s="287">
        <v>39.473019430000001</v>
      </c>
      <c r="AG330" s="287">
        <v>34.495533359999996</v>
      </c>
      <c r="AH330" s="287">
        <v>71.823764909999994</v>
      </c>
      <c r="AI330" s="287">
        <v>92.889868280000002</v>
      </c>
      <c r="AJ330" s="287">
        <v>100.83152456000001</v>
      </c>
      <c r="AK330" s="287">
        <f t="shared" ref="AK330:AM331" si="148">+AJ330*(1+AK343)</f>
        <v>105.87310078800002</v>
      </c>
      <c r="AL330" s="287">
        <f t="shared" si="148"/>
        <v>111.16675582740002</v>
      </c>
      <c r="AM330" s="287">
        <f t="shared" si="148"/>
        <v>116.72509361877003</v>
      </c>
      <c r="AN330" s="287">
        <f t="shared" si="147"/>
        <v>122.56134829970854</v>
      </c>
      <c r="AO330" s="287">
        <f t="shared" si="147"/>
        <v>128.68941571469398</v>
      </c>
      <c r="AU330" s="251"/>
      <c r="AV330" s="251"/>
      <c r="AX330" s="287"/>
      <c r="AY330" s="287"/>
    </row>
    <row r="331" spans="1:51" x14ac:dyDescent="0.4">
      <c r="A331" s="367" t="s">
        <v>339</v>
      </c>
      <c r="E331" s="152"/>
      <c r="I331" s="152"/>
      <c r="M331" s="152"/>
      <c r="Q331" s="152"/>
      <c r="U331" s="152"/>
      <c r="Y331" s="152"/>
      <c r="AE331" s="287">
        <v>8.7879965000000002</v>
      </c>
      <c r="AF331" s="287">
        <v>22.870846789999998</v>
      </c>
      <c r="AG331" s="287">
        <v>40.091345310000001</v>
      </c>
      <c r="AH331" s="287">
        <v>34.659407700000003</v>
      </c>
      <c r="AI331" s="287">
        <v>38.08495679</v>
      </c>
      <c r="AJ331" s="287">
        <v>95.712435150000005</v>
      </c>
      <c r="AK331" s="287">
        <f t="shared" si="148"/>
        <v>100.49805690750001</v>
      </c>
      <c r="AL331" s="287">
        <f t="shared" si="148"/>
        <v>105.52295975287502</v>
      </c>
      <c r="AM331" s="287">
        <f t="shared" si="148"/>
        <v>110.79910774051878</v>
      </c>
      <c r="AN331" s="287">
        <f t="shared" si="147"/>
        <v>116.33906312754472</v>
      </c>
      <c r="AO331" s="287">
        <f t="shared" si="147"/>
        <v>122.15601628392196</v>
      </c>
      <c r="AU331" s="251"/>
      <c r="AV331" s="251"/>
      <c r="AX331" s="287"/>
      <c r="AY331" s="287"/>
    </row>
    <row r="332" spans="1:51" x14ac:dyDescent="0.4">
      <c r="A332" s="367" t="s">
        <v>332</v>
      </c>
      <c r="E332" s="152"/>
      <c r="I332" s="152"/>
      <c r="M332" s="152"/>
      <c r="Q332" s="152"/>
      <c r="U332" s="152"/>
      <c r="Y332" s="152"/>
      <c r="AE332" s="287">
        <v>6.5470438200000007</v>
      </c>
      <c r="AF332" s="287">
        <v>11.95055511</v>
      </c>
      <c r="AG332" s="287">
        <v>19.208927859999999</v>
      </c>
      <c r="AH332" s="287">
        <v>24.18580154</v>
      </c>
      <c r="AI332" s="287">
        <v>45.381843109999998</v>
      </c>
      <c r="AJ332" s="287">
        <v>30.458131440000002</v>
      </c>
      <c r="AK332" s="287">
        <v>25</v>
      </c>
      <c r="AL332" s="287">
        <v>80</v>
      </c>
      <c r="AM332" s="287">
        <v>240</v>
      </c>
      <c r="AN332" s="287">
        <v>232</v>
      </c>
      <c r="AO332" s="287">
        <v>150</v>
      </c>
      <c r="AU332" s="251"/>
      <c r="AV332" s="251"/>
      <c r="AX332" s="287"/>
      <c r="AY332" s="287"/>
    </row>
    <row r="333" spans="1:51" x14ac:dyDescent="0.4">
      <c r="A333" s="367" t="s">
        <v>340</v>
      </c>
      <c r="E333" s="152"/>
      <c r="I333" s="152"/>
      <c r="M333" s="152"/>
      <c r="Q333" s="152"/>
      <c r="U333" s="152"/>
      <c r="Y333" s="152"/>
      <c r="AE333" s="287">
        <v>2.17937935</v>
      </c>
      <c r="AF333" s="287">
        <v>4.6468081699999999</v>
      </c>
      <c r="AG333" s="287">
        <v>5.2909430500000001</v>
      </c>
      <c r="AH333" s="287">
        <v>6.6035614200000001</v>
      </c>
      <c r="AI333" s="287">
        <v>6.7884563600000005</v>
      </c>
      <c r="AJ333" s="287">
        <v>7.51458212</v>
      </c>
      <c r="AK333" s="287">
        <f t="shared" ref="AK333:AO338" si="149">+AJ333*(1+AK346)</f>
        <v>8.2660403320000011</v>
      </c>
      <c r="AL333" s="287">
        <f t="shared" si="149"/>
        <v>9.0926443652000017</v>
      </c>
      <c r="AM333" s="287">
        <f t="shared" si="149"/>
        <v>10.001908801720003</v>
      </c>
      <c r="AN333" s="287">
        <f t="shared" si="149"/>
        <v>11.002099681892004</v>
      </c>
      <c r="AO333" s="287">
        <f t="shared" si="149"/>
        <v>12.102309650081205</v>
      </c>
      <c r="AU333" s="251"/>
      <c r="AV333" s="251"/>
      <c r="AX333" s="287"/>
      <c r="AY333" s="287"/>
    </row>
    <row r="334" spans="1:51" x14ac:dyDescent="0.4">
      <c r="A334" s="367" t="s">
        <v>334</v>
      </c>
      <c r="E334" s="152"/>
      <c r="I334" s="152"/>
      <c r="M334" s="152"/>
      <c r="Q334" s="152"/>
      <c r="U334" s="152"/>
      <c r="Y334" s="152"/>
      <c r="AE334" s="287">
        <v>1.0939984599999999</v>
      </c>
      <c r="AF334" s="287">
        <v>2.5846257499999998</v>
      </c>
      <c r="AG334" s="287">
        <v>1.4858724699999999</v>
      </c>
      <c r="AH334" s="287">
        <v>2.58314457</v>
      </c>
      <c r="AI334" s="287">
        <v>2.5900776599999999</v>
      </c>
      <c r="AJ334" s="287">
        <v>5.3705667799999999</v>
      </c>
      <c r="AK334" s="287">
        <f t="shared" si="149"/>
        <v>6.1761517969999993</v>
      </c>
      <c r="AL334" s="287">
        <f t="shared" si="149"/>
        <v>7.1025745665499986</v>
      </c>
      <c r="AM334" s="287">
        <f t="shared" si="149"/>
        <v>8.1679607515324975</v>
      </c>
      <c r="AN334" s="287">
        <f t="shared" si="149"/>
        <v>9.393154864262371</v>
      </c>
      <c r="AO334" s="287">
        <f t="shared" si="149"/>
        <v>10.802128093901725</v>
      </c>
      <c r="AU334" s="251"/>
      <c r="AV334" s="251"/>
      <c r="AX334" s="287"/>
      <c r="AY334" s="287"/>
    </row>
    <row r="335" spans="1:51" x14ac:dyDescent="0.4">
      <c r="A335" s="367" t="s">
        <v>336</v>
      </c>
      <c r="E335" s="152"/>
      <c r="I335" s="152"/>
      <c r="M335" s="152"/>
      <c r="Q335" s="152"/>
      <c r="U335" s="152"/>
      <c r="Y335" s="152"/>
      <c r="AE335" s="287">
        <v>0.98920995</v>
      </c>
      <c r="AF335" s="287">
        <v>2.36536057</v>
      </c>
      <c r="AG335" s="287">
        <v>2.4138091299999997</v>
      </c>
      <c r="AH335" s="287">
        <v>1.6615766699999999</v>
      </c>
      <c r="AI335" s="287">
        <v>2.17029987</v>
      </c>
      <c r="AJ335" s="287">
        <v>1.6434399799999999</v>
      </c>
      <c r="AK335" s="287">
        <f t="shared" si="149"/>
        <v>1.8899559769999998</v>
      </c>
      <c r="AL335" s="287">
        <f t="shared" si="149"/>
        <v>2.1734493735499996</v>
      </c>
      <c r="AM335" s="287">
        <f t="shared" si="149"/>
        <v>2.4994667795824994</v>
      </c>
      <c r="AN335" s="287">
        <f t="shared" si="149"/>
        <v>2.8743867965198739</v>
      </c>
      <c r="AO335" s="287">
        <f t="shared" si="149"/>
        <v>3.3055448159978549</v>
      </c>
      <c r="AU335" s="251"/>
      <c r="AV335" s="251"/>
      <c r="AX335" s="287"/>
      <c r="AY335" s="287"/>
    </row>
    <row r="336" spans="1:51" x14ac:dyDescent="0.4">
      <c r="A336" s="367" t="s">
        <v>333</v>
      </c>
      <c r="E336" s="152"/>
      <c r="I336" s="152"/>
      <c r="M336" s="152"/>
      <c r="Q336" s="152"/>
      <c r="U336" s="152"/>
      <c r="Y336" s="152"/>
      <c r="AE336" s="287">
        <v>0.15400933999999999</v>
      </c>
      <c r="AF336" s="287">
        <v>0.91445651999999999</v>
      </c>
      <c r="AG336" s="287">
        <v>1.42579028</v>
      </c>
      <c r="AH336" s="287">
        <v>1.43921827</v>
      </c>
      <c r="AI336" s="287">
        <v>1.5278838000000001</v>
      </c>
      <c r="AJ336" s="287">
        <v>1.27752354</v>
      </c>
      <c r="AK336" s="287">
        <f t="shared" si="149"/>
        <v>1.4691520709999999</v>
      </c>
      <c r="AL336" s="287">
        <f t="shared" si="149"/>
        <v>1.6895248816499997</v>
      </c>
      <c r="AM336" s="287">
        <f t="shared" si="149"/>
        <v>1.9429536138974994</v>
      </c>
      <c r="AN336" s="287">
        <f t="shared" si="149"/>
        <v>2.234396655982124</v>
      </c>
      <c r="AO336" s="287">
        <f t="shared" si="149"/>
        <v>2.5695561543794425</v>
      </c>
      <c r="AU336" s="251"/>
      <c r="AV336" s="251"/>
      <c r="AX336" s="287"/>
      <c r="AY336" s="287"/>
    </row>
    <row r="337" spans="1:51" x14ac:dyDescent="0.4">
      <c r="A337" s="367" t="s">
        <v>341</v>
      </c>
      <c r="E337" s="152"/>
      <c r="I337" s="152"/>
      <c r="M337" s="152"/>
      <c r="Q337" s="152"/>
      <c r="U337" s="152"/>
      <c r="Y337" s="152"/>
      <c r="AE337" s="287">
        <v>0</v>
      </c>
      <c r="AF337" s="287">
        <v>0</v>
      </c>
      <c r="AG337" s="287">
        <v>0</v>
      </c>
      <c r="AH337" s="287">
        <v>0</v>
      </c>
      <c r="AI337" s="287">
        <v>0.33839730000000001</v>
      </c>
      <c r="AJ337" s="287">
        <v>0.39176917</v>
      </c>
      <c r="AK337" s="287">
        <f t="shared" si="149"/>
        <v>0.41135762850000002</v>
      </c>
      <c r="AL337" s="287">
        <f t="shared" si="149"/>
        <v>0.43192550992500006</v>
      </c>
      <c r="AM337" s="287">
        <f t="shared" si="149"/>
        <v>0.4535217854212501</v>
      </c>
      <c r="AN337" s="287">
        <f t="shared" si="149"/>
        <v>0.47619787469231262</v>
      </c>
      <c r="AO337" s="287">
        <f t="shared" si="149"/>
        <v>0.50000776842692829</v>
      </c>
      <c r="AU337" s="251"/>
      <c r="AV337" s="251"/>
      <c r="AX337" s="287"/>
      <c r="AY337" s="287"/>
    </row>
    <row r="338" spans="1:51" x14ac:dyDescent="0.4">
      <c r="A338" s="367" t="s">
        <v>61</v>
      </c>
      <c r="E338" s="152"/>
      <c r="I338" s="152"/>
      <c r="M338" s="152"/>
      <c r="Q338" s="152"/>
      <c r="U338" s="152"/>
      <c r="Y338" s="152"/>
      <c r="AE338" s="287">
        <v>0.33610333000000003</v>
      </c>
      <c r="AF338" s="287">
        <v>1.4281136000000001</v>
      </c>
      <c r="AG338" s="287">
        <v>1.7013038899999999</v>
      </c>
      <c r="AH338" s="287">
        <v>1.07841773</v>
      </c>
      <c r="AI338" s="287">
        <v>1.6882518400000002</v>
      </c>
      <c r="AJ338" s="287">
        <v>1.4713794899999999</v>
      </c>
      <c r="AK338" s="287">
        <f t="shared" si="149"/>
        <v>1.5449484645</v>
      </c>
      <c r="AL338" s="287">
        <f t="shared" si="149"/>
        <v>1.622195887725</v>
      </c>
      <c r="AM338" s="287">
        <f t="shared" si="149"/>
        <v>1.70330568211125</v>
      </c>
      <c r="AN338" s="287">
        <f t="shared" si="149"/>
        <v>1.7884709662168126</v>
      </c>
      <c r="AO338" s="287">
        <f t="shared" si="149"/>
        <v>1.8778945145276533</v>
      </c>
      <c r="AU338" s="251"/>
      <c r="AV338" s="251"/>
      <c r="AX338" s="287"/>
      <c r="AY338" s="287"/>
    </row>
    <row r="339" spans="1:51" x14ac:dyDescent="0.4">
      <c r="E339" s="152"/>
      <c r="I339" s="152"/>
      <c r="M339" s="152"/>
      <c r="Q339" s="152"/>
      <c r="U339" s="152"/>
      <c r="Y339" s="152"/>
      <c r="AG339" s="515"/>
      <c r="AH339" s="515"/>
      <c r="AL339" s="251"/>
      <c r="AM339" s="251"/>
      <c r="AN339" s="251"/>
      <c r="AO339" s="251"/>
      <c r="AU339" s="251"/>
      <c r="AV339" s="251"/>
      <c r="AX339" s="287"/>
      <c r="AY339" s="287"/>
    </row>
    <row r="340" spans="1:51" x14ac:dyDescent="0.4">
      <c r="A340" s="510" t="s">
        <v>257</v>
      </c>
      <c r="E340" s="152"/>
      <c r="I340" s="152"/>
      <c r="M340" s="152"/>
      <c r="Q340" s="152"/>
      <c r="U340" s="152"/>
      <c r="Y340" s="152"/>
      <c r="AB340" s="338"/>
      <c r="AC340" s="338"/>
      <c r="AD340" s="338"/>
      <c r="AE340" s="338"/>
      <c r="AF340" s="338"/>
      <c r="AG340" s="338">
        <f t="shared" ref="AG340:AJ351" si="150">AG327/AF327-1</f>
        <v>0.17087231390489221</v>
      </c>
      <c r="AH340" s="338">
        <f t="shared" si="150"/>
        <v>0.39761169309363065</v>
      </c>
      <c r="AI340" s="338">
        <f t="shared" si="150"/>
        <v>6.8460395585230538E-2</v>
      </c>
      <c r="AJ340" s="338">
        <f t="shared" si="150"/>
        <v>0.4175197597709035</v>
      </c>
      <c r="AK340" s="338">
        <f>AK327/AJ327-1</f>
        <v>-0.21627913737683435</v>
      </c>
      <c r="AL340" s="338">
        <f>AL327/AK327-1</f>
        <v>0.76135645744218916</v>
      </c>
      <c r="AM340" s="338">
        <f>AM327/AL327-1</f>
        <v>0.50386311454805655</v>
      </c>
      <c r="AN340" s="338">
        <f>AN327/AM327-1</f>
        <v>0.21125240904254694</v>
      </c>
      <c r="AO340" s="338">
        <f>AO327/AN327-1</f>
        <v>0.18786724549969414</v>
      </c>
    </row>
    <row r="341" spans="1:51" x14ac:dyDescent="0.4">
      <c r="A341" s="367" t="str">
        <f t="shared" ref="A341:A348" si="151">A328</f>
        <v>Salary</v>
      </c>
      <c r="E341" s="152"/>
      <c r="I341" s="152"/>
      <c r="M341" s="152"/>
      <c r="Q341" s="152"/>
      <c r="U341" s="152"/>
      <c r="Y341" s="152"/>
      <c r="AB341" s="338"/>
      <c r="AC341" s="338"/>
      <c r="AD341" s="338"/>
      <c r="AE341" s="338"/>
      <c r="AF341" s="338"/>
      <c r="AG341" s="338">
        <f t="shared" si="150"/>
        <v>0.14557884932476517</v>
      </c>
      <c r="AH341" s="338">
        <f t="shared" si="150"/>
        <v>0.80295216029799343</v>
      </c>
      <c r="AI341" s="338">
        <f t="shared" si="150"/>
        <v>0.15673636841909255</v>
      </c>
      <c r="AJ341" s="338">
        <f t="shared" si="150"/>
        <v>0.21761286910543554</v>
      </c>
      <c r="AK341" s="516">
        <v>0</v>
      </c>
      <c r="AL341" s="516">
        <v>0.5</v>
      </c>
      <c r="AM341" s="516">
        <v>0.5</v>
      </c>
      <c r="AN341" s="516">
        <v>0.3</v>
      </c>
      <c r="AO341" s="516">
        <v>0.3</v>
      </c>
    </row>
    <row r="342" spans="1:51" x14ac:dyDescent="0.4">
      <c r="A342" s="367" t="str">
        <f t="shared" si="151"/>
        <v>Materials</v>
      </c>
      <c r="E342" s="152"/>
      <c r="I342" s="152"/>
      <c r="M342" s="152"/>
      <c r="Q342" s="152"/>
      <c r="U342" s="152"/>
      <c r="Y342" s="152"/>
      <c r="AB342" s="338"/>
      <c r="AC342" s="338"/>
      <c r="AD342" s="338"/>
      <c r="AE342" s="338"/>
      <c r="AF342" s="338"/>
      <c r="AG342" s="338">
        <f t="shared" si="150"/>
        <v>0.15050855229560911</v>
      </c>
      <c r="AH342" s="338">
        <f t="shared" si="150"/>
        <v>-4.7608515767733617E-2</v>
      </c>
      <c r="AI342" s="338">
        <f t="shared" si="150"/>
        <v>-0.46698025833025603</v>
      </c>
      <c r="AJ342" s="338">
        <f t="shared" si="150"/>
        <v>1.8431326662333651</v>
      </c>
      <c r="AK342" s="516">
        <v>0</v>
      </c>
      <c r="AL342" s="516">
        <v>0.5</v>
      </c>
      <c r="AM342" s="516">
        <v>0.5</v>
      </c>
      <c r="AN342" s="516">
        <v>0.3</v>
      </c>
      <c r="AO342" s="516">
        <v>0.3</v>
      </c>
    </row>
    <row r="343" spans="1:51" x14ac:dyDescent="0.4">
      <c r="A343" s="367" t="str">
        <f t="shared" si="151"/>
        <v>D&amp;A</v>
      </c>
      <c r="E343" s="152"/>
      <c r="I343" s="152"/>
      <c r="M343" s="152"/>
      <c r="Q343" s="152"/>
      <c r="U343" s="152"/>
      <c r="Y343" s="152"/>
      <c r="AB343" s="338"/>
      <c r="AC343" s="338"/>
      <c r="AD343" s="338"/>
      <c r="AE343" s="338"/>
      <c r="AF343" s="338"/>
      <c r="AG343" s="338">
        <f t="shared" si="150"/>
        <v>-0.12609843741056836</v>
      </c>
      <c r="AH343" s="338">
        <f t="shared" si="150"/>
        <v>1.0821178255293979</v>
      </c>
      <c r="AI343" s="338">
        <f t="shared" si="150"/>
        <v>0.29330268883004473</v>
      </c>
      <c r="AJ343" s="338">
        <f t="shared" si="150"/>
        <v>8.5495398228591535E-2</v>
      </c>
      <c r="AK343" s="516">
        <v>0.05</v>
      </c>
      <c r="AL343" s="516">
        <v>0.05</v>
      </c>
      <c r="AM343" s="516">
        <v>0.05</v>
      </c>
      <c r="AN343" s="516">
        <v>0.05</v>
      </c>
      <c r="AO343" s="516">
        <v>0.05</v>
      </c>
    </row>
    <row r="344" spans="1:51" x14ac:dyDescent="0.4">
      <c r="A344" s="367" t="str">
        <f t="shared" si="151"/>
        <v>License fee</v>
      </c>
      <c r="E344" s="152"/>
      <c r="I344" s="152"/>
      <c r="M344" s="152"/>
      <c r="Q344" s="152"/>
      <c r="U344" s="152"/>
      <c r="Y344" s="152"/>
      <c r="AB344" s="338"/>
      <c r="AC344" s="338"/>
      <c r="AD344" s="338"/>
      <c r="AE344" s="338"/>
      <c r="AF344" s="338"/>
      <c r="AG344" s="338">
        <f t="shared" si="150"/>
        <v>0.75294538405676614</v>
      </c>
      <c r="AH344" s="338">
        <f t="shared" si="150"/>
        <v>-0.13548903305684556</v>
      </c>
      <c r="AI344" s="338">
        <f t="shared" si="150"/>
        <v>9.8834611360077984E-2</v>
      </c>
      <c r="AJ344" s="338">
        <f t="shared" si="150"/>
        <v>1.5131296768369</v>
      </c>
      <c r="AK344" s="516">
        <v>0.05</v>
      </c>
      <c r="AL344" s="516">
        <v>0.05</v>
      </c>
      <c r="AM344" s="516">
        <v>0.05</v>
      </c>
      <c r="AN344" s="516">
        <v>0.05</v>
      </c>
      <c r="AO344" s="516">
        <v>0.05</v>
      </c>
    </row>
    <row r="345" spans="1:51" x14ac:dyDescent="0.4">
      <c r="A345" s="367" t="str">
        <f t="shared" si="151"/>
        <v>Stock compensation</v>
      </c>
      <c r="E345" s="152"/>
      <c r="I345" s="152"/>
      <c r="M345" s="152"/>
      <c r="Q345" s="152"/>
      <c r="U345" s="152"/>
      <c r="Y345" s="152"/>
      <c r="AB345" s="338"/>
      <c r="AC345" s="338"/>
      <c r="AD345" s="338"/>
      <c r="AE345" s="338"/>
      <c r="AF345" s="338"/>
      <c r="AG345" s="338">
        <f t="shared" si="150"/>
        <v>0.60736699535625172</v>
      </c>
      <c r="AH345" s="338">
        <f t="shared" si="150"/>
        <v>0.25909169508432939</v>
      </c>
      <c r="AI345" s="338">
        <f t="shared" si="150"/>
        <v>0.87638367225269143</v>
      </c>
      <c r="AJ345" s="338">
        <f t="shared" si="150"/>
        <v>-0.32884763260555017</v>
      </c>
      <c r="AK345" s="338">
        <f>AK332/AJ332-1</f>
        <v>-0.17920112567483237</v>
      </c>
      <c r="AL345" s="338">
        <f>AL332/AK332-1</f>
        <v>2.2000000000000002</v>
      </c>
      <c r="AM345" s="338">
        <f>AM332/AL332-1</f>
        <v>2</v>
      </c>
      <c r="AN345" s="338">
        <f>AN332/AM332-1</f>
        <v>-3.3333333333333326E-2</v>
      </c>
      <c r="AO345" s="338">
        <f>AO332/AN332-1</f>
        <v>-0.35344827586206895</v>
      </c>
    </row>
    <row r="346" spans="1:51" x14ac:dyDescent="0.4">
      <c r="A346" s="367" t="str">
        <f t="shared" si="151"/>
        <v>Utiliities</v>
      </c>
      <c r="E346" s="152"/>
      <c r="I346" s="152"/>
      <c r="M346" s="152"/>
      <c r="Q346" s="152"/>
      <c r="U346" s="152"/>
      <c r="Y346" s="152"/>
      <c r="AB346" s="338"/>
      <c r="AC346" s="338"/>
      <c r="AD346" s="338"/>
      <c r="AE346" s="338"/>
      <c r="AF346" s="338"/>
      <c r="AG346" s="338">
        <f t="shared" si="150"/>
        <v>0.138618780124939</v>
      </c>
      <c r="AH346" s="338">
        <f t="shared" si="150"/>
        <v>0.24808779032312578</v>
      </c>
      <c r="AI346" s="338">
        <f t="shared" si="150"/>
        <v>2.7999276184516919E-2</v>
      </c>
      <c r="AJ346" s="338">
        <f t="shared" si="150"/>
        <v>0.10696478278605293</v>
      </c>
      <c r="AK346" s="516">
        <v>0.1</v>
      </c>
      <c r="AL346" s="516">
        <v>0.1</v>
      </c>
      <c r="AM346" s="516">
        <v>0.1</v>
      </c>
      <c r="AN346" s="516">
        <v>0.1</v>
      </c>
      <c r="AO346" s="516">
        <v>0.1</v>
      </c>
    </row>
    <row r="347" spans="1:51" x14ac:dyDescent="0.4">
      <c r="A347" s="367" t="str">
        <f t="shared" si="151"/>
        <v>Office expense</v>
      </c>
      <c r="E347" s="152"/>
      <c r="I347" s="152"/>
      <c r="M347" s="152"/>
      <c r="Q347" s="152"/>
      <c r="U347" s="152"/>
      <c r="Y347" s="152"/>
      <c r="AB347" s="338"/>
      <c r="AC347" s="338"/>
      <c r="AD347" s="338"/>
      <c r="AE347" s="338"/>
      <c r="AF347" s="338"/>
      <c r="AG347" s="338">
        <f t="shared" si="150"/>
        <v>-0.42511117131754961</v>
      </c>
      <c r="AH347" s="338">
        <f t="shared" si="150"/>
        <v>0.73846990381348143</v>
      </c>
      <c r="AI347" s="338">
        <f t="shared" si="150"/>
        <v>2.6839728912269045E-3</v>
      </c>
      <c r="AJ347" s="338">
        <f t="shared" si="150"/>
        <v>1.0735157338872998</v>
      </c>
      <c r="AK347" s="376">
        <v>0.15</v>
      </c>
      <c r="AL347" s="376">
        <v>0.15</v>
      </c>
      <c r="AM347" s="376">
        <v>0.15</v>
      </c>
      <c r="AN347" s="376">
        <v>0.15</v>
      </c>
      <c r="AO347" s="376">
        <v>0.15</v>
      </c>
    </row>
    <row r="348" spans="1:51" x14ac:dyDescent="0.4">
      <c r="A348" s="367" t="str">
        <f t="shared" si="151"/>
        <v>Travel</v>
      </c>
      <c r="E348" s="152"/>
      <c r="I348" s="152"/>
      <c r="M348" s="152"/>
      <c r="Q348" s="152"/>
      <c r="U348" s="152"/>
      <c r="Y348" s="152"/>
      <c r="AB348" s="338"/>
      <c r="AC348" s="338"/>
      <c r="AD348" s="338"/>
      <c r="AE348" s="338"/>
      <c r="AF348" s="338"/>
      <c r="AG348" s="338">
        <f t="shared" si="150"/>
        <v>2.048252626448388E-2</v>
      </c>
      <c r="AH348" s="338">
        <f t="shared" si="150"/>
        <v>-0.31163709286326213</v>
      </c>
      <c r="AI348" s="338">
        <f t="shared" si="150"/>
        <v>0.30616895938963817</v>
      </c>
      <c r="AJ348" s="338">
        <f t="shared" si="150"/>
        <v>-0.24275902942389249</v>
      </c>
      <c r="AK348" s="376">
        <v>0.15</v>
      </c>
      <c r="AL348" s="376">
        <v>0.15</v>
      </c>
      <c r="AM348" s="376">
        <v>0.15</v>
      </c>
      <c r="AN348" s="376">
        <v>0.15</v>
      </c>
      <c r="AO348" s="376">
        <v>0.15</v>
      </c>
    </row>
    <row r="349" spans="1:51" x14ac:dyDescent="0.4">
      <c r="A349" s="367" t="str">
        <f>A336</f>
        <v>Rents</v>
      </c>
      <c r="E349" s="152"/>
      <c r="I349" s="152"/>
      <c r="M349" s="152"/>
      <c r="Q349" s="152"/>
      <c r="U349" s="152"/>
      <c r="Y349" s="152"/>
      <c r="AB349" s="338"/>
      <c r="AC349" s="338"/>
      <c r="AD349" s="338"/>
      <c r="AE349" s="338"/>
      <c r="AF349" s="338"/>
      <c r="AG349" s="338">
        <f t="shared" si="150"/>
        <v>0.55916683715044213</v>
      </c>
      <c r="AH349" s="338">
        <f t="shared" si="150"/>
        <v>9.4179278596289162E-3</v>
      </c>
      <c r="AI349" s="338">
        <f t="shared" si="150"/>
        <v>6.1606729047429365E-2</v>
      </c>
      <c r="AJ349" s="338">
        <f t="shared" si="150"/>
        <v>-0.16386079883823634</v>
      </c>
      <c r="AK349" s="376">
        <v>0.15</v>
      </c>
      <c r="AL349" s="376">
        <v>0.15</v>
      </c>
      <c r="AM349" s="376">
        <v>0.15</v>
      </c>
      <c r="AN349" s="376">
        <v>0.15</v>
      </c>
      <c r="AO349" s="376">
        <v>0.15</v>
      </c>
    </row>
    <row r="350" spans="1:51" x14ac:dyDescent="0.4">
      <c r="A350" s="367" t="str">
        <f>A337</f>
        <v>Amortization of use rights</v>
      </c>
      <c r="E350" s="152"/>
      <c r="I350" s="152"/>
      <c r="M350" s="152"/>
      <c r="Q350" s="152"/>
      <c r="U350" s="152"/>
      <c r="Y350" s="152"/>
      <c r="AB350" s="338"/>
      <c r="AC350" s="338"/>
      <c r="AD350" s="338"/>
      <c r="AE350" s="338"/>
      <c r="AF350" s="338"/>
      <c r="AG350" s="338" t="e">
        <f t="shared" si="150"/>
        <v>#DIV/0!</v>
      </c>
      <c r="AH350" s="338" t="e">
        <f t="shared" si="150"/>
        <v>#DIV/0!</v>
      </c>
      <c r="AI350" s="338" t="e">
        <f t="shared" si="150"/>
        <v>#DIV/0!</v>
      </c>
      <c r="AJ350" s="338">
        <f t="shared" si="150"/>
        <v>0.1577195503628428</v>
      </c>
      <c r="AK350" s="376">
        <v>0.05</v>
      </c>
      <c r="AL350" s="376">
        <v>0.05</v>
      </c>
      <c r="AM350" s="376">
        <v>0.05</v>
      </c>
      <c r="AN350" s="376">
        <v>0.05</v>
      </c>
      <c r="AO350" s="376">
        <v>0.05</v>
      </c>
    </row>
    <row r="351" spans="1:51" x14ac:dyDescent="0.4">
      <c r="A351" s="367" t="str">
        <f>A338</f>
        <v>Others</v>
      </c>
      <c r="E351" s="152"/>
      <c r="I351" s="152"/>
      <c r="M351" s="152"/>
      <c r="Q351" s="152"/>
      <c r="U351" s="152"/>
      <c r="Y351" s="152"/>
      <c r="AF351" s="338"/>
      <c r="AG351" s="338">
        <f t="shared" si="150"/>
        <v>0.19129450906426482</v>
      </c>
      <c r="AH351" s="338">
        <f t="shared" si="150"/>
        <v>-0.36612280948819786</v>
      </c>
      <c r="AI351" s="338">
        <f t="shared" si="150"/>
        <v>0.56548969201387322</v>
      </c>
      <c r="AJ351" s="338">
        <f t="shared" si="150"/>
        <v>-0.12845971487287122</v>
      </c>
      <c r="AK351" s="376">
        <v>0.05</v>
      </c>
      <c r="AL351" s="376">
        <v>0.05</v>
      </c>
      <c r="AM351" s="376">
        <v>0.05</v>
      </c>
      <c r="AN351" s="376">
        <v>0.05</v>
      </c>
      <c r="AO351" s="376">
        <v>0.05</v>
      </c>
    </row>
    <row r="352" spans="1:51" x14ac:dyDescent="0.4">
      <c r="A352" s="367"/>
      <c r="E352" s="152"/>
      <c r="I352" s="152"/>
      <c r="M352" s="152"/>
      <c r="Q352" s="152"/>
      <c r="U352" s="152"/>
      <c r="Y352" s="152"/>
    </row>
    <row r="353" spans="1:41" x14ac:dyDescent="0.4">
      <c r="A353" s="517" t="s">
        <v>342</v>
      </c>
      <c r="E353" s="152"/>
      <c r="I353" s="152"/>
      <c r="M353" s="152"/>
      <c r="Q353" s="152"/>
      <c r="U353" s="152"/>
      <c r="Y353" s="152"/>
      <c r="AE353" s="338">
        <f t="shared" ref="AE353:AJ353" si="152">SUM(AE354:AE364)</f>
        <v>0.99983583424511924</v>
      </c>
      <c r="AF353" s="338">
        <f t="shared" si="152"/>
        <v>1</v>
      </c>
      <c r="AG353" s="338">
        <f t="shared" si="152"/>
        <v>1.0000000000000002</v>
      </c>
      <c r="AH353" s="338">
        <f t="shared" si="152"/>
        <v>1</v>
      </c>
      <c r="AI353" s="338">
        <f t="shared" si="152"/>
        <v>0.99999999999999989</v>
      </c>
      <c r="AJ353" s="338">
        <f t="shared" si="152"/>
        <v>0.99999999999999989</v>
      </c>
      <c r="AK353" s="338">
        <f>SUM(AK354:AK364)</f>
        <v>1.0000000000000002</v>
      </c>
      <c r="AL353" s="338">
        <f>SUM(AL354:AL364)</f>
        <v>1.0000000000000002</v>
      </c>
      <c r="AM353" s="338">
        <f>SUM(AM354:AM364)</f>
        <v>0.99999999999999978</v>
      </c>
      <c r="AN353" s="338">
        <f>SUM(AN354:AN364)</f>
        <v>0.99999999999999978</v>
      </c>
      <c r="AO353" s="338">
        <f>SUM(AO354:AO364)</f>
        <v>1.0000000000000004</v>
      </c>
    </row>
    <row r="354" spans="1:41" x14ac:dyDescent="0.4">
      <c r="A354" s="395" t="str">
        <f t="shared" ref="A354:A364" si="153">A341</f>
        <v>Salary</v>
      </c>
      <c r="E354" s="152"/>
      <c r="I354" s="152"/>
      <c r="M354" s="152"/>
      <c r="Q354" s="152"/>
      <c r="U354" s="152"/>
      <c r="Y354" s="152"/>
      <c r="AE354" s="338">
        <f t="shared" ref="AE354:AO364" si="154">AE328/AE$327</f>
        <v>0.32209972402247422</v>
      </c>
      <c r="AF354" s="338">
        <f t="shared" si="154"/>
        <v>0.39249030503450005</v>
      </c>
      <c r="AG354" s="338">
        <f t="shared" si="154"/>
        <v>0.38401163531916183</v>
      </c>
      <c r="AH354" s="338">
        <f t="shared" si="154"/>
        <v>0.49538409767144448</v>
      </c>
      <c r="AI354" s="338">
        <f t="shared" si="154"/>
        <v>0.53631262747850295</v>
      </c>
      <c r="AJ354" s="338">
        <f t="shared" si="154"/>
        <v>0.46067869783142534</v>
      </c>
      <c r="AK354" s="338">
        <f t="shared" si="154"/>
        <v>0.41588427469484396</v>
      </c>
      <c r="AL354" s="338">
        <f t="shared" si="154"/>
        <v>0.41556399351773432</v>
      </c>
      <c r="AM354" s="338">
        <f t="shared" si="154"/>
        <v>0.37681499565805082</v>
      </c>
      <c r="AN354" s="338">
        <f t="shared" si="154"/>
        <v>0.4044239587871557</v>
      </c>
      <c r="AO354" s="338">
        <f t="shared" si="154"/>
        <v>0.44260092903069931</v>
      </c>
    </row>
    <row r="355" spans="1:41" x14ac:dyDescent="0.4">
      <c r="A355" s="395" t="str">
        <f t="shared" si="153"/>
        <v>Materials</v>
      </c>
      <c r="E355" s="152"/>
      <c r="I355" s="152"/>
      <c r="M355" s="152"/>
      <c r="Q355" s="152"/>
      <c r="U355" s="152"/>
      <c r="Y355" s="152"/>
      <c r="AE355" s="338">
        <f t="shared" si="154"/>
        <v>0.42859620221990991</v>
      </c>
      <c r="AF355" s="338">
        <f t="shared" si="154"/>
        <v>0.32886231447228259</v>
      </c>
      <c r="AG355" s="338">
        <f t="shared" si="154"/>
        <v>0.32314275505093421</v>
      </c>
      <c r="AH355" s="338">
        <f t="shared" si="154"/>
        <v>0.22020308618099491</v>
      </c>
      <c r="AI355" s="338">
        <f t="shared" si="154"/>
        <v>0.10985207556222566</v>
      </c>
      <c r="AJ355" s="338">
        <f t="shared" si="154"/>
        <v>0.22033133741640179</v>
      </c>
      <c r="AK355" s="338">
        <f t="shared" si="154"/>
        <v>0.16635370987793757</v>
      </c>
      <c r="AL355" s="338">
        <f t="shared" si="154"/>
        <v>0.28333908648936429</v>
      </c>
      <c r="AM355" s="338">
        <f t="shared" si="154"/>
        <v>0.31401249638170897</v>
      </c>
      <c r="AN355" s="338">
        <f t="shared" si="154"/>
        <v>0.33701996565596309</v>
      </c>
      <c r="AO355" s="338">
        <f t="shared" si="154"/>
        <v>0.36883410752558277</v>
      </c>
    </row>
    <row r="356" spans="1:41" x14ac:dyDescent="0.4">
      <c r="A356" s="395" t="str">
        <f t="shared" si="153"/>
        <v>D&amp;A</v>
      </c>
      <c r="E356" s="152"/>
      <c r="I356" s="152"/>
      <c r="M356" s="152"/>
      <c r="Q356" s="152"/>
      <c r="U356" s="152"/>
      <c r="Y356" s="152"/>
      <c r="AE356" s="338">
        <f t="shared" si="154"/>
        <v>9.381382560808553E-2</v>
      </c>
      <c r="AF356" s="338">
        <f t="shared" si="154"/>
        <v>0.12754923542357657</v>
      </c>
      <c r="AG356" s="338">
        <f t="shared" si="154"/>
        <v>9.5198660707938629E-2</v>
      </c>
      <c r="AH356" s="338">
        <f t="shared" si="154"/>
        <v>0.14182396255412913</v>
      </c>
      <c r="AI356" s="338">
        <f t="shared" si="154"/>
        <v>0.17166879827241602</v>
      </c>
      <c r="AJ356" s="338">
        <f t="shared" si="154"/>
        <v>0.13145897209521562</v>
      </c>
      <c r="AK356" s="338">
        <f t="shared" si="154"/>
        <v>0.176123830923646</v>
      </c>
      <c r="AL356" s="338">
        <f t="shared" si="154"/>
        <v>0.10499295681373913</v>
      </c>
      <c r="AM356" s="338">
        <f t="shared" si="154"/>
        <v>7.3306276075237334E-2</v>
      </c>
      <c r="AN356" s="338">
        <f t="shared" si="154"/>
        <v>6.3547109838025084E-2</v>
      </c>
      <c r="AO356" s="338">
        <f t="shared" si="154"/>
        <v>5.6171651826174979E-2</v>
      </c>
    </row>
    <row r="357" spans="1:41" x14ac:dyDescent="0.4">
      <c r="A357" s="395" t="str">
        <f t="shared" si="153"/>
        <v>License fee</v>
      </c>
      <c r="E357" s="152"/>
      <c r="I357" s="152"/>
      <c r="M357" s="152"/>
      <c r="Q357" s="152"/>
      <c r="U357" s="152"/>
      <c r="Y357" s="152"/>
      <c r="AE357" s="338">
        <f t="shared" si="154"/>
        <v>6.7952144814637405E-2</v>
      </c>
      <c r="AF357" s="338">
        <f t="shared" si="154"/>
        <v>7.390260648105329E-2</v>
      </c>
      <c r="AG357" s="338">
        <f t="shared" si="154"/>
        <v>0.1106416398801696</v>
      </c>
      <c r="AH357" s="338">
        <f t="shared" si="154"/>
        <v>6.8438831436260561E-2</v>
      </c>
      <c r="AI357" s="338">
        <f t="shared" si="154"/>
        <v>7.0384412051145942E-2</v>
      </c>
      <c r="AJ357" s="338">
        <f t="shared" si="154"/>
        <v>0.12478496577785936</v>
      </c>
      <c r="AK357" s="338">
        <f t="shared" si="154"/>
        <v>0.16718224602086718</v>
      </c>
      <c r="AL357" s="338">
        <f t="shared" si="154"/>
        <v>9.9662596733445227E-2</v>
      </c>
      <c r="AM357" s="338">
        <f t="shared" si="154"/>
        <v>6.9584608836932474E-2</v>
      </c>
      <c r="AN357" s="338">
        <f t="shared" si="154"/>
        <v>6.032090316875699E-2</v>
      </c>
      <c r="AO357" s="338">
        <f t="shared" si="154"/>
        <v>5.3319887863859064E-2</v>
      </c>
    </row>
    <row r="358" spans="1:41" x14ac:dyDescent="0.4">
      <c r="A358" s="395" t="str">
        <f t="shared" si="153"/>
        <v>Stock compensation</v>
      </c>
      <c r="E358" s="152"/>
      <c r="I358" s="152"/>
      <c r="M358" s="152"/>
      <c r="Q358" s="152"/>
      <c r="U358" s="152"/>
      <c r="Y358" s="152"/>
      <c r="AE358" s="338">
        <f t="shared" si="154"/>
        <v>5.062424293915193E-2</v>
      </c>
      <c r="AF358" s="338">
        <f t="shared" si="154"/>
        <v>3.8615849235220663E-2</v>
      </c>
      <c r="AG358" s="338">
        <f t="shared" si="154"/>
        <v>5.3011622891092174E-2</v>
      </c>
      <c r="AH358" s="338">
        <f t="shared" si="154"/>
        <v>4.7757538417106615E-2</v>
      </c>
      <c r="AI358" s="338">
        <f t="shared" si="154"/>
        <v>8.3869711674017064E-2</v>
      </c>
      <c r="AJ358" s="338">
        <f t="shared" si="154"/>
        <v>3.970975018493135E-2</v>
      </c>
      <c r="AK358" s="338">
        <f t="shared" si="154"/>
        <v>4.1588427469484393E-2</v>
      </c>
      <c r="AL358" s="338">
        <f t="shared" si="154"/>
        <v>7.5557089730497157E-2</v>
      </c>
      <c r="AM358" s="338">
        <f t="shared" si="154"/>
        <v>0.15072599826322031</v>
      </c>
      <c r="AN358" s="338">
        <f t="shared" si="154"/>
        <v>0.12029020312643605</v>
      </c>
      <c r="AO358" s="338">
        <f t="shared" si="154"/>
        <v>6.5473510211641911E-2</v>
      </c>
    </row>
    <row r="359" spans="1:41" x14ac:dyDescent="0.4">
      <c r="A359" s="395" t="str">
        <f t="shared" si="153"/>
        <v>Utiliities</v>
      </c>
      <c r="E359" s="152"/>
      <c r="I359" s="152"/>
      <c r="M359" s="152"/>
      <c r="Q359" s="152"/>
      <c r="U359" s="152"/>
      <c r="Y359" s="152"/>
      <c r="AE359" s="338">
        <f t="shared" si="154"/>
        <v>1.6851793374887021E-2</v>
      </c>
      <c r="AF359" s="338">
        <f t="shared" si="154"/>
        <v>1.5015239214081297E-2</v>
      </c>
      <c r="AG359" s="338">
        <f t="shared" si="154"/>
        <v>1.460162064999525E-2</v>
      </c>
      <c r="AH359" s="338">
        <f t="shared" si="154"/>
        <v>1.3039461920821381E-2</v>
      </c>
      <c r="AI359" s="338">
        <f t="shared" si="154"/>
        <v>1.2545675508260497E-2</v>
      </c>
      <c r="AJ359" s="338">
        <f t="shared" si="154"/>
        <v>9.7971268958891786E-3</v>
      </c>
      <c r="AK359" s="338">
        <f t="shared" si="154"/>
        <v>1.3750864752288591E-2</v>
      </c>
      <c r="AL359" s="338">
        <f t="shared" si="154"/>
        <v>8.5876718273614483E-3</v>
      </c>
      <c r="AM359" s="338">
        <f t="shared" si="154"/>
        <v>6.2814487028205711E-3</v>
      </c>
      <c r="AN359" s="338">
        <f t="shared" si="154"/>
        <v>5.7045034722072695E-3</v>
      </c>
      <c r="AO359" s="338">
        <f t="shared" si="154"/>
        <v>5.2825379630602942E-3</v>
      </c>
    </row>
    <row r="360" spans="1:41" x14ac:dyDescent="0.4">
      <c r="A360" s="395" t="str">
        <f t="shared" si="153"/>
        <v>Office expense</v>
      </c>
      <c r="E360" s="152"/>
      <c r="I360" s="152"/>
      <c r="M360" s="152"/>
      <c r="Q360" s="152"/>
      <c r="U360" s="152"/>
      <c r="Y360" s="152"/>
      <c r="AE360" s="338">
        <f t="shared" si="154"/>
        <v>8.4592138584614028E-3</v>
      </c>
      <c r="AF360" s="338">
        <f t="shared" si="154"/>
        <v>8.3517056214361188E-3</v>
      </c>
      <c r="AG360" s="338">
        <f t="shared" si="154"/>
        <v>4.1006198585356998E-3</v>
      </c>
      <c r="AH360" s="338">
        <f t="shared" si="154"/>
        <v>5.1007044705418244E-3</v>
      </c>
      <c r="AI360" s="338">
        <f t="shared" si="154"/>
        <v>4.7866955520289535E-3</v>
      </c>
      <c r="AJ360" s="338">
        <f t="shared" si="154"/>
        <v>7.0018696191328517E-3</v>
      </c>
      <c r="AK360" s="338">
        <f t="shared" si="154"/>
        <v>1.0274257642002408E-2</v>
      </c>
      <c r="AL360" s="338">
        <f t="shared" si="154"/>
        <v>6.7081232980295644E-3</v>
      </c>
      <c r="AM360" s="338">
        <f t="shared" si="154"/>
        <v>5.1296834918730791E-3</v>
      </c>
      <c r="AN360" s="338">
        <f t="shared" si="154"/>
        <v>4.8702780457766876E-3</v>
      </c>
      <c r="AO360" s="338">
        <f t="shared" si="154"/>
        <v>4.7150216270902571E-3</v>
      </c>
    </row>
    <row r="361" spans="1:41" x14ac:dyDescent="0.4">
      <c r="A361" s="395" t="str">
        <f t="shared" si="153"/>
        <v>Travel</v>
      </c>
      <c r="E361" s="152"/>
      <c r="I361" s="152"/>
      <c r="M361" s="152"/>
      <c r="Q361" s="152"/>
      <c r="U361" s="152"/>
      <c r="Y361" s="152"/>
      <c r="AE361" s="338">
        <f t="shared" si="154"/>
        <v>7.6489490835004569E-3</v>
      </c>
      <c r="AF361" s="338">
        <f t="shared" si="154"/>
        <v>7.6431936690224273E-3</v>
      </c>
      <c r="AG361" s="338">
        <f t="shared" si="154"/>
        <v>6.6614826326197299E-3</v>
      </c>
      <c r="AH361" s="338">
        <f t="shared" si="154"/>
        <v>3.2809667903399608E-3</v>
      </c>
      <c r="AI361" s="338">
        <f t="shared" si="154"/>
        <v>4.0109085896281637E-3</v>
      </c>
      <c r="AJ361" s="338">
        <f t="shared" si="154"/>
        <v>2.1426327868564929E-3</v>
      </c>
      <c r="AK361" s="338">
        <f t="shared" si="154"/>
        <v>3.1440118827993206E-3</v>
      </c>
      <c r="AL361" s="338">
        <f t="shared" si="154"/>
        <v>2.0527438667751266E-3</v>
      </c>
      <c r="AM361" s="338">
        <f t="shared" si="154"/>
        <v>1.5697276061597029E-3</v>
      </c>
      <c r="AN361" s="338">
        <f t="shared" si="154"/>
        <v>1.4903472914539718E-3</v>
      </c>
      <c r="AO361" s="338">
        <f t="shared" si="154"/>
        <v>1.4428374817685035E-3</v>
      </c>
    </row>
    <row r="362" spans="1:41" x14ac:dyDescent="0.4">
      <c r="A362" s="395" t="str">
        <f t="shared" si="153"/>
        <v>Rents</v>
      </c>
      <c r="E362" s="152"/>
      <c r="I362" s="152"/>
      <c r="M362" s="152"/>
      <c r="Q362" s="152"/>
      <c r="U362" s="152"/>
      <c r="Y362" s="152"/>
      <c r="AE362" s="338">
        <f t="shared" si="154"/>
        <v>1.1908590285040199E-3</v>
      </c>
      <c r="AF362" s="338">
        <f t="shared" si="154"/>
        <v>2.9548849223694808E-3</v>
      </c>
      <c r="AG362" s="338">
        <f t="shared" si="154"/>
        <v>3.9348087095759819E-3</v>
      </c>
      <c r="AH362" s="338">
        <f t="shared" si="154"/>
        <v>2.8418955520845939E-3</v>
      </c>
      <c r="AI362" s="338">
        <f t="shared" si="154"/>
        <v>2.8236661403724457E-3</v>
      </c>
      <c r="AJ362" s="338">
        <f t="shared" si="154"/>
        <v>1.6655696928980471E-3</v>
      </c>
      <c r="AK362" s="338">
        <f t="shared" si="154"/>
        <v>2.4439889738570512E-3</v>
      </c>
      <c r="AL362" s="338">
        <f t="shared" si="154"/>
        <v>1.5956947885592077E-3</v>
      </c>
      <c r="AM362" s="338">
        <f t="shared" si="154"/>
        <v>1.2202234293076338E-3</v>
      </c>
      <c r="AN362" s="338">
        <f t="shared" si="154"/>
        <v>1.1585173604013756E-3</v>
      </c>
      <c r="AO362" s="338">
        <f t="shared" si="154"/>
        <v>1.1215857407543316E-3</v>
      </c>
    </row>
    <row r="363" spans="1:41" x14ac:dyDescent="0.4">
      <c r="A363" s="395" t="str">
        <f t="shared" si="153"/>
        <v>Amortization of use rights</v>
      </c>
      <c r="E363" s="152"/>
      <c r="I363" s="152"/>
      <c r="M363" s="152"/>
      <c r="Q363" s="152"/>
      <c r="U363" s="152"/>
      <c r="Y363" s="152"/>
      <c r="AE363" s="338">
        <f t="shared" si="154"/>
        <v>0</v>
      </c>
      <c r="AF363" s="338">
        <f t="shared" si="154"/>
        <v>0</v>
      </c>
      <c r="AG363" s="338">
        <f t="shared" si="154"/>
        <v>0</v>
      </c>
      <c r="AH363" s="338">
        <f t="shared" si="154"/>
        <v>0</v>
      </c>
      <c r="AI363" s="338">
        <f t="shared" si="154"/>
        <v>6.2538852627631533E-4</v>
      </c>
      <c r="AJ363" s="338">
        <f t="shared" si="154"/>
        <v>5.1076855786455629E-4</v>
      </c>
      <c r="AK363" s="338">
        <f t="shared" si="154"/>
        <v>6.8430867587565428E-4</v>
      </c>
      <c r="AL363" s="338">
        <f t="shared" si="154"/>
        <v>4.0793793137867458E-4</v>
      </c>
      <c r="AM363" s="338">
        <f t="shared" si="154"/>
        <v>2.8482301600723299E-4</v>
      </c>
      <c r="AN363" s="338">
        <f t="shared" si="154"/>
        <v>2.4690490980653203E-4</v>
      </c>
      <c r="AO363" s="338">
        <f t="shared" si="154"/>
        <v>2.1824842488000516E-4</v>
      </c>
    </row>
    <row r="364" spans="1:41" x14ac:dyDescent="0.4">
      <c r="A364" s="395" t="str">
        <f t="shared" si="153"/>
        <v>Others</v>
      </c>
      <c r="E364" s="152"/>
      <c r="I364" s="152"/>
      <c r="M364" s="152"/>
      <c r="Q364" s="152"/>
      <c r="U364" s="152"/>
      <c r="Y364" s="152"/>
      <c r="AE364" s="338">
        <f t="shared" si="154"/>
        <v>2.598879295507442E-3</v>
      </c>
      <c r="AF364" s="338">
        <f t="shared" si="154"/>
        <v>4.6146659264573895E-3</v>
      </c>
      <c r="AG364" s="338">
        <f t="shared" si="154"/>
        <v>4.6951542999770605E-3</v>
      </c>
      <c r="AH364" s="338">
        <f t="shared" si="154"/>
        <v>2.1294550062765424E-3</v>
      </c>
      <c r="AI364" s="338">
        <f t="shared" si="154"/>
        <v>3.1200406451259446E-3</v>
      </c>
      <c r="AJ364" s="338">
        <f t="shared" si="154"/>
        <v>1.9183091415253177E-3</v>
      </c>
      <c r="AK364" s="338">
        <f t="shared" si="154"/>
        <v>2.5700790863979815E-3</v>
      </c>
      <c r="AL364" s="338">
        <f t="shared" si="154"/>
        <v>1.5321050031160163E-3</v>
      </c>
      <c r="AM364" s="338">
        <f t="shared" si="154"/>
        <v>1.0697185386818065E-3</v>
      </c>
      <c r="AN364" s="338">
        <f t="shared" si="154"/>
        <v>9.2730834401704202E-4</v>
      </c>
      <c r="AO364" s="338">
        <f t="shared" si="154"/>
        <v>8.1968230448875091E-4</v>
      </c>
    </row>
    <row r="365" spans="1:41" x14ac:dyDescent="0.4">
      <c r="E365" s="152"/>
      <c r="I365" s="152"/>
      <c r="M365" s="152"/>
      <c r="Q365" s="152"/>
      <c r="U365" s="152"/>
      <c r="Y365" s="152"/>
    </row>
    <row r="366" spans="1:41" x14ac:dyDescent="0.4">
      <c r="A366" t="s">
        <v>343</v>
      </c>
      <c r="M366" s="152"/>
      <c r="Q366" s="152"/>
      <c r="U366" s="152"/>
      <c r="Y366" s="152"/>
    </row>
    <row r="367" spans="1:41" x14ac:dyDescent="0.4">
      <c r="M367" s="152"/>
      <c r="Q367" s="152"/>
      <c r="U367" s="152"/>
      <c r="Y367" s="152"/>
    </row>
    <row r="368" spans="1:41" x14ac:dyDescent="0.4">
      <c r="A368" s="518" t="s">
        <v>344</v>
      </c>
      <c r="M368" s="152"/>
      <c r="O368" s="502">
        <f>+SUM(O369:O374)</f>
        <v>4963.9343000000008</v>
      </c>
      <c r="P368" s="502">
        <f t="shared" ref="P368:Y368" si="155">+SUM(P369:P374)</f>
        <v>5902.3529500000004</v>
      </c>
      <c r="Q368" s="503">
        <f t="shared" si="155"/>
        <v>6665.9183499999999</v>
      </c>
      <c r="R368" s="502">
        <f t="shared" si="155"/>
        <v>6727.5713212500004</v>
      </c>
      <c r="S368" s="502">
        <f t="shared" si="155"/>
        <v>7543.97229625</v>
      </c>
      <c r="T368" s="502">
        <f t="shared" si="155"/>
        <v>8354.0102262499986</v>
      </c>
      <c r="U368" s="503">
        <f t="shared" si="155"/>
        <v>9100.1614762499994</v>
      </c>
      <c r="V368" s="502">
        <f t="shared" si="155"/>
        <v>8433.7889195624994</v>
      </c>
      <c r="W368" s="502">
        <f t="shared" si="155"/>
        <v>9569.7815106562484</v>
      </c>
      <c r="X368" s="502">
        <f t="shared" si="155"/>
        <v>9789.1903106562495</v>
      </c>
      <c r="Y368" s="503">
        <f t="shared" si="155"/>
        <v>9732.6239794062494</v>
      </c>
    </row>
    <row r="369" spans="1:25" x14ac:dyDescent="0.4">
      <c r="A369" s="205" t="s">
        <v>265</v>
      </c>
      <c r="M369" s="152"/>
      <c r="O369" s="519">
        <f t="shared" ref="O369:Y374" si="156">+O140</f>
        <v>784.06380000000013</v>
      </c>
      <c r="P369" s="519">
        <f t="shared" si="156"/>
        <v>522.70920000000012</v>
      </c>
      <c r="Q369" s="489">
        <f t="shared" si="156"/>
        <v>261.35460000000006</v>
      </c>
      <c r="R369" s="519">
        <f t="shared" si="156"/>
        <v>235.21914000000007</v>
      </c>
      <c r="S369" s="519">
        <f t="shared" si="156"/>
        <v>235.21914000000007</v>
      </c>
      <c r="T369" s="519">
        <f t="shared" si="156"/>
        <v>117.60957000000003</v>
      </c>
      <c r="U369" s="489">
        <f t="shared" si="156"/>
        <v>117.60957000000003</v>
      </c>
      <c r="V369" s="519">
        <f t="shared" si="156"/>
        <v>105.84861300000003</v>
      </c>
      <c r="W369" s="519">
        <f t="shared" si="156"/>
        <v>105.84861300000003</v>
      </c>
      <c r="X369" s="519">
        <f t="shared" si="156"/>
        <v>105.84861300000003</v>
      </c>
      <c r="Y369" s="489">
        <f t="shared" si="156"/>
        <v>105.84861300000003</v>
      </c>
    </row>
    <row r="370" spans="1:25" x14ac:dyDescent="0.4">
      <c r="A370" s="205" t="s">
        <v>275</v>
      </c>
      <c r="M370" s="152"/>
      <c r="O370" s="519">
        <f t="shared" si="156"/>
        <v>1814.9625000000001</v>
      </c>
      <c r="P370" s="519">
        <f t="shared" si="156"/>
        <v>1935.9599999999998</v>
      </c>
      <c r="Q370" s="489">
        <f t="shared" si="156"/>
        <v>2177.9549999999999</v>
      </c>
      <c r="R370" s="519">
        <f t="shared" si="156"/>
        <v>2347.3515000000002</v>
      </c>
      <c r="S370" s="519">
        <f t="shared" si="156"/>
        <v>2056.9575</v>
      </c>
      <c r="T370" s="519">
        <f t="shared" si="156"/>
        <v>2056.9575</v>
      </c>
      <c r="U370" s="489">
        <f t="shared" si="156"/>
        <v>2056.9575</v>
      </c>
      <c r="V370" s="519">
        <f t="shared" si="156"/>
        <v>2015.81835</v>
      </c>
      <c r="W370" s="519">
        <f t="shared" si="156"/>
        <v>1573.5724874999999</v>
      </c>
      <c r="X370" s="519">
        <f t="shared" si="156"/>
        <v>1223.8897124999999</v>
      </c>
      <c r="Y370" s="489">
        <f t="shared" si="156"/>
        <v>874.20693749999998</v>
      </c>
    </row>
    <row r="371" spans="1:25" x14ac:dyDescent="0.4">
      <c r="A371" s="205" t="s">
        <v>276</v>
      </c>
      <c r="M371" s="152"/>
      <c r="O371" s="519">
        <f t="shared" si="156"/>
        <v>1921.7250000000004</v>
      </c>
      <c r="P371" s="519">
        <f t="shared" si="156"/>
        <v>2135.25</v>
      </c>
      <c r="Q371" s="489">
        <f t="shared" si="156"/>
        <v>2242.0125000000003</v>
      </c>
      <c r="R371" s="519">
        <f t="shared" si="156"/>
        <v>2231.3362500000003</v>
      </c>
      <c r="S371" s="519">
        <f t="shared" si="156"/>
        <v>2359.4512500000001</v>
      </c>
      <c r="T371" s="519">
        <f t="shared" si="156"/>
        <v>2903.94</v>
      </c>
      <c r="U371" s="489">
        <f t="shared" si="156"/>
        <v>3266.9325000000003</v>
      </c>
      <c r="V371" s="519">
        <f t="shared" si="156"/>
        <v>2413.9001249999997</v>
      </c>
      <c r="W371" s="519">
        <f t="shared" si="156"/>
        <v>1542.7181250000001</v>
      </c>
      <c r="X371" s="519">
        <f t="shared" si="156"/>
        <v>1234.1744999999999</v>
      </c>
      <c r="Y371" s="489">
        <f t="shared" si="156"/>
        <v>925.63087499999995</v>
      </c>
    </row>
    <row r="372" spans="1:25" x14ac:dyDescent="0.4">
      <c r="A372" s="205" t="s">
        <v>277</v>
      </c>
      <c r="M372" s="152"/>
      <c r="O372" s="519">
        <f t="shared" si="156"/>
        <v>217.7955</v>
      </c>
      <c r="P372" s="519">
        <f t="shared" si="156"/>
        <v>181.49625</v>
      </c>
      <c r="Q372" s="489">
        <f t="shared" si="156"/>
        <v>181.49625</v>
      </c>
      <c r="R372" s="519">
        <f t="shared" si="156"/>
        <v>88.025681249999991</v>
      </c>
      <c r="S372" s="519">
        <f t="shared" si="156"/>
        <v>77.135906249999991</v>
      </c>
      <c r="T372" s="519">
        <f t="shared" si="156"/>
        <v>77.135906249999991</v>
      </c>
      <c r="U372" s="489">
        <f t="shared" si="156"/>
        <v>77.135906249999991</v>
      </c>
      <c r="V372" s="519">
        <f t="shared" si="156"/>
        <v>37.796594062500006</v>
      </c>
      <c r="W372" s="519">
        <f t="shared" si="156"/>
        <v>32.782760156249999</v>
      </c>
      <c r="X372" s="519">
        <f t="shared" si="156"/>
        <v>32.782760156249999</v>
      </c>
      <c r="Y372" s="489">
        <f t="shared" si="156"/>
        <v>32.782760156249999</v>
      </c>
    </row>
    <row r="373" spans="1:25" x14ac:dyDescent="0.4">
      <c r="A373" s="205" t="s">
        <v>288</v>
      </c>
      <c r="M373" s="152"/>
      <c r="O373" s="519">
        <f t="shared" si="156"/>
        <v>0</v>
      </c>
      <c r="P373" s="519">
        <f t="shared" si="156"/>
        <v>0</v>
      </c>
      <c r="Q373" s="489">
        <f t="shared" si="156"/>
        <v>0</v>
      </c>
      <c r="R373" s="519">
        <f t="shared" si="156"/>
        <v>0</v>
      </c>
      <c r="S373" s="519">
        <f t="shared" si="156"/>
        <v>516.25599999999997</v>
      </c>
      <c r="T373" s="519">
        <f t="shared" si="156"/>
        <v>516.25599999999997</v>
      </c>
      <c r="U373" s="489">
        <f t="shared" si="156"/>
        <v>516.25599999999997</v>
      </c>
      <c r="V373" s="519">
        <f t="shared" si="156"/>
        <v>929.26080000000002</v>
      </c>
      <c r="W373" s="519">
        <f t="shared" si="156"/>
        <v>1755.2704000000001</v>
      </c>
      <c r="X373" s="519">
        <f t="shared" si="156"/>
        <v>2632.9055999999996</v>
      </c>
      <c r="Y373" s="489">
        <f t="shared" si="156"/>
        <v>3071.7231999999995</v>
      </c>
    </row>
    <row r="374" spans="1:25" x14ac:dyDescent="0.4">
      <c r="A374" s="205" t="s">
        <v>279</v>
      </c>
      <c r="M374" s="152"/>
      <c r="O374" s="519">
        <f t="shared" si="156"/>
        <v>225.38749999999999</v>
      </c>
      <c r="P374" s="519">
        <f t="shared" si="156"/>
        <v>1126.9375</v>
      </c>
      <c r="Q374" s="489">
        <f t="shared" si="156"/>
        <v>1803.1</v>
      </c>
      <c r="R374" s="519">
        <f t="shared" si="156"/>
        <v>1825.6387500000003</v>
      </c>
      <c r="S374" s="519">
        <f t="shared" si="156"/>
        <v>2298.9524999999999</v>
      </c>
      <c r="T374" s="519">
        <f t="shared" si="156"/>
        <v>2682.1112499999995</v>
      </c>
      <c r="U374" s="489">
        <f t="shared" si="156"/>
        <v>3065.27</v>
      </c>
      <c r="V374" s="519">
        <f t="shared" si="156"/>
        <v>2931.1644375000001</v>
      </c>
      <c r="W374" s="519">
        <f t="shared" si="156"/>
        <v>4559.5891249999995</v>
      </c>
      <c r="X374" s="519">
        <f t="shared" si="156"/>
        <v>4559.5891249999995</v>
      </c>
      <c r="Y374" s="489">
        <f t="shared" si="156"/>
        <v>4722.4315937499996</v>
      </c>
    </row>
    <row r="375" spans="1:25" x14ac:dyDescent="0.4">
      <c r="M375" s="152"/>
      <c r="Q375" s="152"/>
      <c r="U375" s="152"/>
      <c r="Y375" s="152"/>
    </row>
    <row r="376" spans="1:25" x14ac:dyDescent="0.4">
      <c r="A376" s="205" t="s">
        <v>345</v>
      </c>
      <c r="M376" s="152"/>
      <c r="O376" s="516">
        <v>0.08</v>
      </c>
      <c r="P376" s="516">
        <v>0.08</v>
      </c>
      <c r="Q376" s="520">
        <v>0.08</v>
      </c>
      <c r="R376" s="516">
        <v>8.5000000000000006E-2</v>
      </c>
      <c r="S376" s="516">
        <v>8.5000000000000006E-2</v>
      </c>
      <c r="T376" s="516">
        <v>8.5000000000000006E-2</v>
      </c>
      <c r="U376" s="520">
        <v>8.5000000000000006E-2</v>
      </c>
      <c r="V376" s="516">
        <v>8.5000000000000006E-2</v>
      </c>
      <c r="W376" s="516">
        <v>8.5000000000000006E-2</v>
      </c>
      <c r="X376" s="516">
        <v>8.5000000000000006E-2</v>
      </c>
      <c r="Y376" s="520">
        <v>8.5000000000000006E-2</v>
      </c>
    </row>
    <row r="377" spans="1:25" x14ac:dyDescent="0.4">
      <c r="A377" s="205" t="s">
        <v>346</v>
      </c>
      <c r="M377" s="152"/>
      <c r="O377" s="519">
        <f>+O368*O376</f>
        <v>397.11474400000009</v>
      </c>
      <c r="P377" s="519">
        <f t="shared" ref="P377:Y377" si="157">+P368*P376</f>
        <v>472.18823600000002</v>
      </c>
      <c r="Q377" s="489">
        <f t="shared" si="157"/>
        <v>533.27346799999998</v>
      </c>
      <c r="R377" s="519">
        <f t="shared" si="157"/>
        <v>571.84356230625008</v>
      </c>
      <c r="S377" s="519">
        <f t="shared" si="157"/>
        <v>641.23764518125006</v>
      </c>
      <c r="T377" s="519">
        <f t="shared" si="157"/>
        <v>710.09086923124994</v>
      </c>
      <c r="U377" s="489">
        <f t="shared" si="157"/>
        <v>773.51372548125005</v>
      </c>
      <c r="V377" s="519">
        <f t="shared" si="157"/>
        <v>716.87205816281255</v>
      </c>
      <c r="W377" s="519">
        <f t="shared" si="157"/>
        <v>813.43142840578116</v>
      </c>
      <c r="X377" s="519">
        <f t="shared" si="157"/>
        <v>832.08117640578132</v>
      </c>
      <c r="Y377" s="489">
        <f t="shared" si="157"/>
        <v>827.27303824953128</v>
      </c>
    </row>
    <row r="378" spans="1:25" x14ac:dyDescent="0.4">
      <c r="A378" s="205" t="s">
        <v>347</v>
      </c>
      <c r="M378" s="152"/>
      <c r="O378" s="376">
        <v>0.33</v>
      </c>
      <c r="P378" s="376">
        <v>0.33</v>
      </c>
      <c r="Q378" s="501">
        <v>0.33</v>
      </c>
      <c r="R378" s="376">
        <v>0.33</v>
      </c>
      <c r="S378" s="376">
        <v>0.33</v>
      </c>
      <c r="T378" s="376">
        <v>0.33</v>
      </c>
      <c r="U378" s="501">
        <v>0.33</v>
      </c>
      <c r="V378" s="376">
        <v>0.33</v>
      </c>
      <c r="W378" s="376">
        <v>0.33</v>
      </c>
      <c r="X378" s="376">
        <v>0.33</v>
      </c>
      <c r="Y378" s="501">
        <v>0.33</v>
      </c>
    </row>
    <row r="379" spans="1:25" x14ac:dyDescent="0.4">
      <c r="A379" s="205" t="s">
        <v>348</v>
      </c>
      <c r="M379" s="152"/>
      <c r="O379" s="519">
        <f>+O377*O378</f>
        <v>131.04786552000004</v>
      </c>
      <c r="P379" s="519">
        <f t="shared" ref="P379:Y379" si="158">+P377*P378</f>
        <v>155.82211788000001</v>
      </c>
      <c r="Q379" s="489">
        <f t="shared" si="158"/>
        <v>175.98024444000001</v>
      </c>
      <c r="R379" s="519">
        <f t="shared" si="158"/>
        <v>188.70837556106252</v>
      </c>
      <c r="S379" s="519">
        <f t="shared" si="158"/>
        <v>211.60842290981253</v>
      </c>
      <c r="T379" s="519">
        <f t="shared" si="158"/>
        <v>234.32998684631249</v>
      </c>
      <c r="U379" s="489">
        <f t="shared" si="158"/>
        <v>255.25952940881254</v>
      </c>
      <c r="V379" s="519">
        <f t="shared" si="158"/>
        <v>236.56777919372814</v>
      </c>
      <c r="W379" s="519">
        <f t="shared" si="158"/>
        <v>268.43237137390781</v>
      </c>
      <c r="X379" s="519">
        <f t="shared" si="158"/>
        <v>274.58678821390782</v>
      </c>
      <c r="Y379" s="489">
        <f t="shared" si="158"/>
        <v>273.00010262234531</v>
      </c>
    </row>
    <row r="380" spans="1:25" x14ac:dyDescent="0.4">
      <c r="M380" s="152"/>
      <c r="Q380" s="152"/>
      <c r="U380" s="152"/>
      <c r="Y380" s="152"/>
    </row>
  </sheetData>
  <phoneticPr fontId="66" type="noConversion"/>
  <dataValidations count="1">
    <dataValidation allowBlank="1" sqref="AP239:AP247 AP129:AP194" xr:uid="{A9839AED-CA95-41F0-B340-A95376C2A626}"/>
  </dataValidations>
  <printOptions horizontalCentered="1" verticalCentered="1"/>
  <pageMargins left="0.7" right="0.7" top="0.75" bottom="0.75" header="0.3" footer="0.3"/>
  <pageSetup paperSize="9" orientation="portrait" r:id="rId1"/>
  <customProperties>
    <customPr name="Qube.Worksheet.Visibility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2b789d09-1941-4e75-940b-be039de43198</TitusGUID>
  <TitusMetadata xmlns="">eyJucyI6Imh0dHA6XC9cL3d3dy50aXR1cy5jb21cL25zXC9Hb2xkbWFuU2FjaHMiLCJwcm9wcyI6W3sibiI6IkNsYXNzaWZpY2F0aW9uIiwidmFscyI6W3sidmFsdWUiOiJJIn1dfV19</TitusMetadata>
</titus>
</file>

<file path=customXml/itemProps1.xml><?xml version="1.0" encoding="utf-8"?>
<ds:datastoreItem xmlns:ds="http://schemas.openxmlformats.org/officeDocument/2006/customXml" ds:itemID="{348652AC-1282-4935-9E44-91286A87DF0C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</vt:lpstr>
      <vt:lpstr>Assumption</vt:lpstr>
    </vt:vector>
  </TitlesOfParts>
  <Company>Goldman Sachs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Jin [GSCN GIR]</dc:creator>
  <cp:lastModifiedBy>Deng Kunyu</cp:lastModifiedBy>
  <dcterms:created xsi:type="dcterms:W3CDTF">2025-09-10T03:56:40Z</dcterms:created>
  <dcterms:modified xsi:type="dcterms:W3CDTF">2025-09-22T16:21:50Z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2b789d09-1941-4e75-940b-be039de43198</vt:lpwstr>
  </property>
  <property fmtid="{D5CDD505-2E9C-101B-9397-08002B2CF9AE}" pid="3" name="Classification">
    <vt:lpwstr>I</vt:lpwstr>
  </property>
  <property fmtid="{D5CDD505-2E9C-101B-9397-08002B2CF9AE}" pid="4" name="EM_Doc_Temp_ID">
    <vt:lpwstr>72A7C896-AA84-492C-8DFC-4B1F987BA889</vt:lpwstr>
  </property>
</Properties>
</file>